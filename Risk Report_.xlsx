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nt\Downloads\"/>
    </mc:Choice>
  </mc:AlternateContent>
  <xr:revisionPtr revIDLastSave="0" documentId="13_ncr:1_{EF0D0E04-E1A0-43BB-A117-58508A417CF9}" xr6:coauthVersionLast="47" xr6:coauthVersionMax="47" xr10:uidLastSave="{00000000-0000-0000-0000-000000000000}"/>
  <bookViews>
    <workbookView xWindow="-108" yWindow="-108" windowWidth="23256" windowHeight="12456" activeTab="5" xr2:uid="{138D84D9-CDD6-420A-9564-3B529A46EF67}"/>
  </bookViews>
  <sheets>
    <sheet name="prices" sheetId="1" r:id="rId1"/>
    <sheet name="returns" sheetId="2" r:id="rId2"/>
    <sheet name="risk" sheetId="4" r:id="rId3"/>
    <sheet name="stress" sheetId="5" r:id="rId4"/>
    <sheet name="weights" sheetId="3" r:id="rId5"/>
    <sheet name="pbi_returns" sheetId="6" r:id="rId6"/>
    <sheet name="pbi_stock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D8" i="7"/>
  <c r="D7" i="7"/>
  <c r="D6" i="7"/>
  <c r="D5" i="7"/>
  <c r="D4" i="7"/>
  <c r="D3" i="7"/>
  <c r="D2" i="7"/>
  <c r="K1897" i="2"/>
  <c r="C10" i="5"/>
  <c r="B10" i="5"/>
  <c r="C9" i="5"/>
  <c r="B9" i="5"/>
  <c r="F3" i="5"/>
  <c r="F4" i="5"/>
  <c r="F2" i="5"/>
  <c r="B2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2" i="2"/>
  <c r="J5" i="3"/>
  <c r="C5" i="3"/>
  <c r="D5" i="3"/>
  <c r="E5" i="3"/>
  <c r="F5" i="3"/>
  <c r="G5" i="3"/>
  <c r="H5" i="3"/>
  <c r="I5" i="3"/>
  <c r="B5" i="3"/>
  <c r="J4" i="3"/>
  <c r="C4" i="3"/>
  <c r="D4" i="3"/>
  <c r="E4" i="3"/>
  <c r="F4" i="3"/>
  <c r="G4" i="3"/>
  <c r="H4" i="3"/>
  <c r="I4" i="3"/>
  <c r="B4" i="3"/>
  <c r="C3" i="3" a="1"/>
  <c r="D3" i="3" a="1"/>
  <c r="E3" i="3" a="1"/>
  <c r="F3" i="3" a="1"/>
  <c r="G3" i="3" a="1"/>
  <c r="H3" i="3" a="1"/>
  <c r="I3" i="3" a="1"/>
  <c r="B3" i="3" a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2" i="2"/>
  <c r="D2" i="2"/>
  <c r="E2" i="2"/>
  <c r="F2" i="2"/>
  <c r="G2" i="2"/>
  <c r="H2" i="2"/>
  <c r="I2" i="2"/>
  <c r="B3" i="2"/>
  <c r="K3" i="2" s="1"/>
  <c r="B4" i="2"/>
  <c r="K4" i="2" s="1"/>
  <c r="B5" i="2"/>
  <c r="K5" i="2" s="1"/>
  <c r="B6" i="2"/>
  <c r="K6" i="2" s="1"/>
  <c r="B7" i="2"/>
  <c r="K7" i="2" s="1"/>
  <c r="B8" i="2"/>
  <c r="K8" i="2" s="1"/>
  <c r="B9" i="2"/>
  <c r="K9" i="2" s="1"/>
  <c r="B10" i="2"/>
  <c r="K10" i="2" s="1"/>
  <c r="B11" i="2"/>
  <c r="K11" i="2" s="1"/>
  <c r="B12" i="2"/>
  <c r="K12" i="2" s="1"/>
  <c r="B13" i="2"/>
  <c r="K13" i="2" s="1"/>
  <c r="B14" i="2"/>
  <c r="K14" i="2" s="1"/>
  <c r="B15" i="2"/>
  <c r="K15" i="2" s="1"/>
  <c r="B16" i="2"/>
  <c r="K16" i="2" s="1"/>
  <c r="B17" i="2"/>
  <c r="K17" i="2" s="1"/>
  <c r="B18" i="2"/>
  <c r="K18" i="2" s="1"/>
  <c r="B19" i="2"/>
  <c r="K19" i="2" s="1"/>
  <c r="B20" i="2"/>
  <c r="K20" i="2" s="1"/>
  <c r="B21" i="2"/>
  <c r="K21" i="2" s="1"/>
  <c r="B22" i="2"/>
  <c r="K22" i="2" s="1"/>
  <c r="B23" i="2"/>
  <c r="K23" i="2" s="1"/>
  <c r="B24" i="2"/>
  <c r="K24" i="2" s="1"/>
  <c r="B25" i="2"/>
  <c r="K25" i="2" s="1"/>
  <c r="B26" i="2"/>
  <c r="K26" i="2" s="1"/>
  <c r="B27" i="2"/>
  <c r="K27" i="2" s="1"/>
  <c r="B28" i="2"/>
  <c r="K28" i="2" s="1"/>
  <c r="B29" i="2"/>
  <c r="K29" i="2" s="1"/>
  <c r="B30" i="2"/>
  <c r="K30" i="2" s="1"/>
  <c r="B31" i="2"/>
  <c r="K31" i="2" s="1"/>
  <c r="B32" i="2"/>
  <c r="K32" i="2" s="1"/>
  <c r="B33" i="2"/>
  <c r="K33" i="2" s="1"/>
  <c r="B34" i="2"/>
  <c r="K34" i="2" s="1"/>
  <c r="B35" i="2"/>
  <c r="K35" i="2" s="1"/>
  <c r="B36" i="2"/>
  <c r="K36" i="2" s="1"/>
  <c r="B37" i="2"/>
  <c r="K37" i="2" s="1"/>
  <c r="B38" i="2"/>
  <c r="K38" i="2" s="1"/>
  <c r="B39" i="2"/>
  <c r="K39" i="2" s="1"/>
  <c r="B40" i="2"/>
  <c r="K40" i="2" s="1"/>
  <c r="B41" i="2"/>
  <c r="K41" i="2" s="1"/>
  <c r="B42" i="2"/>
  <c r="K42" i="2" s="1"/>
  <c r="B43" i="2"/>
  <c r="K43" i="2" s="1"/>
  <c r="B44" i="2"/>
  <c r="K44" i="2" s="1"/>
  <c r="B45" i="2"/>
  <c r="K45" i="2" s="1"/>
  <c r="B46" i="2"/>
  <c r="K46" i="2" s="1"/>
  <c r="B47" i="2"/>
  <c r="K47" i="2" s="1"/>
  <c r="B48" i="2"/>
  <c r="K48" i="2" s="1"/>
  <c r="B49" i="2"/>
  <c r="B50" i="2"/>
  <c r="K50" i="2" s="1"/>
  <c r="B51" i="2"/>
  <c r="K51" i="2" s="1"/>
  <c r="B52" i="2"/>
  <c r="K52" i="2" s="1"/>
  <c r="B53" i="2"/>
  <c r="K53" i="2" s="1"/>
  <c r="B54" i="2"/>
  <c r="K54" i="2" s="1"/>
  <c r="B55" i="2"/>
  <c r="K55" i="2" s="1"/>
  <c r="B56" i="2"/>
  <c r="K56" i="2" s="1"/>
  <c r="B57" i="2"/>
  <c r="K57" i="2" s="1"/>
  <c r="B58" i="2"/>
  <c r="K58" i="2" s="1"/>
  <c r="B59" i="2"/>
  <c r="K59" i="2" s="1"/>
  <c r="B60" i="2"/>
  <c r="K60" i="2" s="1"/>
  <c r="B61" i="2"/>
  <c r="K61" i="2" s="1"/>
  <c r="B62" i="2"/>
  <c r="K62" i="2" s="1"/>
  <c r="B63" i="2"/>
  <c r="K63" i="2" s="1"/>
  <c r="B64" i="2"/>
  <c r="K64" i="2" s="1"/>
  <c r="B65" i="2"/>
  <c r="K65" i="2" s="1"/>
  <c r="B66" i="2"/>
  <c r="K66" i="2" s="1"/>
  <c r="B67" i="2"/>
  <c r="K67" i="2" s="1"/>
  <c r="B68" i="2"/>
  <c r="K68" i="2" s="1"/>
  <c r="B69" i="2"/>
  <c r="K69" i="2" s="1"/>
  <c r="B70" i="2"/>
  <c r="K70" i="2" s="1"/>
  <c r="B71" i="2"/>
  <c r="K71" i="2" s="1"/>
  <c r="B72" i="2"/>
  <c r="K72" i="2" s="1"/>
  <c r="B73" i="2"/>
  <c r="K73" i="2" s="1"/>
  <c r="B74" i="2"/>
  <c r="K74" i="2" s="1"/>
  <c r="B75" i="2"/>
  <c r="K75" i="2" s="1"/>
  <c r="B76" i="2"/>
  <c r="K76" i="2" s="1"/>
  <c r="B77" i="2"/>
  <c r="K77" i="2" s="1"/>
  <c r="B78" i="2"/>
  <c r="K78" i="2" s="1"/>
  <c r="B79" i="2"/>
  <c r="K79" i="2" s="1"/>
  <c r="B80" i="2"/>
  <c r="K80" i="2" s="1"/>
  <c r="B81" i="2"/>
  <c r="K81" i="2" s="1"/>
  <c r="B82" i="2"/>
  <c r="K82" i="2" s="1"/>
  <c r="B83" i="2"/>
  <c r="K83" i="2" s="1"/>
  <c r="B84" i="2"/>
  <c r="K84" i="2" s="1"/>
  <c r="B85" i="2"/>
  <c r="K85" i="2" s="1"/>
  <c r="B86" i="2"/>
  <c r="K86" i="2" s="1"/>
  <c r="B87" i="2"/>
  <c r="K87" i="2" s="1"/>
  <c r="B88" i="2"/>
  <c r="K88" i="2" s="1"/>
  <c r="B89" i="2"/>
  <c r="K89" i="2" s="1"/>
  <c r="B90" i="2"/>
  <c r="K90" i="2" s="1"/>
  <c r="B91" i="2"/>
  <c r="K91" i="2" s="1"/>
  <c r="B92" i="2"/>
  <c r="K92" i="2" s="1"/>
  <c r="B93" i="2"/>
  <c r="K93" i="2" s="1"/>
  <c r="B94" i="2"/>
  <c r="K94" i="2" s="1"/>
  <c r="B95" i="2"/>
  <c r="K95" i="2" s="1"/>
  <c r="B96" i="2"/>
  <c r="K96" i="2" s="1"/>
  <c r="B97" i="2"/>
  <c r="K97" i="2" s="1"/>
  <c r="B98" i="2"/>
  <c r="K98" i="2" s="1"/>
  <c r="B99" i="2"/>
  <c r="K99" i="2" s="1"/>
  <c r="B100" i="2"/>
  <c r="K100" i="2" s="1"/>
  <c r="B101" i="2"/>
  <c r="K101" i="2" s="1"/>
  <c r="B102" i="2"/>
  <c r="K102" i="2" s="1"/>
  <c r="B103" i="2"/>
  <c r="K103" i="2" s="1"/>
  <c r="B104" i="2"/>
  <c r="K104" i="2" s="1"/>
  <c r="B105" i="2"/>
  <c r="K105" i="2" s="1"/>
  <c r="B106" i="2"/>
  <c r="K106" i="2" s="1"/>
  <c r="B107" i="2"/>
  <c r="K107" i="2" s="1"/>
  <c r="B108" i="2"/>
  <c r="K108" i="2" s="1"/>
  <c r="B109" i="2"/>
  <c r="K109" i="2" s="1"/>
  <c r="B110" i="2"/>
  <c r="K110" i="2" s="1"/>
  <c r="B111" i="2"/>
  <c r="K111" i="2" s="1"/>
  <c r="B112" i="2"/>
  <c r="K112" i="2" s="1"/>
  <c r="B113" i="2"/>
  <c r="K113" i="2" s="1"/>
  <c r="B114" i="2"/>
  <c r="K114" i="2" s="1"/>
  <c r="B115" i="2"/>
  <c r="K115" i="2" s="1"/>
  <c r="B116" i="2"/>
  <c r="K116" i="2" s="1"/>
  <c r="B117" i="2"/>
  <c r="K117" i="2" s="1"/>
  <c r="B118" i="2"/>
  <c r="K118" i="2" s="1"/>
  <c r="B119" i="2"/>
  <c r="K119" i="2" s="1"/>
  <c r="B120" i="2"/>
  <c r="K120" i="2" s="1"/>
  <c r="B121" i="2"/>
  <c r="K121" i="2" s="1"/>
  <c r="B122" i="2"/>
  <c r="K122" i="2" s="1"/>
  <c r="B123" i="2"/>
  <c r="K123" i="2" s="1"/>
  <c r="B124" i="2"/>
  <c r="K124" i="2" s="1"/>
  <c r="B125" i="2"/>
  <c r="K125" i="2" s="1"/>
  <c r="B126" i="2"/>
  <c r="K126" i="2" s="1"/>
  <c r="B127" i="2"/>
  <c r="K127" i="2" s="1"/>
  <c r="B128" i="2"/>
  <c r="K128" i="2" s="1"/>
  <c r="B129" i="2"/>
  <c r="K129" i="2" s="1"/>
  <c r="B130" i="2"/>
  <c r="K130" i="2" s="1"/>
  <c r="B131" i="2"/>
  <c r="K131" i="2" s="1"/>
  <c r="B132" i="2"/>
  <c r="K132" i="2" s="1"/>
  <c r="B133" i="2"/>
  <c r="K133" i="2" s="1"/>
  <c r="B134" i="2"/>
  <c r="K134" i="2" s="1"/>
  <c r="B135" i="2"/>
  <c r="K135" i="2" s="1"/>
  <c r="B136" i="2"/>
  <c r="K136" i="2" s="1"/>
  <c r="B137" i="2"/>
  <c r="K137" i="2" s="1"/>
  <c r="B138" i="2"/>
  <c r="K138" i="2" s="1"/>
  <c r="B139" i="2"/>
  <c r="K139" i="2" s="1"/>
  <c r="B140" i="2"/>
  <c r="K140" i="2" s="1"/>
  <c r="B141" i="2"/>
  <c r="K141" i="2" s="1"/>
  <c r="B142" i="2"/>
  <c r="K142" i="2" s="1"/>
  <c r="B143" i="2"/>
  <c r="K143" i="2" s="1"/>
  <c r="B144" i="2"/>
  <c r="K144" i="2" s="1"/>
  <c r="B145" i="2"/>
  <c r="K145" i="2" s="1"/>
  <c r="B146" i="2"/>
  <c r="K146" i="2" s="1"/>
  <c r="B147" i="2"/>
  <c r="K147" i="2" s="1"/>
  <c r="B148" i="2"/>
  <c r="K148" i="2" s="1"/>
  <c r="B149" i="2"/>
  <c r="K149" i="2" s="1"/>
  <c r="B150" i="2"/>
  <c r="K150" i="2" s="1"/>
  <c r="B151" i="2"/>
  <c r="K151" i="2" s="1"/>
  <c r="B152" i="2"/>
  <c r="K152" i="2" s="1"/>
  <c r="B153" i="2"/>
  <c r="K153" i="2" s="1"/>
  <c r="B154" i="2"/>
  <c r="K154" i="2" s="1"/>
  <c r="B155" i="2"/>
  <c r="K155" i="2" s="1"/>
  <c r="B156" i="2"/>
  <c r="K156" i="2" s="1"/>
  <c r="B157" i="2"/>
  <c r="K157" i="2" s="1"/>
  <c r="B158" i="2"/>
  <c r="K158" i="2" s="1"/>
  <c r="B159" i="2"/>
  <c r="K159" i="2" s="1"/>
  <c r="B160" i="2"/>
  <c r="K160" i="2" s="1"/>
  <c r="B161" i="2"/>
  <c r="K161" i="2" s="1"/>
  <c r="B162" i="2"/>
  <c r="K162" i="2" s="1"/>
  <c r="B163" i="2"/>
  <c r="K163" i="2" s="1"/>
  <c r="B164" i="2"/>
  <c r="K164" i="2" s="1"/>
  <c r="B165" i="2"/>
  <c r="K165" i="2" s="1"/>
  <c r="B166" i="2"/>
  <c r="K166" i="2" s="1"/>
  <c r="B167" i="2"/>
  <c r="K167" i="2" s="1"/>
  <c r="B168" i="2"/>
  <c r="K168" i="2" s="1"/>
  <c r="B169" i="2"/>
  <c r="K169" i="2" s="1"/>
  <c r="B170" i="2"/>
  <c r="K170" i="2" s="1"/>
  <c r="B171" i="2"/>
  <c r="K171" i="2" s="1"/>
  <c r="B172" i="2"/>
  <c r="K172" i="2" s="1"/>
  <c r="B173" i="2"/>
  <c r="K173" i="2" s="1"/>
  <c r="B174" i="2"/>
  <c r="K174" i="2" s="1"/>
  <c r="B175" i="2"/>
  <c r="K175" i="2" s="1"/>
  <c r="B176" i="2"/>
  <c r="K176" i="2" s="1"/>
  <c r="B177" i="2"/>
  <c r="K177" i="2" s="1"/>
  <c r="B178" i="2"/>
  <c r="K178" i="2" s="1"/>
  <c r="B179" i="2"/>
  <c r="K179" i="2" s="1"/>
  <c r="B180" i="2"/>
  <c r="K180" i="2" s="1"/>
  <c r="B181" i="2"/>
  <c r="K181" i="2" s="1"/>
  <c r="B182" i="2"/>
  <c r="K182" i="2" s="1"/>
  <c r="B183" i="2"/>
  <c r="K183" i="2" s="1"/>
  <c r="B184" i="2"/>
  <c r="K184" i="2" s="1"/>
  <c r="B185" i="2"/>
  <c r="K185" i="2" s="1"/>
  <c r="B186" i="2"/>
  <c r="K186" i="2" s="1"/>
  <c r="B187" i="2"/>
  <c r="K187" i="2" s="1"/>
  <c r="B188" i="2"/>
  <c r="K188" i="2" s="1"/>
  <c r="B189" i="2"/>
  <c r="K189" i="2" s="1"/>
  <c r="B190" i="2"/>
  <c r="K190" i="2" s="1"/>
  <c r="B191" i="2"/>
  <c r="K191" i="2" s="1"/>
  <c r="B192" i="2"/>
  <c r="K192" i="2" s="1"/>
  <c r="B193" i="2"/>
  <c r="K193" i="2" s="1"/>
  <c r="B194" i="2"/>
  <c r="K194" i="2" s="1"/>
  <c r="B195" i="2"/>
  <c r="K195" i="2" s="1"/>
  <c r="B196" i="2"/>
  <c r="K196" i="2" s="1"/>
  <c r="B197" i="2"/>
  <c r="K197" i="2" s="1"/>
  <c r="B198" i="2"/>
  <c r="K198" i="2" s="1"/>
  <c r="B199" i="2"/>
  <c r="K199" i="2" s="1"/>
  <c r="B200" i="2"/>
  <c r="K200" i="2" s="1"/>
  <c r="B201" i="2"/>
  <c r="K201" i="2" s="1"/>
  <c r="B202" i="2"/>
  <c r="K202" i="2" s="1"/>
  <c r="B203" i="2"/>
  <c r="K203" i="2" s="1"/>
  <c r="B204" i="2"/>
  <c r="K204" i="2" s="1"/>
  <c r="B205" i="2"/>
  <c r="K205" i="2" s="1"/>
  <c r="B206" i="2"/>
  <c r="K206" i="2" s="1"/>
  <c r="B207" i="2"/>
  <c r="K207" i="2" s="1"/>
  <c r="B208" i="2"/>
  <c r="K208" i="2" s="1"/>
  <c r="B209" i="2"/>
  <c r="K209" i="2" s="1"/>
  <c r="B210" i="2"/>
  <c r="K210" i="2" s="1"/>
  <c r="B211" i="2"/>
  <c r="K211" i="2" s="1"/>
  <c r="B212" i="2"/>
  <c r="K212" i="2" s="1"/>
  <c r="B213" i="2"/>
  <c r="K213" i="2" s="1"/>
  <c r="B214" i="2"/>
  <c r="K214" i="2" s="1"/>
  <c r="B215" i="2"/>
  <c r="K215" i="2" s="1"/>
  <c r="B216" i="2"/>
  <c r="K216" i="2" s="1"/>
  <c r="B217" i="2"/>
  <c r="K217" i="2" s="1"/>
  <c r="B218" i="2"/>
  <c r="K218" i="2" s="1"/>
  <c r="B219" i="2"/>
  <c r="K219" i="2" s="1"/>
  <c r="B220" i="2"/>
  <c r="K220" i="2" s="1"/>
  <c r="B221" i="2"/>
  <c r="K221" i="2" s="1"/>
  <c r="B222" i="2"/>
  <c r="K222" i="2" s="1"/>
  <c r="B223" i="2"/>
  <c r="K223" i="2" s="1"/>
  <c r="B224" i="2"/>
  <c r="K224" i="2" s="1"/>
  <c r="B225" i="2"/>
  <c r="K225" i="2" s="1"/>
  <c r="B226" i="2"/>
  <c r="K226" i="2" s="1"/>
  <c r="B227" i="2"/>
  <c r="K227" i="2" s="1"/>
  <c r="B228" i="2"/>
  <c r="K228" i="2" s="1"/>
  <c r="B229" i="2"/>
  <c r="K229" i="2" s="1"/>
  <c r="B230" i="2"/>
  <c r="K230" i="2" s="1"/>
  <c r="B231" i="2"/>
  <c r="K231" i="2" s="1"/>
  <c r="B232" i="2"/>
  <c r="K232" i="2" s="1"/>
  <c r="B233" i="2"/>
  <c r="K233" i="2" s="1"/>
  <c r="B234" i="2"/>
  <c r="K234" i="2" s="1"/>
  <c r="B235" i="2"/>
  <c r="K235" i="2" s="1"/>
  <c r="B236" i="2"/>
  <c r="K236" i="2" s="1"/>
  <c r="B237" i="2"/>
  <c r="K237" i="2" s="1"/>
  <c r="B238" i="2"/>
  <c r="K238" i="2" s="1"/>
  <c r="B239" i="2"/>
  <c r="K239" i="2" s="1"/>
  <c r="B240" i="2"/>
  <c r="K240" i="2" s="1"/>
  <c r="B241" i="2"/>
  <c r="K241" i="2" s="1"/>
  <c r="B242" i="2"/>
  <c r="K242" i="2" s="1"/>
  <c r="B243" i="2"/>
  <c r="K243" i="2" s="1"/>
  <c r="B244" i="2"/>
  <c r="K244" i="2" s="1"/>
  <c r="B245" i="2"/>
  <c r="K245" i="2" s="1"/>
  <c r="B246" i="2"/>
  <c r="K246" i="2" s="1"/>
  <c r="B247" i="2"/>
  <c r="K247" i="2" s="1"/>
  <c r="B248" i="2"/>
  <c r="K248" i="2" s="1"/>
  <c r="B249" i="2"/>
  <c r="K249" i="2" s="1"/>
  <c r="B250" i="2"/>
  <c r="K250" i="2" s="1"/>
  <c r="B251" i="2"/>
  <c r="K251" i="2" s="1"/>
  <c r="B252" i="2"/>
  <c r="K252" i="2" s="1"/>
  <c r="B253" i="2"/>
  <c r="K253" i="2" s="1"/>
  <c r="B254" i="2"/>
  <c r="K254" i="2" s="1"/>
  <c r="B255" i="2"/>
  <c r="K255" i="2" s="1"/>
  <c r="B256" i="2"/>
  <c r="K256" i="2" s="1"/>
  <c r="B257" i="2"/>
  <c r="K257" i="2" s="1"/>
  <c r="B258" i="2"/>
  <c r="K258" i="2" s="1"/>
  <c r="B259" i="2"/>
  <c r="K259" i="2" s="1"/>
  <c r="B260" i="2"/>
  <c r="K260" i="2" s="1"/>
  <c r="B261" i="2"/>
  <c r="K261" i="2" s="1"/>
  <c r="B262" i="2"/>
  <c r="K262" i="2" s="1"/>
  <c r="B263" i="2"/>
  <c r="K263" i="2" s="1"/>
  <c r="B264" i="2"/>
  <c r="K264" i="2" s="1"/>
  <c r="B265" i="2"/>
  <c r="K265" i="2" s="1"/>
  <c r="B266" i="2"/>
  <c r="K266" i="2" s="1"/>
  <c r="B267" i="2"/>
  <c r="K267" i="2" s="1"/>
  <c r="B268" i="2"/>
  <c r="K268" i="2" s="1"/>
  <c r="B269" i="2"/>
  <c r="K269" i="2" s="1"/>
  <c r="B270" i="2"/>
  <c r="K270" i="2" s="1"/>
  <c r="B271" i="2"/>
  <c r="K271" i="2" s="1"/>
  <c r="B272" i="2"/>
  <c r="K272" i="2" s="1"/>
  <c r="B273" i="2"/>
  <c r="K273" i="2" s="1"/>
  <c r="B274" i="2"/>
  <c r="K274" i="2" s="1"/>
  <c r="B275" i="2"/>
  <c r="K275" i="2" s="1"/>
  <c r="B276" i="2"/>
  <c r="K276" i="2" s="1"/>
  <c r="B277" i="2"/>
  <c r="K277" i="2" s="1"/>
  <c r="B278" i="2"/>
  <c r="K278" i="2" s="1"/>
  <c r="B279" i="2"/>
  <c r="K279" i="2" s="1"/>
  <c r="B280" i="2"/>
  <c r="K280" i="2" s="1"/>
  <c r="B281" i="2"/>
  <c r="K281" i="2" s="1"/>
  <c r="B282" i="2"/>
  <c r="K282" i="2" s="1"/>
  <c r="B283" i="2"/>
  <c r="K283" i="2" s="1"/>
  <c r="B284" i="2"/>
  <c r="K284" i="2" s="1"/>
  <c r="B285" i="2"/>
  <c r="K285" i="2" s="1"/>
  <c r="B286" i="2"/>
  <c r="K286" i="2" s="1"/>
  <c r="B287" i="2"/>
  <c r="K287" i="2" s="1"/>
  <c r="B288" i="2"/>
  <c r="K288" i="2" s="1"/>
  <c r="B289" i="2"/>
  <c r="K289" i="2" s="1"/>
  <c r="B290" i="2"/>
  <c r="K290" i="2" s="1"/>
  <c r="B291" i="2"/>
  <c r="K291" i="2" s="1"/>
  <c r="B292" i="2"/>
  <c r="K292" i="2" s="1"/>
  <c r="B293" i="2"/>
  <c r="K293" i="2" s="1"/>
  <c r="B294" i="2"/>
  <c r="K294" i="2" s="1"/>
  <c r="B295" i="2"/>
  <c r="K295" i="2" s="1"/>
  <c r="B296" i="2"/>
  <c r="K296" i="2" s="1"/>
  <c r="B297" i="2"/>
  <c r="K297" i="2" s="1"/>
  <c r="B298" i="2"/>
  <c r="K298" i="2" s="1"/>
  <c r="B299" i="2"/>
  <c r="K299" i="2" s="1"/>
  <c r="B300" i="2"/>
  <c r="K300" i="2" s="1"/>
  <c r="B301" i="2"/>
  <c r="K301" i="2" s="1"/>
  <c r="B302" i="2"/>
  <c r="K302" i="2" s="1"/>
  <c r="B303" i="2"/>
  <c r="K303" i="2" s="1"/>
  <c r="B304" i="2"/>
  <c r="K304" i="2" s="1"/>
  <c r="B305" i="2"/>
  <c r="K305" i="2" s="1"/>
  <c r="B306" i="2"/>
  <c r="K306" i="2" s="1"/>
  <c r="B307" i="2"/>
  <c r="K307" i="2" s="1"/>
  <c r="B308" i="2"/>
  <c r="K308" i="2" s="1"/>
  <c r="B309" i="2"/>
  <c r="K309" i="2" s="1"/>
  <c r="B310" i="2"/>
  <c r="K310" i="2" s="1"/>
  <c r="B311" i="2"/>
  <c r="K311" i="2" s="1"/>
  <c r="B312" i="2"/>
  <c r="K312" i="2" s="1"/>
  <c r="B313" i="2"/>
  <c r="K313" i="2" s="1"/>
  <c r="B314" i="2"/>
  <c r="K314" i="2" s="1"/>
  <c r="B315" i="2"/>
  <c r="K315" i="2" s="1"/>
  <c r="B316" i="2"/>
  <c r="K316" i="2" s="1"/>
  <c r="B317" i="2"/>
  <c r="K317" i="2" s="1"/>
  <c r="B318" i="2"/>
  <c r="K318" i="2" s="1"/>
  <c r="B319" i="2"/>
  <c r="K319" i="2" s="1"/>
  <c r="B320" i="2"/>
  <c r="K320" i="2" s="1"/>
  <c r="B321" i="2"/>
  <c r="K321" i="2" s="1"/>
  <c r="B322" i="2"/>
  <c r="K322" i="2" s="1"/>
  <c r="B323" i="2"/>
  <c r="K323" i="2" s="1"/>
  <c r="B324" i="2"/>
  <c r="K324" i="2" s="1"/>
  <c r="B325" i="2"/>
  <c r="K325" i="2" s="1"/>
  <c r="B326" i="2"/>
  <c r="K326" i="2" s="1"/>
  <c r="B327" i="2"/>
  <c r="K327" i="2" s="1"/>
  <c r="B328" i="2"/>
  <c r="K328" i="2" s="1"/>
  <c r="B329" i="2"/>
  <c r="K329" i="2" s="1"/>
  <c r="B330" i="2"/>
  <c r="K330" i="2" s="1"/>
  <c r="B331" i="2"/>
  <c r="K331" i="2" s="1"/>
  <c r="B332" i="2"/>
  <c r="K332" i="2" s="1"/>
  <c r="B333" i="2"/>
  <c r="K333" i="2" s="1"/>
  <c r="B334" i="2"/>
  <c r="K334" i="2" s="1"/>
  <c r="B335" i="2"/>
  <c r="K335" i="2" s="1"/>
  <c r="B336" i="2"/>
  <c r="K336" i="2" s="1"/>
  <c r="B337" i="2"/>
  <c r="K337" i="2" s="1"/>
  <c r="B338" i="2"/>
  <c r="K338" i="2" s="1"/>
  <c r="B339" i="2"/>
  <c r="K339" i="2" s="1"/>
  <c r="B340" i="2"/>
  <c r="K340" i="2" s="1"/>
  <c r="B341" i="2"/>
  <c r="K341" i="2" s="1"/>
  <c r="B342" i="2"/>
  <c r="K342" i="2" s="1"/>
  <c r="B343" i="2"/>
  <c r="K343" i="2" s="1"/>
  <c r="B344" i="2"/>
  <c r="K344" i="2" s="1"/>
  <c r="B345" i="2"/>
  <c r="K345" i="2" s="1"/>
  <c r="B346" i="2"/>
  <c r="K346" i="2" s="1"/>
  <c r="B347" i="2"/>
  <c r="K347" i="2" s="1"/>
  <c r="B348" i="2"/>
  <c r="K348" i="2" s="1"/>
  <c r="B349" i="2"/>
  <c r="K349" i="2" s="1"/>
  <c r="B350" i="2"/>
  <c r="K350" i="2" s="1"/>
  <c r="B351" i="2"/>
  <c r="K351" i="2" s="1"/>
  <c r="B352" i="2"/>
  <c r="K352" i="2" s="1"/>
  <c r="B353" i="2"/>
  <c r="K353" i="2" s="1"/>
  <c r="B354" i="2"/>
  <c r="K354" i="2" s="1"/>
  <c r="B355" i="2"/>
  <c r="K355" i="2" s="1"/>
  <c r="B356" i="2"/>
  <c r="K356" i="2" s="1"/>
  <c r="B357" i="2"/>
  <c r="K357" i="2" s="1"/>
  <c r="B358" i="2"/>
  <c r="K358" i="2" s="1"/>
  <c r="B359" i="2"/>
  <c r="K359" i="2" s="1"/>
  <c r="B360" i="2"/>
  <c r="K360" i="2" s="1"/>
  <c r="B361" i="2"/>
  <c r="K361" i="2" s="1"/>
  <c r="B362" i="2"/>
  <c r="K362" i="2" s="1"/>
  <c r="B363" i="2"/>
  <c r="K363" i="2" s="1"/>
  <c r="B364" i="2"/>
  <c r="K364" i="2" s="1"/>
  <c r="B365" i="2"/>
  <c r="K365" i="2" s="1"/>
  <c r="B366" i="2"/>
  <c r="K366" i="2" s="1"/>
  <c r="B367" i="2"/>
  <c r="K367" i="2" s="1"/>
  <c r="B368" i="2"/>
  <c r="K368" i="2" s="1"/>
  <c r="B369" i="2"/>
  <c r="K369" i="2" s="1"/>
  <c r="B370" i="2"/>
  <c r="K370" i="2" s="1"/>
  <c r="B371" i="2"/>
  <c r="K371" i="2" s="1"/>
  <c r="B372" i="2"/>
  <c r="K372" i="2" s="1"/>
  <c r="B373" i="2"/>
  <c r="K373" i="2" s="1"/>
  <c r="B374" i="2"/>
  <c r="K374" i="2" s="1"/>
  <c r="B375" i="2"/>
  <c r="K375" i="2" s="1"/>
  <c r="B376" i="2"/>
  <c r="K376" i="2" s="1"/>
  <c r="B377" i="2"/>
  <c r="K377" i="2" s="1"/>
  <c r="B378" i="2"/>
  <c r="K378" i="2" s="1"/>
  <c r="B379" i="2"/>
  <c r="K379" i="2" s="1"/>
  <c r="B380" i="2"/>
  <c r="K380" i="2" s="1"/>
  <c r="B381" i="2"/>
  <c r="K381" i="2" s="1"/>
  <c r="B382" i="2"/>
  <c r="K382" i="2" s="1"/>
  <c r="B383" i="2"/>
  <c r="K383" i="2" s="1"/>
  <c r="B384" i="2"/>
  <c r="K384" i="2" s="1"/>
  <c r="B385" i="2"/>
  <c r="K385" i="2" s="1"/>
  <c r="B386" i="2"/>
  <c r="K386" i="2" s="1"/>
  <c r="B387" i="2"/>
  <c r="K387" i="2" s="1"/>
  <c r="B388" i="2"/>
  <c r="K388" i="2" s="1"/>
  <c r="B389" i="2"/>
  <c r="K389" i="2" s="1"/>
  <c r="B390" i="2"/>
  <c r="K390" i="2" s="1"/>
  <c r="B391" i="2"/>
  <c r="K391" i="2" s="1"/>
  <c r="B392" i="2"/>
  <c r="K392" i="2" s="1"/>
  <c r="B393" i="2"/>
  <c r="K393" i="2" s="1"/>
  <c r="B394" i="2"/>
  <c r="K394" i="2" s="1"/>
  <c r="B395" i="2"/>
  <c r="K395" i="2" s="1"/>
  <c r="B396" i="2"/>
  <c r="K396" i="2" s="1"/>
  <c r="B397" i="2"/>
  <c r="K397" i="2" s="1"/>
  <c r="B398" i="2"/>
  <c r="K398" i="2" s="1"/>
  <c r="B399" i="2"/>
  <c r="K399" i="2" s="1"/>
  <c r="B400" i="2"/>
  <c r="K400" i="2" s="1"/>
  <c r="B401" i="2"/>
  <c r="K401" i="2" s="1"/>
  <c r="B402" i="2"/>
  <c r="K402" i="2" s="1"/>
  <c r="B403" i="2"/>
  <c r="K403" i="2" s="1"/>
  <c r="B404" i="2"/>
  <c r="K404" i="2" s="1"/>
  <c r="B405" i="2"/>
  <c r="K405" i="2" s="1"/>
  <c r="B406" i="2"/>
  <c r="K406" i="2" s="1"/>
  <c r="B407" i="2"/>
  <c r="K407" i="2" s="1"/>
  <c r="B408" i="2"/>
  <c r="K408" i="2" s="1"/>
  <c r="B409" i="2"/>
  <c r="K409" i="2" s="1"/>
  <c r="B410" i="2"/>
  <c r="K410" i="2" s="1"/>
  <c r="B411" i="2"/>
  <c r="K411" i="2" s="1"/>
  <c r="B412" i="2"/>
  <c r="K412" i="2" s="1"/>
  <c r="B413" i="2"/>
  <c r="K413" i="2" s="1"/>
  <c r="B414" i="2"/>
  <c r="K414" i="2" s="1"/>
  <c r="B415" i="2"/>
  <c r="K415" i="2" s="1"/>
  <c r="B416" i="2"/>
  <c r="K416" i="2" s="1"/>
  <c r="B417" i="2"/>
  <c r="K417" i="2" s="1"/>
  <c r="B418" i="2"/>
  <c r="K418" i="2" s="1"/>
  <c r="B419" i="2"/>
  <c r="K419" i="2" s="1"/>
  <c r="B420" i="2"/>
  <c r="K420" i="2" s="1"/>
  <c r="B421" i="2"/>
  <c r="K421" i="2" s="1"/>
  <c r="B422" i="2"/>
  <c r="K422" i="2" s="1"/>
  <c r="B423" i="2"/>
  <c r="K423" i="2" s="1"/>
  <c r="B424" i="2"/>
  <c r="K424" i="2" s="1"/>
  <c r="B425" i="2"/>
  <c r="K425" i="2" s="1"/>
  <c r="B426" i="2"/>
  <c r="K426" i="2" s="1"/>
  <c r="B427" i="2"/>
  <c r="K427" i="2" s="1"/>
  <c r="B428" i="2"/>
  <c r="K428" i="2" s="1"/>
  <c r="B429" i="2"/>
  <c r="K429" i="2" s="1"/>
  <c r="B430" i="2"/>
  <c r="K430" i="2" s="1"/>
  <c r="B431" i="2"/>
  <c r="K431" i="2" s="1"/>
  <c r="B432" i="2"/>
  <c r="K432" i="2" s="1"/>
  <c r="B433" i="2"/>
  <c r="K433" i="2" s="1"/>
  <c r="B434" i="2"/>
  <c r="K434" i="2" s="1"/>
  <c r="B435" i="2"/>
  <c r="K435" i="2" s="1"/>
  <c r="B436" i="2"/>
  <c r="K436" i="2" s="1"/>
  <c r="B437" i="2"/>
  <c r="K437" i="2" s="1"/>
  <c r="B438" i="2"/>
  <c r="K438" i="2" s="1"/>
  <c r="B439" i="2"/>
  <c r="K439" i="2" s="1"/>
  <c r="B440" i="2"/>
  <c r="K440" i="2" s="1"/>
  <c r="B441" i="2"/>
  <c r="K441" i="2" s="1"/>
  <c r="B442" i="2"/>
  <c r="K442" i="2" s="1"/>
  <c r="B443" i="2"/>
  <c r="K443" i="2" s="1"/>
  <c r="B444" i="2"/>
  <c r="K444" i="2" s="1"/>
  <c r="B445" i="2"/>
  <c r="K445" i="2" s="1"/>
  <c r="B446" i="2"/>
  <c r="K446" i="2" s="1"/>
  <c r="B447" i="2"/>
  <c r="K447" i="2" s="1"/>
  <c r="B448" i="2"/>
  <c r="K448" i="2" s="1"/>
  <c r="B449" i="2"/>
  <c r="K449" i="2" s="1"/>
  <c r="B450" i="2"/>
  <c r="K450" i="2" s="1"/>
  <c r="B451" i="2"/>
  <c r="K451" i="2" s="1"/>
  <c r="B452" i="2"/>
  <c r="K452" i="2" s="1"/>
  <c r="B453" i="2"/>
  <c r="K453" i="2" s="1"/>
  <c r="B454" i="2"/>
  <c r="K454" i="2" s="1"/>
  <c r="B455" i="2"/>
  <c r="K455" i="2" s="1"/>
  <c r="B456" i="2"/>
  <c r="K456" i="2" s="1"/>
  <c r="B457" i="2"/>
  <c r="K457" i="2" s="1"/>
  <c r="B458" i="2"/>
  <c r="K458" i="2" s="1"/>
  <c r="B459" i="2"/>
  <c r="K459" i="2" s="1"/>
  <c r="B460" i="2"/>
  <c r="K460" i="2" s="1"/>
  <c r="B461" i="2"/>
  <c r="K461" i="2" s="1"/>
  <c r="B462" i="2"/>
  <c r="K462" i="2" s="1"/>
  <c r="B463" i="2"/>
  <c r="K463" i="2" s="1"/>
  <c r="B464" i="2"/>
  <c r="K464" i="2" s="1"/>
  <c r="B465" i="2"/>
  <c r="K465" i="2" s="1"/>
  <c r="B466" i="2"/>
  <c r="K466" i="2" s="1"/>
  <c r="B467" i="2"/>
  <c r="K467" i="2" s="1"/>
  <c r="B468" i="2"/>
  <c r="K468" i="2" s="1"/>
  <c r="B469" i="2"/>
  <c r="K469" i="2" s="1"/>
  <c r="B470" i="2"/>
  <c r="K470" i="2" s="1"/>
  <c r="B471" i="2"/>
  <c r="K471" i="2" s="1"/>
  <c r="B472" i="2"/>
  <c r="K472" i="2" s="1"/>
  <c r="B473" i="2"/>
  <c r="K473" i="2" s="1"/>
  <c r="B474" i="2"/>
  <c r="K474" i="2" s="1"/>
  <c r="B475" i="2"/>
  <c r="K475" i="2" s="1"/>
  <c r="B476" i="2"/>
  <c r="K476" i="2" s="1"/>
  <c r="B477" i="2"/>
  <c r="K477" i="2" s="1"/>
  <c r="B478" i="2"/>
  <c r="K478" i="2" s="1"/>
  <c r="B479" i="2"/>
  <c r="K479" i="2" s="1"/>
  <c r="B480" i="2"/>
  <c r="K480" i="2" s="1"/>
  <c r="B481" i="2"/>
  <c r="K481" i="2" s="1"/>
  <c r="B482" i="2"/>
  <c r="K482" i="2" s="1"/>
  <c r="B483" i="2"/>
  <c r="K483" i="2" s="1"/>
  <c r="B484" i="2"/>
  <c r="K484" i="2" s="1"/>
  <c r="B485" i="2"/>
  <c r="K485" i="2" s="1"/>
  <c r="B486" i="2"/>
  <c r="K486" i="2" s="1"/>
  <c r="B487" i="2"/>
  <c r="K487" i="2" s="1"/>
  <c r="B488" i="2"/>
  <c r="K488" i="2" s="1"/>
  <c r="B489" i="2"/>
  <c r="K489" i="2" s="1"/>
  <c r="B490" i="2"/>
  <c r="K490" i="2" s="1"/>
  <c r="B491" i="2"/>
  <c r="K491" i="2" s="1"/>
  <c r="B492" i="2"/>
  <c r="K492" i="2" s="1"/>
  <c r="B493" i="2"/>
  <c r="K493" i="2" s="1"/>
  <c r="B494" i="2"/>
  <c r="K494" i="2" s="1"/>
  <c r="B495" i="2"/>
  <c r="K495" i="2" s="1"/>
  <c r="B496" i="2"/>
  <c r="K496" i="2" s="1"/>
  <c r="B497" i="2"/>
  <c r="K497" i="2" s="1"/>
  <c r="B498" i="2"/>
  <c r="K498" i="2" s="1"/>
  <c r="B499" i="2"/>
  <c r="K499" i="2" s="1"/>
  <c r="B500" i="2"/>
  <c r="K500" i="2" s="1"/>
  <c r="B501" i="2"/>
  <c r="K501" i="2" s="1"/>
  <c r="B502" i="2"/>
  <c r="K502" i="2" s="1"/>
  <c r="B503" i="2"/>
  <c r="K503" i="2" s="1"/>
  <c r="B504" i="2"/>
  <c r="K504" i="2" s="1"/>
  <c r="B505" i="2"/>
  <c r="K505" i="2" s="1"/>
  <c r="B506" i="2"/>
  <c r="K506" i="2" s="1"/>
  <c r="B507" i="2"/>
  <c r="K507" i="2" s="1"/>
  <c r="B508" i="2"/>
  <c r="K508" i="2" s="1"/>
  <c r="B509" i="2"/>
  <c r="K509" i="2" s="1"/>
  <c r="B510" i="2"/>
  <c r="K510" i="2" s="1"/>
  <c r="B511" i="2"/>
  <c r="K511" i="2" s="1"/>
  <c r="B512" i="2"/>
  <c r="K512" i="2" s="1"/>
  <c r="B513" i="2"/>
  <c r="K513" i="2" s="1"/>
  <c r="B514" i="2"/>
  <c r="K514" i="2" s="1"/>
  <c r="B515" i="2"/>
  <c r="K515" i="2" s="1"/>
  <c r="B516" i="2"/>
  <c r="K516" i="2" s="1"/>
  <c r="B517" i="2"/>
  <c r="K517" i="2" s="1"/>
  <c r="B518" i="2"/>
  <c r="K518" i="2" s="1"/>
  <c r="B519" i="2"/>
  <c r="K519" i="2" s="1"/>
  <c r="B520" i="2"/>
  <c r="K520" i="2" s="1"/>
  <c r="B521" i="2"/>
  <c r="K521" i="2" s="1"/>
  <c r="B522" i="2"/>
  <c r="K522" i="2" s="1"/>
  <c r="B523" i="2"/>
  <c r="K523" i="2" s="1"/>
  <c r="B524" i="2"/>
  <c r="K524" i="2" s="1"/>
  <c r="B525" i="2"/>
  <c r="K525" i="2" s="1"/>
  <c r="B526" i="2"/>
  <c r="K526" i="2" s="1"/>
  <c r="B527" i="2"/>
  <c r="K527" i="2" s="1"/>
  <c r="B528" i="2"/>
  <c r="K528" i="2" s="1"/>
  <c r="B529" i="2"/>
  <c r="K529" i="2" s="1"/>
  <c r="B530" i="2"/>
  <c r="K530" i="2" s="1"/>
  <c r="B531" i="2"/>
  <c r="K531" i="2" s="1"/>
  <c r="B532" i="2"/>
  <c r="K532" i="2" s="1"/>
  <c r="B533" i="2"/>
  <c r="K533" i="2" s="1"/>
  <c r="B534" i="2"/>
  <c r="K534" i="2" s="1"/>
  <c r="B535" i="2"/>
  <c r="K535" i="2" s="1"/>
  <c r="B536" i="2"/>
  <c r="K536" i="2" s="1"/>
  <c r="B537" i="2"/>
  <c r="K537" i="2" s="1"/>
  <c r="B538" i="2"/>
  <c r="K538" i="2" s="1"/>
  <c r="B539" i="2"/>
  <c r="K539" i="2" s="1"/>
  <c r="B540" i="2"/>
  <c r="K540" i="2" s="1"/>
  <c r="B541" i="2"/>
  <c r="K541" i="2" s="1"/>
  <c r="B542" i="2"/>
  <c r="K542" i="2" s="1"/>
  <c r="B543" i="2"/>
  <c r="K543" i="2" s="1"/>
  <c r="B544" i="2"/>
  <c r="K544" i="2" s="1"/>
  <c r="B545" i="2"/>
  <c r="K545" i="2" s="1"/>
  <c r="B546" i="2"/>
  <c r="K546" i="2" s="1"/>
  <c r="B547" i="2"/>
  <c r="K547" i="2" s="1"/>
  <c r="B548" i="2"/>
  <c r="K548" i="2" s="1"/>
  <c r="B549" i="2"/>
  <c r="K549" i="2" s="1"/>
  <c r="B550" i="2"/>
  <c r="K550" i="2" s="1"/>
  <c r="B551" i="2"/>
  <c r="K551" i="2" s="1"/>
  <c r="B552" i="2"/>
  <c r="K552" i="2" s="1"/>
  <c r="B553" i="2"/>
  <c r="K553" i="2" s="1"/>
  <c r="B554" i="2"/>
  <c r="K554" i="2" s="1"/>
  <c r="B555" i="2"/>
  <c r="K555" i="2" s="1"/>
  <c r="B556" i="2"/>
  <c r="K556" i="2" s="1"/>
  <c r="B557" i="2"/>
  <c r="K557" i="2" s="1"/>
  <c r="B558" i="2"/>
  <c r="K558" i="2" s="1"/>
  <c r="B559" i="2"/>
  <c r="K559" i="2" s="1"/>
  <c r="B560" i="2"/>
  <c r="K560" i="2" s="1"/>
  <c r="B561" i="2"/>
  <c r="K561" i="2" s="1"/>
  <c r="B562" i="2"/>
  <c r="K562" i="2" s="1"/>
  <c r="B563" i="2"/>
  <c r="K563" i="2" s="1"/>
  <c r="B564" i="2"/>
  <c r="K564" i="2" s="1"/>
  <c r="B565" i="2"/>
  <c r="K565" i="2" s="1"/>
  <c r="B566" i="2"/>
  <c r="K566" i="2" s="1"/>
  <c r="B567" i="2"/>
  <c r="K567" i="2" s="1"/>
  <c r="B568" i="2"/>
  <c r="K568" i="2" s="1"/>
  <c r="B569" i="2"/>
  <c r="K569" i="2" s="1"/>
  <c r="B570" i="2"/>
  <c r="K570" i="2" s="1"/>
  <c r="B571" i="2"/>
  <c r="K571" i="2" s="1"/>
  <c r="B572" i="2"/>
  <c r="K572" i="2" s="1"/>
  <c r="B573" i="2"/>
  <c r="K573" i="2" s="1"/>
  <c r="B574" i="2"/>
  <c r="K574" i="2" s="1"/>
  <c r="B575" i="2"/>
  <c r="K575" i="2" s="1"/>
  <c r="B576" i="2"/>
  <c r="K576" i="2" s="1"/>
  <c r="B577" i="2"/>
  <c r="K577" i="2" s="1"/>
  <c r="B578" i="2"/>
  <c r="K578" i="2" s="1"/>
  <c r="B579" i="2"/>
  <c r="K579" i="2" s="1"/>
  <c r="B580" i="2"/>
  <c r="K580" i="2" s="1"/>
  <c r="B581" i="2"/>
  <c r="K581" i="2" s="1"/>
  <c r="B582" i="2"/>
  <c r="K582" i="2" s="1"/>
  <c r="B583" i="2"/>
  <c r="K583" i="2" s="1"/>
  <c r="B584" i="2"/>
  <c r="K584" i="2" s="1"/>
  <c r="B585" i="2"/>
  <c r="K585" i="2" s="1"/>
  <c r="B586" i="2"/>
  <c r="K586" i="2" s="1"/>
  <c r="B587" i="2"/>
  <c r="K587" i="2" s="1"/>
  <c r="B588" i="2"/>
  <c r="K588" i="2" s="1"/>
  <c r="B589" i="2"/>
  <c r="K589" i="2" s="1"/>
  <c r="B590" i="2"/>
  <c r="K590" i="2" s="1"/>
  <c r="B591" i="2"/>
  <c r="K591" i="2" s="1"/>
  <c r="B592" i="2"/>
  <c r="K592" i="2" s="1"/>
  <c r="B593" i="2"/>
  <c r="K593" i="2" s="1"/>
  <c r="B594" i="2"/>
  <c r="K594" i="2" s="1"/>
  <c r="B595" i="2"/>
  <c r="K595" i="2" s="1"/>
  <c r="B596" i="2"/>
  <c r="K596" i="2" s="1"/>
  <c r="B597" i="2"/>
  <c r="K597" i="2" s="1"/>
  <c r="B598" i="2"/>
  <c r="K598" i="2" s="1"/>
  <c r="B599" i="2"/>
  <c r="K599" i="2" s="1"/>
  <c r="B600" i="2"/>
  <c r="K600" i="2" s="1"/>
  <c r="B601" i="2"/>
  <c r="K601" i="2" s="1"/>
  <c r="B602" i="2"/>
  <c r="K602" i="2" s="1"/>
  <c r="B603" i="2"/>
  <c r="K603" i="2" s="1"/>
  <c r="B604" i="2"/>
  <c r="K604" i="2" s="1"/>
  <c r="B605" i="2"/>
  <c r="K605" i="2" s="1"/>
  <c r="B606" i="2"/>
  <c r="K606" i="2" s="1"/>
  <c r="B607" i="2"/>
  <c r="K607" i="2" s="1"/>
  <c r="B608" i="2"/>
  <c r="K608" i="2" s="1"/>
  <c r="B609" i="2"/>
  <c r="K609" i="2" s="1"/>
  <c r="B610" i="2"/>
  <c r="K610" i="2" s="1"/>
  <c r="B611" i="2"/>
  <c r="K611" i="2" s="1"/>
  <c r="B612" i="2"/>
  <c r="K612" i="2" s="1"/>
  <c r="B613" i="2"/>
  <c r="K613" i="2" s="1"/>
  <c r="B614" i="2"/>
  <c r="K614" i="2" s="1"/>
  <c r="B615" i="2"/>
  <c r="K615" i="2" s="1"/>
  <c r="B616" i="2"/>
  <c r="K616" i="2" s="1"/>
  <c r="B617" i="2"/>
  <c r="K617" i="2" s="1"/>
  <c r="B618" i="2"/>
  <c r="K618" i="2" s="1"/>
  <c r="B619" i="2"/>
  <c r="K619" i="2" s="1"/>
  <c r="B620" i="2"/>
  <c r="K620" i="2" s="1"/>
  <c r="B621" i="2"/>
  <c r="K621" i="2" s="1"/>
  <c r="B622" i="2"/>
  <c r="K622" i="2" s="1"/>
  <c r="B623" i="2"/>
  <c r="K623" i="2" s="1"/>
  <c r="B624" i="2"/>
  <c r="K624" i="2" s="1"/>
  <c r="B625" i="2"/>
  <c r="K625" i="2" s="1"/>
  <c r="B626" i="2"/>
  <c r="K626" i="2" s="1"/>
  <c r="B627" i="2"/>
  <c r="K627" i="2" s="1"/>
  <c r="B628" i="2"/>
  <c r="K628" i="2" s="1"/>
  <c r="B629" i="2"/>
  <c r="K629" i="2" s="1"/>
  <c r="B630" i="2"/>
  <c r="K630" i="2" s="1"/>
  <c r="B631" i="2"/>
  <c r="K631" i="2" s="1"/>
  <c r="B632" i="2"/>
  <c r="K632" i="2" s="1"/>
  <c r="B633" i="2"/>
  <c r="K633" i="2" s="1"/>
  <c r="B634" i="2"/>
  <c r="K634" i="2" s="1"/>
  <c r="B635" i="2"/>
  <c r="K635" i="2" s="1"/>
  <c r="B636" i="2"/>
  <c r="K636" i="2" s="1"/>
  <c r="B637" i="2"/>
  <c r="K637" i="2" s="1"/>
  <c r="B638" i="2"/>
  <c r="K638" i="2" s="1"/>
  <c r="B639" i="2"/>
  <c r="K639" i="2" s="1"/>
  <c r="B640" i="2"/>
  <c r="K640" i="2" s="1"/>
  <c r="B641" i="2"/>
  <c r="K641" i="2" s="1"/>
  <c r="B642" i="2"/>
  <c r="K642" i="2" s="1"/>
  <c r="B643" i="2"/>
  <c r="K643" i="2" s="1"/>
  <c r="B644" i="2"/>
  <c r="K644" i="2" s="1"/>
  <c r="B645" i="2"/>
  <c r="K645" i="2" s="1"/>
  <c r="B646" i="2"/>
  <c r="K646" i="2" s="1"/>
  <c r="B647" i="2"/>
  <c r="K647" i="2" s="1"/>
  <c r="B648" i="2"/>
  <c r="K648" i="2" s="1"/>
  <c r="B649" i="2"/>
  <c r="K649" i="2" s="1"/>
  <c r="B650" i="2"/>
  <c r="K650" i="2" s="1"/>
  <c r="B651" i="2"/>
  <c r="K651" i="2" s="1"/>
  <c r="B652" i="2"/>
  <c r="K652" i="2" s="1"/>
  <c r="B653" i="2"/>
  <c r="K653" i="2" s="1"/>
  <c r="B654" i="2"/>
  <c r="K654" i="2" s="1"/>
  <c r="B655" i="2"/>
  <c r="K655" i="2" s="1"/>
  <c r="B656" i="2"/>
  <c r="K656" i="2" s="1"/>
  <c r="B657" i="2"/>
  <c r="K657" i="2" s="1"/>
  <c r="B658" i="2"/>
  <c r="K658" i="2" s="1"/>
  <c r="B659" i="2"/>
  <c r="K659" i="2" s="1"/>
  <c r="B660" i="2"/>
  <c r="K660" i="2" s="1"/>
  <c r="B661" i="2"/>
  <c r="K661" i="2" s="1"/>
  <c r="B662" i="2"/>
  <c r="K662" i="2" s="1"/>
  <c r="B663" i="2"/>
  <c r="K663" i="2" s="1"/>
  <c r="B664" i="2"/>
  <c r="K664" i="2" s="1"/>
  <c r="B665" i="2"/>
  <c r="K665" i="2" s="1"/>
  <c r="B666" i="2"/>
  <c r="K666" i="2" s="1"/>
  <c r="B667" i="2"/>
  <c r="K667" i="2" s="1"/>
  <c r="B668" i="2"/>
  <c r="K668" i="2" s="1"/>
  <c r="B669" i="2"/>
  <c r="K669" i="2" s="1"/>
  <c r="B670" i="2"/>
  <c r="K670" i="2" s="1"/>
  <c r="B671" i="2"/>
  <c r="K671" i="2" s="1"/>
  <c r="B672" i="2"/>
  <c r="K672" i="2" s="1"/>
  <c r="B673" i="2"/>
  <c r="K673" i="2" s="1"/>
  <c r="B674" i="2"/>
  <c r="K674" i="2" s="1"/>
  <c r="B675" i="2"/>
  <c r="K675" i="2" s="1"/>
  <c r="B676" i="2"/>
  <c r="K676" i="2" s="1"/>
  <c r="B677" i="2"/>
  <c r="K677" i="2" s="1"/>
  <c r="B678" i="2"/>
  <c r="K678" i="2" s="1"/>
  <c r="B679" i="2"/>
  <c r="K679" i="2" s="1"/>
  <c r="B680" i="2"/>
  <c r="K680" i="2" s="1"/>
  <c r="B681" i="2"/>
  <c r="K681" i="2" s="1"/>
  <c r="B682" i="2"/>
  <c r="K682" i="2" s="1"/>
  <c r="B683" i="2"/>
  <c r="K683" i="2" s="1"/>
  <c r="B684" i="2"/>
  <c r="K684" i="2" s="1"/>
  <c r="B685" i="2"/>
  <c r="K685" i="2" s="1"/>
  <c r="B686" i="2"/>
  <c r="K686" i="2" s="1"/>
  <c r="B687" i="2"/>
  <c r="K687" i="2" s="1"/>
  <c r="B688" i="2"/>
  <c r="K688" i="2" s="1"/>
  <c r="B689" i="2"/>
  <c r="K689" i="2" s="1"/>
  <c r="B690" i="2"/>
  <c r="K690" i="2" s="1"/>
  <c r="B691" i="2"/>
  <c r="K691" i="2" s="1"/>
  <c r="B692" i="2"/>
  <c r="K692" i="2" s="1"/>
  <c r="B693" i="2"/>
  <c r="K693" i="2" s="1"/>
  <c r="B694" i="2"/>
  <c r="K694" i="2" s="1"/>
  <c r="B695" i="2"/>
  <c r="K695" i="2" s="1"/>
  <c r="B696" i="2"/>
  <c r="K696" i="2" s="1"/>
  <c r="B697" i="2"/>
  <c r="K697" i="2" s="1"/>
  <c r="B698" i="2"/>
  <c r="K698" i="2" s="1"/>
  <c r="B699" i="2"/>
  <c r="K699" i="2" s="1"/>
  <c r="B700" i="2"/>
  <c r="K700" i="2" s="1"/>
  <c r="B701" i="2"/>
  <c r="K701" i="2" s="1"/>
  <c r="B702" i="2"/>
  <c r="K702" i="2" s="1"/>
  <c r="B703" i="2"/>
  <c r="K703" i="2" s="1"/>
  <c r="B704" i="2"/>
  <c r="K704" i="2" s="1"/>
  <c r="B705" i="2"/>
  <c r="K705" i="2" s="1"/>
  <c r="B706" i="2"/>
  <c r="K706" i="2" s="1"/>
  <c r="B707" i="2"/>
  <c r="K707" i="2" s="1"/>
  <c r="B708" i="2"/>
  <c r="K708" i="2" s="1"/>
  <c r="B709" i="2"/>
  <c r="K709" i="2" s="1"/>
  <c r="B710" i="2"/>
  <c r="K710" i="2" s="1"/>
  <c r="B711" i="2"/>
  <c r="K711" i="2" s="1"/>
  <c r="B712" i="2"/>
  <c r="K712" i="2" s="1"/>
  <c r="B713" i="2"/>
  <c r="K713" i="2" s="1"/>
  <c r="B714" i="2"/>
  <c r="K714" i="2" s="1"/>
  <c r="B715" i="2"/>
  <c r="K715" i="2" s="1"/>
  <c r="B716" i="2"/>
  <c r="K716" i="2" s="1"/>
  <c r="B717" i="2"/>
  <c r="K717" i="2" s="1"/>
  <c r="B718" i="2"/>
  <c r="K718" i="2" s="1"/>
  <c r="B719" i="2"/>
  <c r="K719" i="2" s="1"/>
  <c r="B720" i="2"/>
  <c r="K720" i="2" s="1"/>
  <c r="B721" i="2"/>
  <c r="K721" i="2" s="1"/>
  <c r="B722" i="2"/>
  <c r="K722" i="2" s="1"/>
  <c r="B723" i="2"/>
  <c r="K723" i="2" s="1"/>
  <c r="B724" i="2"/>
  <c r="K724" i="2" s="1"/>
  <c r="B725" i="2"/>
  <c r="K725" i="2" s="1"/>
  <c r="B726" i="2"/>
  <c r="K726" i="2" s="1"/>
  <c r="B727" i="2"/>
  <c r="K727" i="2" s="1"/>
  <c r="B728" i="2"/>
  <c r="K728" i="2" s="1"/>
  <c r="B729" i="2"/>
  <c r="K729" i="2" s="1"/>
  <c r="B730" i="2"/>
  <c r="K730" i="2" s="1"/>
  <c r="B731" i="2"/>
  <c r="K731" i="2" s="1"/>
  <c r="B732" i="2"/>
  <c r="K732" i="2" s="1"/>
  <c r="B733" i="2"/>
  <c r="K733" i="2" s="1"/>
  <c r="B734" i="2"/>
  <c r="K734" i="2" s="1"/>
  <c r="B735" i="2"/>
  <c r="K735" i="2" s="1"/>
  <c r="B736" i="2"/>
  <c r="K736" i="2" s="1"/>
  <c r="B737" i="2"/>
  <c r="K737" i="2" s="1"/>
  <c r="B738" i="2"/>
  <c r="K738" i="2" s="1"/>
  <c r="B739" i="2"/>
  <c r="K739" i="2" s="1"/>
  <c r="B740" i="2"/>
  <c r="K740" i="2" s="1"/>
  <c r="B741" i="2"/>
  <c r="K741" i="2" s="1"/>
  <c r="B742" i="2"/>
  <c r="K742" i="2" s="1"/>
  <c r="B743" i="2"/>
  <c r="K743" i="2" s="1"/>
  <c r="B744" i="2"/>
  <c r="K744" i="2" s="1"/>
  <c r="B745" i="2"/>
  <c r="K745" i="2" s="1"/>
  <c r="B746" i="2"/>
  <c r="K746" i="2" s="1"/>
  <c r="B747" i="2"/>
  <c r="K747" i="2" s="1"/>
  <c r="B748" i="2"/>
  <c r="K748" i="2" s="1"/>
  <c r="B749" i="2"/>
  <c r="K749" i="2" s="1"/>
  <c r="B750" i="2"/>
  <c r="K750" i="2" s="1"/>
  <c r="B751" i="2"/>
  <c r="K751" i="2" s="1"/>
  <c r="B752" i="2"/>
  <c r="K752" i="2" s="1"/>
  <c r="B753" i="2"/>
  <c r="K753" i="2" s="1"/>
  <c r="B754" i="2"/>
  <c r="K754" i="2" s="1"/>
  <c r="B755" i="2"/>
  <c r="K755" i="2" s="1"/>
  <c r="B756" i="2"/>
  <c r="K756" i="2" s="1"/>
  <c r="B757" i="2"/>
  <c r="K757" i="2" s="1"/>
  <c r="B758" i="2"/>
  <c r="K758" i="2" s="1"/>
  <c r="B759" i="2"/>
  <c r="K759" i="2" s="1"/>
  <c r="B760" i="2"/>
  <c r="K760" i="2" s="1"/>
  <c r="B761" i="2"/>
  <c r="K761" i="2" s="1"/>
  <c r="B762" i="2"/>
  <c r="K762" i="2" s="1"/>
  <c r="B763" i="2"/>
  <c r="K763" i="2" s="1"/>
  <c r="B764" i="2"/>
  <c r="K764" i="2" s="1"/>
  <c r="B765" i="2"/>
  <c r="K765" i="2" s="1"/>
  <c r="B766" i="2"/>
  <c r="K766" i="2" s="1"/>
  <c r="B767" i="2"/>
  <c r="K767" i="2" s="1"/>
  <c r="B768" i="2"/>
  <c r="K768" i="2" s="1"/>
  <c r="B769" i="2"/>
  <c r="K769" i="2" s="1"/>
  <c r="B770" i="2"/>
  <c r="K770" i="2" s="1"/>
  <c r="B771" i="2"/>
  <c r="K771" i="2" s="1"/>
  <c r="B772" i="2"/>
  <c r="K772" i="2" s="1"/>
  <c r="B773" i="2"/>
  <c r="K773" i="2" s="1"/>
  <c r="B774" i="2"/>
  <c r="K774" i="2" s="1"/>
  <c r="B775" i="2"/>
  <c r="K775" i="2" s="1"/>
  <c r="B776" i="2"/>
  <c r="K776" i="2" s="1"/>
  <c r="B777" i="2"/>
  <c r="K777" i="2" s="1"/>
  <c r="B778" i="2"/>
  <c r="K778" i="2" s="1"/>
  <c r="B779" i="2"/>
  <c r="K779" i="2" s="1"/>
  <c r="B780" i="2"/>
  <c r="K780" i="2" s="1"/>
  <c r="B781" i="2"/>
  <c r="K781" i="2" s="1"/>
  <c r="B782" i="2"/>
  <c r="K782" i="2" s="1"/>
  <c r="B783" i="2"/>
  <c r="K783" i="2" s="1"/>
  <c r="B784" i="2"/>
  <c r="K784" i="2" s="1"/>
  <c r="B785" i="2"/>
  <c r="K785" i="2" s="1"/>
  <c r="B786" i="2"/>
  <c r="K786" i="2" s="1"/>
  <c r="B787" i="2"/>
  <c r="K787" i="2" s="1"/>
  <c r="B788" i="2"/>
  <c r="K788" i="2" s="1"/>
  <c r="B789" i="2"/>
  <c r="K789" i="2" s="1"/>
  <c r="B790" i="2"/>
  <c r="K790" i="2" s="1"/>
  <c r="B791" i="2"/>
  <c r="K791" i="2" s="1"/>
  <c r="B792" i="2"/>
  <c r="K792" i="2" s="1"/>
  <c r="B793" i="2"/>
  <c r="K793" i="2" s="1"/>
  <c r="B794" i="2"/>
  <c r="K794" i="2" s="1"/>
  <c r="B795" i="2"/>
  <c r="K795" i="2" s="1"/>
  <c r="B796" i="2"/>
  <c r="K796" i="2" s="1"/>
  <c r="B797" i="2"/>
  <c r="K797" i="2" s="1"/>
  <c r="B798" i="2"/>
  <c r="K798" i="2" s="1"/>
  <c r="B799" i="2"/>
  <c r="K799" i="2" s="1"/>
  <c r="B800" i="2"/>
  <c r="K800" i="2" s="1"/>
  <c r="B801" i="2"/>
  <c r="K801" i="2" s="1"/>
  <c r="B802" i="2"/>
  <c r="K802" i="2" s="1"/>
  <c r="B803" i="2"/>
  <c r="K803" i="2" s="1"/>
  <c r="B804" i="2"/>
  <c r="K804" i="2" s="1"/>
  <c r="B805" i="2"/>
  <c r="K805" i="2" s="1"/>
  <c r="B806" i="2"/>
  <c r="K806" i="2" s="1"/>
  <c r="B807" i="2"/>
  <c r="K807" i="2" s="1"/>
  <c r="B808" i="2"/>
  <c r="K808" i="2" s="1"/>
  <c r="B809" i="2"/>
  <c r="K809" i="2" s="1"/>
  <c r="B810" i="2"/>
  <c r="K810" i="2" s="1"/>
  <c r="B811" i="2"/>
  <c r="K811" i="2" s="1"/>
  <c r="B812" i="2"/>
  <c r="K812" i="2" s="1"/>
  <c r="B813" i="2"/>
  <c r="K813" i="2" s="1"/>
  <c r="B814" i="2"/>
  <c r="K814" i="2" s="1"/>
  <c r="B815" i="2"/>
  <c r="K815" i="2" s="1"/>
  <c r="B816" i="2"/>
  <c r="K816" i="2" s="1"/>
  <c r="B817" i="2"/>
  <c r="K817" i="2" s="1"/>
  <c r="B818" i="2"/>
  <c r="K818" i="2" s="1"/>
  <c r="B819" i="2"/>
  <c r="K819" i="2" s="1"/>
  <c r="B820" i="2"/>
  <c r="K820" i="2" s="1"/>
  <c r="B821" i="2"/>
  <c r="K821" i="2" s="1"/>
  <c r="B822" i="2"/>
  <c r="K822" i="2" s="1"/>
  <c r="B823" i="2"/>
  <c r="K823" i="2" s="1"/>
  <c r="B824" i="2"/>
  <c r="K824" i="2" s="1"/>
  <c r="B825" i="2"/>
  <c r="K825" i="2" s="1"/>
  <c r="B826" i="2"/>
  <c r="K826" i="2" s="1"/>
  <c r="B827" i="2"/>
  <c r="K827" i="2" s="1"/>
  <c r="B828" i="2"/>
  <c r="K828" i="2" s="1"/>
  <c r="B829" i="2"/>
  <c r="K829" i="2" s="1"/>
  <c r="B830" i="2"/>
  <c r="K830" i="2" s="1"/>
  <c r="B831" i="2"/>
  <c r="K831" i="2" s="1"/>
  <c r="B832" i="2"/>
  <c r="K832" i="2" s="1"/>
  <c r="B833" i="2"/>
  <c r="K833" i="2" s="1"/>
  <c r="B834" i="2"/>
  <c r="K834" i="2" s="1"/>
  <c r="B835" i="2"/>
  <c r="K835" i="2" s="1"/>
  <c r="B836" i="2"/>
  <c r="K836" i="2" s="1"/>
  <c r="B837" i="2"/>
  <c r="K837" i="2" s="1"/>
  <c r="B838" i="2"/>
  <c r="K838" i="2" s="1"/>
  <c r="B839" i="2"/>
  <c r="K839" i="2" s="1"/>
  <c r="B840" i="2"/>
  <c r="K840" i="2" s="1"/>
  <c r="B841" i="2"/>
  <c r="K841" i="2" s="1"/>
  <c r="B842" i="2"/>
  <c r="K842" i="2" s="1"/>
  <c r="B843" i="2"/>
  <c r="K843" i="2" s="1"/>
  <c r="B844" i="2"/>
  <c r="K844" i="2" s="1"/>
  <c r="B845" i="2"/>
  <c r="K845" i="2" s="1"/>
  <c r="B846" i="2"/>
  <c r="K846" i="2" s="1"/>
  <c r="B847" i="2"/>
  <c r="K847" i="2" s="1"/>
  <c r="B848" i="2"/>
  <c r="K848" i="2" s="1"/>
  <c r="B849" i="2"/>
  <c r="K849" i="2" s="1"/>
  <c r="B850" i="2"/>
  <c r="K850" i="2" s="1"/>
  <c r="B851" i="2"/>
  <c r="K851" i="2" s="1"/>
  <c r="B852" i="2"/>
  <c r="K852" i="2" s="1"/>
  <c r="B853" i="2"/>
  <c r="K853" i="2" s="1"/>
  <c r="B854" i="2"/>
  <c r="K854" i="2" s="1"/>
  <c r="B855" i="2"/>
  <c r="K855" i="2" s="1"/>
  <c r="B856" i="2"/>
  <c r="K856" i="2" s="1"/>
  <c r="B857" i="2"/>
  <c r="K857" i="2" s="1"/>
  <c r="B858" i="2"/>
  <c r="K858" i="2" s="1"/>
  <c r="B859" i="2"/>
  <c r="K859" i="2" s="1"/>
  <c r="B860" i="2"/>
  <c r="K860" i="2" s="1"/>
  <c r="B861" i="2"/>
  <c r="K861" i="2" s="1"/>
  <c r="B862" i="2"/>
  <c r="K862" i="2" s="1"/>
  <c r="B863" i="2"/>
  <c r="K863" i="2" s="1"/>
  <c r="B864" i="2"/>
  <c r="K864" i="2" s="1"/>
  <c r="B865" i="2"/>
  <c r="K865" i="2" s="1"/>
  <c r="B866" i="2"/>
  <c r="K866" i="2" s="1"/>
  <c r="B867" i="2"/>
  <c r="K867" i="2" s="1"/>
  <c r="B868" i="2"/>
  <c r="K868" i="2" s="1"/>
  <c r="B869" i="2"/>
  <c r="K869" i="2" s="1"/>
  <c r="B870" i="2"/>
  <c r="K870" i="2" s="1"/>
  <c r="B871" i="2"/>
  <c r="K871" i="2" s="1"/>
  <c r="B872" i="2"/>
  <c r="K872" i="2" s="1"/>
  <c r="B873" i="2"/>
  <c r="K873" i="2" s="1"/>
  <c r="B874" i="2"/>
  <c r="K874" i="2" s="1"/>
  <c r="B875" i="2"/>
  <c r="K875" i="2" s="1"/>
  <c r="B876" i="2"/>
  <c r="K876" i="2" s="1"/>
  <c r="B877" i="2"/>
  <c r="K877" i="2" s="1"/>
  <c r="B878" i="2"/>
  <c r="K878" i="2" s="1"/>
  <c r="B879" i="2"/>
  <c r="K879" i="2" s="1"/>
  <c r="B880" i="2"/>
  <c r="K880" i="2" s="1"/>
  <c r="B881" i="2"/>
  <c r="K881" i="2" s="1"/>
  <c r="B882" i="2"/>
  <c r="K882" i="2" s="1"/>
  <c r="B883" i="2"/>
  <c r="K883" i="2" s="1"/>
  <c r="B884" i="2"/>
  <c r="K884" i="2" s="1"/>
  <c r="B885" i="2"/>
  <c r="K885" i="2" s="1"/>
  <c r="B886" i="2"/>
  <c r="K886" i="2" s="1"/>
  <c r="B887" i="2"/>
  <c r="K887" i="2" s="1"/>
  <c r="B888" i="2"/>
  <c r="K888" i="2" s="1"/>
  <c r="B889" i="2"/>
  <c r="K889" i="2" s="1"/>
  <c r="B890" i="2"/>
  <c r="K890" i="2" s="1"/>
  <c r="B891" i="2"/>
  <c r="K891" i="2" s="1"/>
  <c r="B892" i="2"/>
  <c r="K892" i="2" s="1"/>
  <c r="B893" i="2"/>
  <c r="K893" i="2" s="1"/>
  <c r="B894" i="2"/>
  <c r="K894" i="2" s="1"/>
  <c r="B895" i="2"/>
  <c r="K895" i="2" s="1"/>
  <c r="B896" i="2"/>
  <c r="K896" i="2" s="1"/>
  <c r="B897" i="2"/>
  <c r="K897" i="2" s="1"/>
  <c r="B898" i="2"/>
  <c r="K898" i="2" s="1"/>
  <c r="B899" i="2"/>
  <c r="K899" i="2" s="1"/>
  <c r="B900" i="2"/>
  <c r="K900" i="2" s="1"/>
  <c r="B901" i="2"/>
  <c r="K901" i="2" s="1"/>
  <c r="B902" i="2"/>
  <c r="K902" i="2" s="1"/>
  <c r="B903" i="2"/>
  <c r="K903" i="2" s="1"/>
  <c r="B904" i="2"/>
  <c r="K904" i="2" s="1"/>
  <c r="B905" i="2"/>
  <c r="K905" i="2" s="1"/>
  <c r="B906" i="2"/>
  <c r="K906" i="2" s="1"/>
  <c r="B907" i="2"/>
  <c r="K907" i="2" s="1"/>
  <c r="B908" i="2"/>
  <c r="K908" i="2" s="1"/>
  <c r="B909" i="2"/>
  <c r="K909" i="2" s="1"/>
  <c r="B910" i="2"/>
  <c r="K910" i="2" s="1"/>
  <c r="B911" i="2"/>
  <c r="K911" i="2" s="1"/>
  <c r="B912" i="2"/>
  <c r="K912" i="2" s="1"/>
  <c r="B913" i="2"/>
  <c r="K913" i="2" s="1"/>
  <c r="B914" i="2"/>
  <c r="K914" i="2" s="1"/>
  <c r="B915" i="2"/>
  <c r="K915" i="2" s="1"/>
  <c r="B916" i="2"/>
  <c r="K916" i="2" s="1"/>
  <c r="B917" i="2"/>
  <c r="K917" i="2" s="1"/>
  <c r="B918" i="2"/>
  <c r="K918" i="2" s="1"/>
  <c r="B919" i="2"/>
  <c r="K919" i="2" s="1"/>
  <c r="B920" i="2"/>
  <c r="K920" i="2" s="1"/>
  <c r="B921" i="2"/>
  <c r="K921" i="2" s="1"/>
  <c r="B922" i="2"/>
  <c r="K922" i="2" s="1"/>
  <c r="B923" i="2"/>
  <c r="K923" i="2" s="1"/>
  <c r="B924" i="2"/>
  <c r="K924" i="2" s="1"/>
  <c r="B925" i="2"/>
  <c r="K925" i="2" s="1"/>
  <c r="B926" i="2"/>
  <c r="K926" i="2" s="1"/>
  <c r="B927" i="2"/>
  <c r="K927" i="2" s="1"/>
  <c r="B928" i="2"/>
  <c r="K928" i="2" s="1"/>
  <c r="B929" i="2"/>
  <c r="K929" i="2" s="1"/>
  <c r="B930" i="2"/>
  <c r="K930" i="2" s="1"/>
  <c r="B931" i="2"/>
  <c r="K931" i="2" s="1"/>
  <c r="B932" i="2"/>
  <c r="K932" i="2" s="1"/>
  <c r="B933" i="2"/>
  <c r="K933" i="2" s="1"/>
  <c r="B934" i="2"/>
  <c r="K934" i="2" s="1"/>
  <c r="B935" i="2"/>
  <c r="K935" i="2" s="1"/>
  <c r="B936" i="2"/>
  <c r="K936" i="2" s="1"/>
  <c r="B937" i="2"/>
  <c r="K937" i="2" s="1"/>
  <c r="B938" i="2"/>
  <c r="K938" i="2" s="1"/>
  <c r="B939" i="2"/>
  <c r="K939" i="2" s="1"/>
  <c r="B940" i="2"/>
  <c r="K940" i="2" s="1"/>
  <c r="B941" i="2"/>
  <c r="K941" i="2" s="1"/>
  <c r="B942" i="2"/>
  <c r="K942" i="2" s="1"/>
  <c r="B943" i="2"/>
  <c r="K943" i="2" s="1"/>
  <c r="B944" i="2"/>
  <c r="K944" i="2" s="1"/>
  <c r="B945" i="2"/>
  <c r="K945" i="2" s="1"/>
  <c r="B946" i="2"/>
  <c r="K946" i="2" s="1"/>
  <c r="B947" i="2"/>
  <c r="K947" i="2" s="1"/>
  <c r="B948" i="2"/>
  <c r="K948" i="2" s="1"/>
  <c r="B949" i="2"/>
  <c r="K949" i="2" s="1"/>
  <c r="B950" i="2"/>
  <c r="K950" i="2" s="1"/>
  <c r="B951" i="2"/>
  <c r="K951" i="2" s="1"/>
  <c r="B952" i="2"/>
  <c r="K952" i="2" s="1"/>
  <c r="B953" i="2"/>
  <c r="K953" i="2" s="1"/>
  <c r="B954" i="2"/>
  <c r="K954" i="2" s="1"/>
  <c r="B955" i="2"/>
  <c r="K955" i="2" s="1"/>
  <c r="B956" i="2"/>
  <c r="K956" i="2" s="1"/>
  <c r="B957" i="2"/>
  <c r="K957" i="2" s="1"/>
  <c r="B958" i="2"/>
  <c r="K958" i="2" s="1"/>
  <c r="B959" i="2"/>
  <c r="K959" i="2" s="1"/>
  <c r="B960" i="2"/>
  <c r="K960" i="2" s="1"/>
  <c r="B961" i="2"/>
  <c r="K961" i="2" s="1"/>
  <c r="B962" i="2"/>
  <c r="K962" i="2" s="1"/>
  <c r="B963" i="2"/>
  <c r="K963" i="2" s="1"/>
  <c r="B964" i="2"/>
  <c r="K964" i="2" s="1"/>
  <c r="B965" i="2"/>
  <c r="K965" i="2" s="1"/>
  <c r="B966" i="2"/>
  <c r="K966" i="2" s="1"/>
  <c r="B967" i="2"/>
  <c r="K967" i="2" s="1"/>
  <c r="B968" i="2"/>
  <c r="K968" i="2" s="1"/>
  <c r="B969" i="2"/>
  <c r="K969" i="2" s="1"/>
  <c r="B970" i="2"/>
  <c r="K970" i="2" s="1"/>
  <c r="B971" i="2"/>
  <c r="K971" i="2" s="1"/>
  <c r="B972" i="2"/>
  <c r="K972" i="2" s="1"/>
  <c r="B973" i="2"/>
  <c r="K973" i="2" s="1"/>
  <c r="B974" i="2"/>
  <c r="K974" i="2" s="1"/>
  <c r="B975" i="2"/>
  <c r="K975" i="2" s="1"/>
  <c r="B976" i="2"/>
  <c r="K976" i="2" s="1"/>
  <c r="B977" i="2"/>
  <c r="K977" i="2" s="1"/>
  <c r="B978" i="2"/>
  <c r="K978" i="2" s="1"/>
  <c r="B979" i="2"/>
  <c r="K979" i="2" s="1"/>
  <c r="B980" i="2"/>
  <c r="K980" i="2" s="1"/>
  <c r="B981" i="2"/>
  <c r="K981" i="2" s="1"/>
  <c r="B982" i="2"/>
  <c r="K982" i="2" s="1"/>
  <c r="B983" i="2"/>
  <c r="K983" i="2" s="1"/>
  <c r="B984" i="2"/>
  <c r="K984" i="2" s="1"/>
  <c r="B985" i="2"/>
  <c r="K985" i="2" s="1"/>
  <c r="B986" i="2"/>
  <c r="K986" i="2" s="1"/>
  <c r="B987" i="2"/>
  <c r="K987" i="2" s="1"/>
  <c r="B988" i="2"/>
  <c r="K988" i="2" s="1"/>
  <c r="B989" i="2"/>
  <c r="K989" i="2" s="1"/>
  <c r="B990" i="2"/>
  <c r="K990" i="2" s="1"/>
  <c r="B991" i="2"/>
  <c r="K991" i="2" s="1"/>
  <c r="B992" i="2"/>
  <c r="K992" i="2" s="1"/>
  <c r="B993" i="2"/>
  <c r="K993" i="2" s="1"/>
  <c r="B994" i="2"/>
  <c r="K994" i="2" s="1"/>
  <c r="B995" i="2"/>
  <c r="K995" i="2" s="1"/>
  <c r="B996" i="2"/>
  <c r="K996" i="2" s="1"/>
  <c r="B997" i="2"/>
  <c r="K997" i="2" s="1"/>
  <c r="B998" i="2"/>
  <c r="K998" i="2" s="1"/>
  <c r="B999" i="2"/>
  <c r="K999" i="2" s="1"/>
  <c r="B1000" i="2"/>
  <c r="K1000" i="2" s="1"/>
  <c r="B1001" i="2"/>
  <c r="K1001" i="2" s="1"/>
  <c r="B1002" i="2"/>
  <c r="K1002" i="2" s="1"/>
  <c r="B1003" i="2"/>
  <c r="K1003" i="2" s="1"/>
  <c r="B1004" i="2"/>
  <c r="K1004" i="2" s="1"/>
  <c r="B1005" i="2"/>
  <c r="K1005" i="2" s="1"/>
  <c r="B1006" i="2"/>
  <c r="K1006" i="2" s="1"/>
  <c r="B1007" i="2"/>
  <c r="K1007" i="2" s="1"/>
  <c r="B1008" i="2"/>
  <c r="K1008" i="2" s="1"/>
  <c r="B1009" i="2"/>
  <c r="K1009" i="2" s="1"/>
  <c r="B1010" i="2"/>
  <c r="K1010" i="2" s="1"/>
  <c r="B1011" i="2"/>
  <c r="K1011" i="2" s="1"/>
  <c r="B1012" i="2"/>
  <c r="K1012" i="2" s="1"/>
  <c r="B1013" i="2"/>
  <c r="K1013" i="2" s="1"/>
  <c r="B1014" i="2"/>
  <c r="K1014" i="2" s="1"/>
  <c r="B1015" i="2"/>
  <c r="K1015" i="2" s="1"/>
  <c r="B1016" i="2"/>
  <c r="K1016" i="2" s="1"/>
  <c r="B1017" i="2"/>
  <c r="K1017" i="2" s="1"/>
  <c r="B1018" i="2"/>
  <c r="K1018" i="2" s="1"/>
  <c r="B1019" i="2"/>
  <c r="K1019" i="2" s="1"/>
  <c r="B1020" i="2"/>
  <c r="K1020" i="2" s="1"/>
  <c r="B1021" i="2"/>
  <c r="K1021" i="2" s="1"/>
  <c r="B1022" i="2"/>
  <c r="K1022" i="2" s="1"/>
  <c r="B1023" i="2"/>
  <c r="K1023" i="2" s="1"/>
  <c r="B1024" i="2"/>
  <c r="K1024" i="2" s="1"/>
  <c r="B1025" i="2"/>
  <c r="K1025" i="2" s="1"/>
  <c r="B1026" i="2"/>
  <c r="K1026" i="2" s="1"/>
  <c r="B1027" i="2"/>
  <c r="K1027" i="2" s="1"/>
  <c r="B1028" i="2"/>
  <c r="K1028" i="2" s="1"/>
  <c r="B1029" i="2"/>
  <c r="K1029" i="2" s="1"/>
  <c r="B1030" i="2"/>
  <c r="K1030" i="2" s="1"/>
  <c r="B1031" i="2"/>
  <c r="K1031" i="2" s="1"/>
  <c r="B1032" i="2"/>
  <c r="K1032" i="2" s="1"/>
  <c r="B1033" i="2"/>
  <c r="K1033" i="2" s="1"/>
  <c r="B1034" i="2"/>
  <c r="K1034" i="2" s="1"/>
  <c r="B1035" i="2"/>
  <c r="K1035" i="2" s="1"/>
  <c r="B1036" i="2"/>
  <c r="K1036" i="2" s="1"/>
  <c r="B1037" i="2"/>
  <c r="K1037" i="2" s="1"/>
  <c r="B1038" i="2"/>
  <c r="K1038" i="2" s="1"/>
  <c r="B1039" i="2"/>
  <c r="K1039" i="2" s="1"/>
  <c r="B1040" i="2"/>
  <c r="K1040" i="2" s="1"/>
  <c r="B1041" i="2"/>
  <c r="K1041" i="2" s="1"/>
  <c r="B1042" i="2"/>
  <c r="K1042" i="2" s="1"/>
  <c r="B1043" i="2"/>
  <c r="K1043" i="2" s="1"/>
  <c r="B1044" i="2"/>
  <c r="K1044" i="2" s="1"/>
  <c r="B1045" i="2"/>
  <c r="K1045" i="2" s="1"/>
  <c r="B1046" i="2"/>
  <c r="K1046" i="2" s="1"/>
  <c r="B1047" i="2"/>
  <c r="K1047" i="2" s="1"/>
  <c r="B1048" i="2"/>
  <c r="K1048" i="2" s="1"/>
  <c r="B1049" i="2"/>
  <c r="K1049" i="2" s="1"/>
  <c r="B1050" i="2"/>
  <c r="K1050" i="2" s="1"/>
  <c r="B1051" i="2"/>
  <c r="K1051" i="2" s="1"/>
  <c r="B1052" i="2"/>
  <c r="K1052" i="2" s="1"/>
  <c r="B1053" i="2"/>
  <c r="K1053" i="2" s="1"/>
  <c r="B1054" i="2"/>
  <c r="K1054" i="2" s="1"/>
  <c r="B1055" i="2"/>
  <c r="K1055" i="2" s="1"/>
  <c r="B1056" i="2"/>
  <c r="K1056" i="2" s="1"/>
  <c r="B1057" i="2"/>
  <c r="K1057" i="2" s="1"/>
  <c r="B1058" i="2"/>
  <c r="K1058" i="2" s="1"/>
  <c r="B1059" i="2"/>
  <c r="K1059" i="2" s="1"/>
  <c r="B1060" i="2"/>
  <c r="K1060" i="2" s="1"/>
  <c r="B1061" i="2"/>
  <c r="K1061" i="2" s="1"/>
  <c r="B1062" i="2"/>
  <c r="K1062" i="2" s="1"/>
  <c r="B1063" i="2"/>
  <c r="K1063" i="2" s="1"/>
  <c r="B1064" i="2"/>
  <c r="K1064" i="2" s="1"/>
  <c r="B1065" i="2"/>
  <c r="K1065" i="2" s="1"/>
  <c r="B1066" i="2"/>
  <c r="K1066" i="2" s="1"/>
  <c r="B1067" i="2"/>
  <c r="K1067" i="2" s="1"/>
  <c r="B1068" i="2"/>
  <c r="K1068" i="2" s="1"/>
  <c r="B1069" i="2"/>
  <c r="K1069" i="2" s="1"/>
  <c r="B1070" i="2"/>
  <c r="K1070" i="2" s="1"/>
  <c r="B1071" i="2"/>
  <c r="K1071" i="2" s="1"/>
  <c r="B1072" i="2"/>
  <c r="K1072" i="2" s="1"/>
  <c r="B1073" i="2"/>
  <c r="K1073" i="2" s="1"/>
  <c r="B1074" i="2"/>
  <c r="K1074" i="2" s="1"/>
  <c r="B1075" i="2"/>
  <c r="K1075" i="2" s="1"/>
  <c r="B1076" i="2"/>
  <c r="K1076" i="2" s="1"/>
  <c r="B1077" i="2"/>
  <c r="K1077" i="2" s="1"/>
  <c r="B1078" i="2"/>
  <c r="K1078" i="2" s="1"/>
  <c r="B1079" i="2"/>
  <c r="K1079" i="2" s="1"/>
  <c r="B1080" i="2"/>
  <c r="K1080" i="2" s="1"/>
  <c r="B1081" i="2"/>
  <c r="K1081" i="2" s="1"/>
  <c r="B1082" i="2"/>
  <c r="K1082" i="2" s="1"/>
  <c r="B1083" i="2"/>
  <c r="K1083" i="2" s="1"/>
  <c r="B1084" i="2"/>
  <c r="K1084" i="2" s="1"/>
  <c r="B1085" i="2"/>
  <c r="K1085" i="2" s="1"/>
  <c r="B1086" i="2"/>
  <c r="K1086" i="2" s="1"/>
  <c r="B1087" i="2"/>
  <c r="K1087" i="2" s="1"/>
  <c r="B1088" i="2"/>
  <c r="K1088" i="2" s="1"/>
  <c r="B1089" i="2"/>
  <c r="K1089" i="2" s="1"/>
  <c r="B1090" i="2"/>
  <c r="K1090" i="2" s="1"/>
  <c r="B1091" i="2"/>
  <c r="K1091" i="2" s="1"/>
  <c r="B1092" i="2"/>
  <c r="K1092" i="2" s="1"/>
  <c r="B1093" i="2"/>
  <c r="K1093" i="2" s="1"/>
  <c r="B1094" i="2"/>
  <c r="K1094" i="2" s="1"/>
  <c r="B1095" i="2"/>
  <c r="K1095" i="2" s="1"/>
  <c r="B1096" i="2"/>
  <c r="K1096" i="2" s="1"/>
  <c r="B1097" i="2"/>
  <c r="K1097" i="2" s="1"/>
  <c r="B1098" i="2"/>
  <c r="K1098" i="2" s="1"/>
  <c r="B1099" i="2"/>
  <c r="K1099" i="2" s="1"/>
  <c r="B1100" i="2"/>
  <c r="K1100" i="2" s="1"/>
  <c r="B1101" i="2"/>
  <c r="K1101" i="2" s="1"/>
  <c r="B1102" i="2"/>
  <c r="K1102" i="2" s="1"/>
  <c r="B1103" i="2"/>
  <c r="K1103" i="2" s="1"/>
  <c r="B1104" i="2"/>
  <c r="K1104" i="2" s="1"/>
  <c r="B1105" i="2"/>
  <c r="K1105" i="2" s="1"/>
  <c r="B1106" i="2"/>
  <c r="K1106" i="2" s="1"/>
  <c r="B1107" i="2"/>
  <c r="K1107" i="2" s="1"/>
  <c r="B1108" i="2"/>
  <c r="K1108" i="2" s="1"/>
  <c r="B1109" i="2"/>
  <c r="K1109" i="2" s="1"/>
  <c r="B1110" i="2"/>
  <c r="K1110" i="2" s="1"/>
  <c r="B1111" i="2"/>
  <c r="K1111" i="2" s="1"/>
  <c r="B1112" i="2"/>
  <c r="K1112" i="2" s="1"/>
  <c r="B1113" i="2"/>
  <c r="K1113" i="2" s="1"/>
  <c r="B1114" i="2"/>
  <c r="K1114" i="2" s="1"/>
  <c r="B1115" i="2"/>
  <c r="K1115" i="2" s="1"/>
  <c r="B1116" i="2"/>
  <c r="K1116" i="2" s="1"/>
  <c r="B1117" i="2"/>
  <c r="K1117" i="2" s="1"/>
  <c r="B1118" i="2"/>
  <c r="K1118" i="2" s="1"/>
  <c r="B1119" i="2"/>
  <c r="K1119" i="2" s="1"/>
  <c r="B1120" i="2"/>
  <c r="K1120" i="2" s="1"/>
  <c r="B1121" i="2"/>
  <c r="K1121" i="2" s="1"/>
  <c r="B1122" i="2"/>
  <c r="K1122" i="2" s="1"/>
  <c r="B1123" i="2"/>
  <c r="K1123" i="2" s="1"/>
  <c r="B1124" i="2"/>
  <c r="K1124" i="2" s="1"/>
  <c r="B1125" i="2"/>
  <c r="K1125" i="2" s="1"/>
  <c r="B1126" i="2"/>
  <c r="K1126" i="2" s="1"/>
  <c r="B1127" i="2"/>
  <c r="K1127" i="2" s="1"/>
  <c r="B1128" i="2"/>
  <c r="K1128" i="2" s="1"/>
  <c r="B1129" i="2"/>
  <c r="K1129" i="2" s="1"/>
  <c r="B1130" i="2"/>
  <c r="K1130" i="2" s="1"/>
  <c r="B1131" i="2"/>
  <c r="K1131" i="2" s="1"/>
  <c r="B1132" i="2"/>
  <c r="K1132" i="2" s="1"/>
  <c r="B1133" i="2"/>
  <c r="K1133" i="2" s="1"/>
  <c r="B1134" i="2"/>
  <c r="K1134" i="2" s="1"/>
  <c r="B1135" i="2"/>
  <c r="K1135" i="2" s="1"/>
  <c r="B1136" i="2"/>
  <c r="K1136" i="2" s="1"/>
  <c r="B1137" i="2"/>
  <c r="K1137" i="2" s="1"/>
  <c r="B1138" i="2"/>
  <c r="K1138" i="2" s="1"/>
  <c r="B1139" i="2"/>
  <c r="K1139" i="2" s="1"/>
  <c r="B1140" i="2"/>
  <c r="K1140" i="2" s="1"/>
  <c r="B1141" i="2"/>
  <c r="K1141" i="2" s="1"/>
  <c r="B1142" i="2"/>
  <c r="K1142" i="2" s="1"/>
  <c r="B1143" i="2"/>
  <c r="K1143" i="2" s="1"/>
  <c r="B1144" i="2"/>
  <c r="K1144" i="2" s="1"/>
  <c r="B1145" i="2"/>
  <c r="K1145" i="2" s="1"/>
  <c r="B1146" i="2"/>
  <c r="K1146" i="2" s="1"/>
  <c r="B1147" i="2"/>
  <c r="K1147" i="2" s="1"/>
  <c r="B1148" i="2"/>
  <c r="K1148" i="2" s="1"/>
  <c r="B1149" i="2"/>
  <c r="K1149" i="2" s="1"/>
  <c r="B1150" i="2"/>
  <c r="K1150" i="2" s="1"/>
  <c r="B1151" i="2"/>
  <c r="K1151" i="2" s="1"/>
  <c r="B1152" i="2"/>
  <c r="K1152" i="2" s="1"/>
  <c r="B1153" i="2"/>
  <c r="K1153" i="2" s="1"/>
  <c r="B1154" i="2"/>
  <c r="K1154" i="2" s="1"/>
  <c r="B1155" i="2"/>
  <c r="K1155" i="2" s="1"/>
  <c r="B1156" i="2"/>
  <c r="K1156" i="2" s="1"/>
  <c r="B1157" i="2"/>
  <c r="K1157" i="2" s="1"/>
  <c r="B1158" i="2"/>
  <c r="K1158" i="2" s="1"/>
  <c r="B1159" i="2"/>
  <c r="K1159" i="2" s="1"/>
  <c r="B1160" i="2"/>
  <c r="K1160" i="2" s="1"/>
  <c r="B1161" i="2"/>
  <c r="K1161" i="2" s="1"/>
  <c r="B1162" i="2"/>
  <c r="K1162" i="2" s="1"/>
  <c r="B1163" i="2"/>
  <c r="K1163" i="2" s="1"/>
  <c r="B1164" i="2"/>
  <c r="K1164" i="2" s="1"/>
  <c r="B1165" i="2"/>
  <c r="K1165" i="2" s="1"/>
  <c r="B1166" i="2"/>
  <c r="K1166" i="2" s="1"/>
  <c r="B1167" i="2"/>
  <c r="K1167" i="2" s="1"/>
  <c r="B1168" i="2"/>
  <c r="K1168" i="2" s="1"/>
  <c r="B1169" i="2"/>
  <c r="K1169" i="2" s="1"/>
  <c r="B1170" i="2"/>
  <c r="K1170" i="2" s="1"/>
  <c r="B1171" i="2"/>
  <c r="K1171" i="2" s="1"/>
  <c r="B1172" i="2"/>
  <c r="K1172" i="2" s="1"/>
  <c r="B1173" i="2"/>
  <c r="K1173" i="2" s="1"/>
  <c r="B1174" i="2"/>
  <c r="K1174" i="2" s="1"/>
  <c r="B1175" i="2"/>
  <c r="K1175" i="2" s="1"/>
  <c r="B1176" i="2"/>
  <c r="K1176" i="2" s="1"/>
  <c r="B1177" i="2"/>
  <c r="K1177" i="2" s="1"/>
  <c r="B1178" i="2"/>
  <c r="K1178" i="2" s="1"/>
  <c r="B1179" i="2"/>
  <c r="K1179" i="2" s="1"/>
  <c r="B1180" i="2"/>
  <c r="K1180" i="2" s="1"/>
  <c r="B1181" i="2"/>
  <c r="K1181" i="2" s="1"/>
  <c r="B1182" i="2"/>
  <c r="K1182" i="2" s="1"/>
  <c r="B1183" i="2"/>
  <c r="K1183" i="2" s="1"/>
  <c r="B1184" i="2"/>
  <c r="K1184" i="2" s="1"/>
  <c r="B1185" i="2"/>
  <c r="K1185" i="2" s="1"/>
  <c r="B1186" i="2"/>
  <c r="K1186" i="2" s="1"/>
  <c r="B1187" i="2"/>
  <c r="K1187" i="2" s="1"/>
  <c r="B1188" i="2"/>
  <c r="K1188" i="2" s="1"/>
  <c r="B1189" i="2"/>
  <c r="K1189" i="2" s="1"/>
  <c r="B1190" i="2"/>
  <c r="K1190" i="2" s="1"/>
  <c r="B1191" i="2"/>
  <c r="K1191" i="2" s="1"/>
  <c r="B1192" i="2"/>
  <c r="K1192" i="2" s="1"/>
  <c r="B1193" i="2"/>
  <c r="K1193" i="2" s="1"/>
  <c r="B1194" i="2"/>
  <c r="K1194" i="2" s="1"/>
  <c r="B1195" i="2"/>
  <c r="K1195" i="2" s="1"/>
  <c r="B1196" i="2"/>
  <c r="K1196" i="2" s="1"/>
  <c r="B1197" i="2"/>
  <c r="K1197" i="2" s="1"/>
  <c r="B1198" i="2"/>
  <c r="K1198" i="2" s="1"/>
  <c r="B1199" i="2"/>
  <c r="K1199" i="2" s="1"/>
  <c r="B1200" i="2"/>
  <c r="K1200" i="2" s="1"/>
  <c r="B1201" i="2"/>
  <c r="K1201" i="2" s="1"/>
  <c r="B1202" i="2"/>
  <c r="K1202" i="2" s="1"/>
  <c r="B1203" i="2"/>
  <c r="K1203" i="2" s="1"/>
  <c r="B1204" i="2"/>
  <c r="K1204" i="2" s="1"/>
  <c r="B1205" i="2"/>
  <c r="K1205" i="2" s="1"/>
  <c r="B1206" i="2"/>
  <c r="K1206" i="2" s="1"/>
  <c r="B1207" i="2"/>
  <c r="K1207" i="2" s="1"/>
  <c r="B1208" i="2"/>
  <c r="K1208" i="2" s="1"/>
  <c r="B1209" i="2"/>
  <c r="K1209" i="2" s="1"/>
  <c r="B1210" i="2"/>
  <c r="K1210" i="2" s="1"/>
  <c r="B1211" i="2"/>
  <c r="K1211" i="2" s="1"/>
  <c r="B1212" i="2"/>
  <c r="K1212" i="2" s="1"/>
  <c r="B1213" i="2"/>
  <c r="K1213" i="2" s="1"/>
  <c r="B1214" i="2"/>
  <c r="K1214" i="2" s="1"/>
  <c r="B1215" i="2"/>
  <c r="K1215" i="2" s="1"/>
  <c r="B1216" i="2"/>
  <c r="K1216" i="2" s="1"/>
  <c r="B1217" i="2"/>
  <c r="K1217" i="2" s="1"/>
  <c r="B1218" i="2"/>
  <c r="K1218" i="2" s="1"/>
  <c r="B1219" i="2"/>
  <c r="K1219" i="2" s="1"/>
  <c r="B1220" i="2"/>
  <c r="K1220" i="2" s="1"/>
  <c r="B1221" i="2"/>
  <c r="K1221" i="2" s="1"/>
  <c r="B1222" i="2"/>
  <c r="K1222" i="2" s="1"/>
  <c r="B1223" i="2"/>
  <c r="K1223" i="2" s="1"/>
  <c r="B1224" i="2"/>
  <c r="K1224" i="2" s="1"/>
  <c r="B1225" i="2"/>
  <c r="K1225" i="2" s="1"/>
  <c r="B1226" i="2"/>
  <c r="K1226" i="2" s="1"/>
  <c r="B1227" i="2"/>
  <c r="K1227" i="2" s="1"/>
  <c r="B1228" i="2"/>
  <c r="K1228" i="2" s="1"/>
  <c r="B1229" i="2"/>
  <c r="K1229" i="2" s="1"/>
  <c r="B1230" i="2"/>
  <c r="K1230" i="2" s="1"/>
  <c r="B1231" i="2"/>
  <c r="K1231" i="2" s="1"/>
  <c r="B1232" i="2"/>
  <c r="K1232" i="2" s="1"/>
  <c r="B1233" i="2"/>
  <c r="K1233" i="2" s="1"/>
  <c r="B1234" i="2"/>
  <c r="K1234" i="2" s="1"/>
  <c r="B1235" i="2"/>
  <c r="K1235" i="2" s="1"/>
  <c r="B1236" i="2"/>
  <c r="K1236" i="2" s="1"/>
  <c r="B1237" i="2"/>
  <c r="K1237" i="2" s="1"/>
  <c r="B1238" i="2"/>
  <c r="K1238" i="2" s="1"/>
  <c r="B1239" i="2"/>
  <c r="K1239" i="2" s="1"/>
  <c r="B1240" i="2"/>
  <c r="K1240" i="2" s="1"/>
  <c r="B1241" i="2"/>
  <c r="K1241" i="2" s="1"/>
  <c r="B1242" i="2"/>
  <c r="K1242" i="2" s="1"/>
  <c r="B1243" i="2"/>
  <c r="K1243" i="2" s="1"/>
  <c r="B1244" i="2"/>
  <c r="K1244" i="2" s="1"/>
  <c r="B1245" i="2"/>
  <c r="K1245" i="2" s="1"/>
  <c r="B1246" i="2"/>
  <c r="K1246" i="2" s="1"/>
  <c r="B1247" i="2"/>
  <c r="K1247" i="2" s="1"/>
  <c r="B1248" i="2"/>
  <c r="K1248" i="2" s="1"/>
  <c r="B1249" i="2"/>
  <c r="K1249" i="2" s="1"/>
  <c r="B1250" i="2"/>
  <c r="K1250" i="2" s="1"/>
  <c r="B1251" i="2"/>
  <c r="K1251" i="2" s="1"/>
  <c r="B1252" i="2"/>
  <c r="K1252" i="2" s="1"/>
  <c r="B1253" i="2"/>
  <c r="K1253" i="2" s="1"/>
  <c r="B1254" i="2"/>
  <c r="K1254" i="2" s="1"/>
  <c r="B1255" i="2"/>
  <c r="K1255" i="2" s="1"/>
  <c r="B1256" i="2"/>
  <c r="K1256" i="2" s="1"/>
  <c r="B1257" i="2"/>
  <c r="K1257" i="2" s="1"/>
  <c r="B1258" i="2"/>
  <c r="K1258" i="2" s="1"/>
  <c r="B1259" i="2"/>
  <c r="K1259" i="2" s="1"/>
  <c r="B1260" i="2"/>
  <c r="K1260" i="2" s="1"/>
  <c r="B1261" i="2"/>
  <c r="K1261" i="2" s="1"/>
  <c r="B1262" i="2"/>
  <c r="K1262" i="2" s="1"/>
  <c r="B1263" i="2"/>
  <c r="K1263" i="2" s="1"/>
  <c r="B1264" i="2"/>
  <c r="K1264" i="2" s="1"/>
  <c r="B1265" i="2"/>
  <c r="K1265" i="2" s="1"/>
  <c r="B1266" i="2"/>
  <c r="K1266" i="2" s="1"/>
  <c r="B1267" i="2"/>
  <c r="K1267" i="2" s="1"/>
  <c r="B1268" i="2"/>
  <c r="K1268" i="2" s="1"/>
  <c r="B1269" i="2"/>
  <c r="K1269" i="2" s="1"/>
  <c r="B1270" i="2"/>
  <c r="K1270" i="2" s="1"/>
  <c r="B1271" i="2"/>
  <c r="K1271" i="2" s="1"/>
  <c r="B1272" i="2"/>
  <c r="K1272" i="2" s="1"/>
  <c r="B1273" i="2"/>
  <c r="K1273" i="2" s="1"/>
  <c r="B1274" i="2"/>
  <c r="K1274" i="2" s="1"/>
  <c r="B1275" i="2"/>
  <c r="K1275" i="2" s="1"/>
  <c r="B1276" i="2"/>
  <c r="K1276" i="2" s="1"/>
  <c r="B1277" i="2"/>
  <c r="K1277" i="2" s="1"/>
  <c r="B1278" i="2"/>
  <c r="K1278" i="2" s="1"/>
  <c r="B1279" i="2"/>
  <c r="K1279" i="2" s="1"/>
  <c r="B1280" i="2"/>
  <c r="K1280" i="2" s="1"/>
  <c r="B1281" i="2"/>
  <c r="K1281" i="2" s="1"/>
  <c r="B1282" i="2"/>
  <c r="K1282" i="2" s="1"/>
  <c r="B1283" i="2"/>
  <c r="K1283" i="2" s="1"/>
  <c r="B1284" i="2"/>
  <c r="K1284" i="2" s="1"/>
  <c r="B1285" i="2"/>
  <c r="K1285" i="2" s="1"/>
  <c r="B1286" i="2"/>
  <c r="K1286" i="2" s="1"/>
  <c r="B1287" i="2"/>
  <c r="K1287" i="2" s="1"/>
  <c r="B1288" i="2"/>
  <c r="K1288" i="2" s="1"/>
  <c r="B1289" i="2"/>
  <c r="K1289" i="2" s="1"/>
  <c r="B1290" i="2"/>
  <c r="K1290" i="2" s="1"/>
  <c r="B1291" i="2"/>
  <c r="K1291" i="2" s="1"/>
  <c r="B1292" i="2"/>
  <c r="K1292" i="2" s="1"/>
  <c r="B1293" i="2"/>
  <c r="K1293" i="2" s="1"/>
  <c r="B1294" i="2"/>
  <c r="K1294" i="2" s="1"/>
  <c r="B1295" i="2"/>
  <c r="K1295" i="2" s="1"/>
  <c r="B1296" i="2"/>
  <c r="K1296" i="2" s="1"/>
  <c r="B1297" i="2"/>
  <c r="K1297" i="2" s="1"/>
  <c r="B1298" i="2"/>
  <c r="K1298" i="2" s="1"/>
  <c r="B1299" i="2"/>
  <c r="K1299" i="2" s="1"/>
  <c r="B1300" i="2"/>
  <c r="K1300" i="2" s="1"/>
  <c r="B1301" i="2"/>
  <c r="K1301" i="2" s="1"/>
  <c r="B1302" i="2"/>
  <c r="K1302" i="2" s="1"/>
  <c r="B1303" i="2"/>
  <c r="K1303" i="2" s="1"/>
  <c r="B1304" i="2"/>
  <c r="K1304" i="2" s="1"/>
  <c r="B1305" i="2"/>
  <c r="K1305" i="2" s="1"/>
  <c r="B1306" i="2"/>
  <c r="K1306" i="2" s="1"/>
  <c r="B1307" i="2"/>
  <c r="K1307" i="2" s="1"/>
  <c r="B1308" i="2"/>
  <c r="K1308" i="2" s="1"/>
  <c r="B1309" i="2"/>
  <c r="K1309" i="2" s="1"/>
  <c r="B1310" i="2"/>
  <c r="K1310" i="2" s="1"/>
  <c r="B1311" i="2"/>
  <c r="K1311" i="2" s="1"/>
  <c r="B1312" i="2"/>
  <c r="K1312" i="2" s="1"/>
  <c r="B1313" i="2"/>
  <c r="K1313" i="2" s="1"/>
  <c r="B1314" i="2"/>
  <c r="K1314" i="2" s="1"/>
  <c r="B1315" i="2"/>
  <c r="K1315" i="2" s="1"/>
  <c r="B1316" i="2"/>
  <c r="K1316" i="2" s="1"/>
  <c r="B1317" i="2"/>
  <c r="K1317" i="2" s="1"/>
  <c r="B1318" i="2"/>
  <c r="K1318" i="2" s="1"/>
  <c r="B1319" i="2"/>
  <c r="K1319" i="2" s="1"/>
  <c r="B1320" i="2"/>
  <c r="K1320" i="2" s="1"/>
  <c r="B1321" i="2"/>
  <c r="K1321" i="2" s="1"/>
  <c r="B1322" i="2"/>
  <c r="K1322" i="2" s="1"/>
  <c r="B1323" i="2"/>
  <c r="K1323" i="2" s="1"/>
  <c r="B1324" i="2"/>
  <c r="K1324" i="2" s="1"/>
  <c r="B1325" i="2"/>
  <c r="K1325" i="2" s="1"/>
  <c r="B1326" i="2"/>
  <c r="K1326" i="2" s="1"/>
  <c r="B1327" i="2"/>
  <c r="K1327" i="2" s="1"/>
  <c r="B1328" i="2"/>
  <c r="K1328" i="2" s="1"/>
  <c r="B1329" i="2"/>
  <c r="K1329" i="2" s="1"/>
  <c r="B1330" i="2"/>
  <c r="K1330" i="2" s="1"/>
  <c r="B1331" i="2"/>
  <c r="K1331" i="2" s="1"/>
  <c r="B1332" i="2"/>
  <c r="K1332" i="2" s="1"/>
  <c r="B1333" i="2"/>
  <c r="K1333" i="2" s="1"/>
  <c r="B1334" i="2"/>
  <c r="K1334" i="2" s="1"/>
  <c r="B1335" i="2"/>
  <c r="K1335" i="2" s="1"/>
  <c r="B1336" i="2"/>
  <c r="K1336" i="2" s="1"/>
  <c r="B1337" i="2"/>
  <c r="K1337" i="2" s="1"/>
  <c r="B1338" i="2"/>
  <c r="K1338" i="2" s="1"/>
  <c r="B1339" i="2"/>
  <c r="K1339" i="2" s="1"/>
  <c r="B1340" i="2"/>
  <c r="K1340" i="2" s="1"/>
  <c r="B1341" i="2"/>
  <c r="K1341" i="2" s="1"/>
  <c r="B1342" i="2"/>
  <c r="K1342" i="2" s="1"/>
  <c r="B1343" i="2"/>
  <c r="K1343" i="2" s="1"/>
  <c r="B1344" i="2"/>
  <c r="K1344" i="2" s="1"/>
  <c r="B1345" i="2"/>
  <c r="K1345" i="2" s="1"/>
  <c r="B1346" i="2"/>
  <c r="K1346" i="2" s="1"/>
  <c r="B1347" i="2"/>
  <c r="K1347" i="2" s="1"/>
  <c r="B1348" i="2"/>
  <c r="K1348" i="2" s="1"/>
  <c r="B1349" i="2"/>
  <c r="K1349" i="2" s="1"/>
  <c r="B1350" i="2"/>
  <c r="K1350" i="2" s="1"/>
  <c r="B1351" i="2"/>
  <c r="K1351" i="2" s="1"/>
  <c r="B1352" i="2"/>
  <c r="K1352" i="2" s="1"/>
  <c r="B1353" i="2"/>
  <c r="K1353" i="2" s="1"/>
  <c r="B1354" i="2"/>
  <c r="K1354" i="2" s="1"/>
  <c r="B1355" i="2"/>
  <c r="K1355" i="2" s="1"/>
  <c r="B1356" i="2"/>
  <c r="K1356" i="2" s="1"/>
  <c r="B1357" i="2"/>
  <c r="K1357" i="2" s="1"/>
  <c r="B1358" i="2"/>
  <c r="K1358" i="2" s="1"/>
  <c r="B1359" i="2"/>
  <c r="K1359" i="2" s="1"/>
  <c r="B1360" i="2"/>
  <c r="K1360" i="2" s="1"/>
  <c r="B1361" i="2"/>
  <c r="K1361" i="2" s="1"/>
  <c r="B1362" i="2"/>
  <c r="K1362" i="2" s="1"/>
  <c r="B1363" i="2"/>
  <c r="K1363" i="2" s="1"/>
  <c r="B1364" i="2"/>
  <c r="K1364" i="2" s="1"/>
  <c r="B1365" i="2"/>
  <c r="K1365" i="2" s="1"/>
  <c r="B1366" i="2"/>
  <c r="K1366" i="2" s="1"/>
  <c r="B1367" i="2"/>
  <c r="K1367" i="2" s="1"/>
  <c r="B1368" i="2"/>
  <c r="K1368" i="2" s="1"/>
  <c r="B1369" i="2"/>
  <c r="K1369" i="2" s="1"/>
  <c r="B1370" i="2"/>
  <c r="K1370" i="2" s="1"/>
  <c r="B1371" i="2"/>
  <c r="K1371" i="2" s="1"/>
  <c r="B1372" i="2"/>
  <c r="K1372" i="2" s="1"/>
  <c r="B1373" i="2"/>
  <c r="K1373" i="2" s="1"/>
  <c r="B1374" i="2"/>
  <c r="K1374" i="2" s="1"/>
  <c r="B1375" i="2"/>
  <c r="K1375" i="2" s="1"/>
  <c r="B1376" i="2"/>
  <c r="K1376" i="2" s="1"/>
  <c r="B1377" i="2"/>
  <c r="K1377" i="2" s="1"/>
  <c r="B1378" i="2"/>
  <c r="K1378" i="2" s="1"/>
  <c r="B1379" i="2"/>
  <c r="K1379" i="2" s="1"/>
  <c r="B1380" i="2"/>
  <c r="K1380" i="2" s="1"/>
  <c r="B1381" i="2"/>
  <c r="K1381" i="2" s="1"/>
  <c r="B1382" i="2"/>
  <c r="K1382" i="2" s="1"/>
  <c r="B1383" i="2"/>
  <c r="K1383" i="2" s="1"/>
  <c r="B1384" i="2"/>
  <c r="K1384" i="2" s="1"/>
  <c r="B1385" i="2"/>
  <c r="K1385" i="2" s="1"/>
  <c r="B1386" i="2"/>
  <c r="K1386" i="2" s="1"/>
  <c r="B1387" i="2"/>
  <c r="K1387" i="2" s="1"/>
  <c r="B1388" i="2"/>
  <c r="K1388" i="2" s="1"/>
  <c r="B1389" i="2"/>
  <c r="K1389" i="2" s="1"/>
  <c r="B1390" i="2"/>
  <c r="K1390" i="2" s="1"/>
  <c r="B1391" i="2"/>
  <c r="K1391" i="2" s="1"/>
  <c r="B1392" i="2"/>
  <c r="K1392" i="2" s="1"/>
  <c r="B1393" i="2"/>
  <c r="K1393" i="2" s="1"/>
  <c r="B1394" i="2"/>
  <c r="K1394" i="2" s="1"/>
  <c r="B1395" i="2"/>
  <c r="K1395" i="2" s="1"/>
  <c r="B1396" i="2"/>
  <c r="K1396" i="2" s="1"/>
  <c r="B1397" i="2"/>
  <c r="K1397" i="2" s="1"/>
  <c r="B1398" i="2"/>
  <c r="K1398" i="2" s="1"/>
  <c r="B1399" i="2"/>
  <c r="K1399" i="2" s="1"/>
  <c r="B1400" i="2"/>
  <c r="K1400" i="2" s="1"/>
  <c r="B1401" i="2"/>
  <c r="K1401" i="2" s="1"/>
  <c r="B1402" i="2"/>
  <c r="K1402" i="2" s="1"/>
  <c r="B1403" i="2"/>
  <c r="K1403" i="2" s="1"/>
  <c r="B1404" i="2"/>
  <c r="K1404" i="2" s="1"/>
  <c r="B1405" i="2"/>
  <c r="K1405" i="2" s="1"/>
  <c r="B1406" i="2"/>
  <c r="K1406" i="2" s="1"/>
  <c r="B1407" i="2"/>
  <c r="K1407" i="2" s="1"/>
  <c r="B1408" i="2"/>
  <c r="K1408" i="2" s="1"/>
  <c r="B1409" i="2"/>
  <c r="K1409" i="2" s="1"/>
  <c r="B1410" i="2"/>
  <c r="K1410" i="2" s="1"/>
  <c r="B1411" i="2"/>
  <c r="K1411" i="2" s="1"/>
  <c r="B1412" i="2"/>
  <c r="K1412" i="2" s="1"/>
  <c r="B1413" i="2"/>
  <c r="K1413" i="2" s="1"/>
  <c r="B1414" i="2"/>
  <c r="K1414" i="2" s="1"/>
  <c r="B1415" i="2"/>
  <c r="K1415" i="2" s="1"/>
  <c r="B1416" i="2"/>
  <c r="K1416" i="2" s="1"/>
  <c r="B1417" i="2"/>
  <c r="K1417" i="2" s="1"/>
  <c r="B1418" i="2"/>
  <c r="K1418" i="2" s="1"/>
  <c r="B1419" i="2"/>
  <c r="K1419" i="2" s="1"/>
  <c r="B1420" i="2"/>
  <c r="K1420" i="2" s="1"/>
  <c r="B1421" i="2"/>
  <c r="K1421" i="2" s="1"/>
  <c r="B1422" i="2"/>
  <c r="K1422" i="2" s="1"/>
  <c r="B1423" i="2"/>
  <c r="K1423" i="2" s="1"/>
  <c r="B1424" i="2"/>
  <c r="K1424" i="2" s="1"/>
  <c r="B1425" i="2"/>
  <c r="K1425" i="2" s="1"/>
  <c r="B1426" i="2"/>
  <c r="K1426" i="2" s="1"/>
  <c r="B1427" i="2"/>
  <c r="K1427" i="2" s="1"/>
  <c r="B1428" i="2"/>
  <c r="K1428" i="2" s="1"/>
  <c r="B1429" i="2"/>
  <c r="K1429" i="2" s="1"/>
  <c r="B1430" i="2"/>
  <c r="K1430" i="2" s="1"/>
  <c r="B1431" i="2"/>
  <c r="K1431" i="2" s="1"/>
  <c r="B1432" i="2"/>
  <c r="K1432" i="2" s="1"/>
  <c r="B1433" i="2"/>
  <c r="K1433" i="2" s="1"/>
  <c r="B1434" i="2"/>
  <c r="K1434" i="2" s="1"/>
  <c r="B1435" i="2"/>
  <c r="K1435" i="2" s="1"/>
  <c r="B1436" i="2"/>
  <c r="K1436" i="2" s="1"/>
  <c r="B1437" i="2"/>
  <c r="K1437" i="2" s="1"/>
  <c r="B1438" i="2"/>
  <c r="K1438" i="2" s="1"/>
  <c r="B1439" i="2"/>
  <c r="K1439" i="2" s="1"/>
  <c r="B1440" i="2"/>
  <c r="K1440" i="2" s="1"/>
  <c r="B1441" i="2"/>
  <c r="K1441" i="2" s="1"/>
  <c r="B1442" i="2"/>
  <c r="K1442" i="2" s="1"/>
  <c r="B1443" i="2"/>
  <c r="K1443" i="2" s="1"/>
  <c r="B1444" i="2"/>
  <c r="K1444" i="2" s="1"/>
  <c r="B1445" i="2"/>
  <c r="K1445" i="2" s="1"/>
  <c r="B1446" i="2"/>
  <c r="K1446" i="2" s="1"/>
  <c r="B1447" i="2"/>
  <c r="K1447" i="2" s="1"/>
  <c r="B1448" i="2"/>
  <c r="K1448" i="2" s="1"/>
  <c r="B1449" i="2"/>
  <c r="K1449" i="2" s="1"/>
  <c r="B1450" i="2"/>
  <c r="K1450" i="2" s="1"/>
  <c r="B1451" i="2"/>
  <c r="K1451" i="2" s="1"/>
  <c r="B1452" i="2"/>
  <c r="K1452" i="2" s="1"/>
  <c r="B1453" i="2"/>
  <c r="K1453" i="2" s="1"/>
  <c r="B1454" i="2"/>
  <c r="K1454" i="2" s="1"/>
  <c r="B1455" i="2"/>
  <c r="K1455" i="2" s="1"/>
  <c r="B1456" i="2"/>
  <c r="K1456" i="2" s="1"/>
  <c r="B1457" i="2"/>
  <c r="K1457" i="2" s="1"/>
  <c r="B1458" i="2"/>
  <c r="K1458" i="2" s="1"/>
  <c r="B1459" i="2"/>
  <c r="K1459" i="2" s="1"/>
  <c r="B1460" i="2"/>
  <c r="K1460" i="2" s="1"/>
  <c r="B1461" i="2"/>
  <c r="K1461" i="2" s="1"/>
  <c r="B1462" i="2"/>
  <c r="K1462" i="2" s="1"/>
  <c r="B1463" i="2"/>
  <c r="K1463" i="2" s="1"/>
  <c r="B1464" i="2"/>
  <c r="K1464" i="2" s="1"/>
  <c r="B1465" i="2"/>
  <c r="K1465" i="2" s="1"/>
  <c r="B1466" i="2"/>
  <c r="K1466" i="2" s="1"/>
  <c r="B1467" i="2"/>
  <c r="K1467" i="2" s="1"/>
  <c r="B1468" i="2"/>
  <c r="K1468" i="2" s="1"/>
  <c r="B1469" i="2"/>
  <c r="K1469" i="2" s="1"/>
  <c r="B1470" i="2"/>
  <c r="K1470" i="2" s="1"/>
  <c r="B1471" i="2"/>
  <c r="K1471" i="2" s="1"/>
  <c r="B1472" i="2"/>
  <c r="K1472" i="2" s="1"/>
  <c r="B1473" i="2"/>
  <c r="K1473" i="2" s="1"/>
  <c r="B1474" i="2"/>
  <c r="K1474" i="2" s="1"/>
  <c r="B1475" i="2"/>
  <c r="K1475" i="2" s="1"/>
  <c r="B1476" i="2"/>
  <c r="K1476" i="2" s="1"/>
  <c r="B1477" i="2"/>
  <c r="K1477" i="2" s="1"/>
  <c r="B1478" i="2"/>
  <c r="K1478" i="2" s="1"/>
  <c r="B1479" i="2"/>
  <c r="K1479" i="2" s="1"/>
  <c r="B1480" i="2"/>
  <c r="K1480" i="2" s="1"/>
  <c r="B1481" i="2"/>
  <c r="K1481" i="2" s="1"/>
  <c r="B1482" i="2"/>
  <c r="K1482" i="2" s="1"/>
  <c r="B1483" i="2"/>
  <c r="K1483" i="2" s="1"/>
  <c r="B1484" i="2"/>
  <c r="K1484" i="2" s="1"/>
  <c r="B1485" i="2"/>
  <c r="K1485" i="2" s="1"/>
  <c r="B1486" i="2"/>
  <c r="K1486" i="2" s="1"/>
  <c r="B1487" i="2"/>
  <c r="K1487" i="2" s="1"/>
  <c r="B1488" i="2"/>
  <c r="K1488" i="2" s="1"/>
  <c r="B1489" i="2"/>
  <c r="K1489" i="2" s="1"/>
  <c r="B1490" i="2"/>
  <c r="K1490" i="2" s="1"/>
  <c r="B1491" i="2"/>
  <c r="K1491" i="2" s="1"/>
  <c r="B1492" i="2"/>
  <c r="K1492" i="2" s="1"/>
  <c r="B1493" i="2"/>
  <c r="K1493" i="2" s="1"/>
  <c r="B1494" i="2"/>
  <c r="K1494" i="2" s="1"/>
  <c r="B1495" i="2"/>
  <c r="K1495" i="2" s="1"/>
  <c r="B1496" i="2"/>
  <c r="K1496" i="2" s="1"/>
  <c r="B1497" i="2"/>
  <c r="K1497" i="2" s="1"/>
  <c r="B1498" i="2"/>
  <c r="K1498" i="2" s="1"/>
  <c r="B1499" i="2"/>
  <c r="K1499" i="2" s="1"/>
  <c r="B1500" i="2"/>
  <c r="K1500" i="2" s="1"/>
  <c r="B1501" i="2"/>
  <c r="K1501" i="2" s="1"/>
  <c r="B1502" i="2"/>
  <c r="K1502" i="2" s="1"/>
  <c r="B1503" i="2"/>
  <c r="K1503" i="2" s="1"/>
  <c r="B1504" i="2"/>
  <c r="K1504" i="2" s="1"/>
  <c r="B1505" i="2"/>
  <c r="K1505" i="2" s="1"/>
  <c r="B1506" i="2"/>
  <c r="K1506" i="2" s="1"/>
  <c r="B1507" i="2"/>
  <c r="K1507" i="2" s="1"/>
  <c r="B1508" i="2"/>
  <c r="K1508" i="2" s="1"/>
  <c r="B1509" i="2"/>
  <c r="K1509" i="2" s="1"/>
  <c r="B1510" i="2"/>
  <c r="K1510" i="2" s="1"/>
  <c r="B1511" i="2"/>
  <c r="K1511" i="2" s="1"/>
  <c r="B1512" i="2"/>
  <c r="K1512" i="2" s="1"/>
  <c r="B1513" i="2"/>
  <c r="K1513" i="2" s="1"/>
  <c r="B1514" i="2"/>
  <c r="K1514" i="2" s="1"/>
  <c r="B1515" i="2"/>
  <c r="K1515" i="2" s="1"/>
  <c r="B1516" i="2"/>
  <c r="K1516" i="2" s="1"/>
  <c r="B1517" i="2"/>
  <c r="K1517" i="2" s="1"/>
  <c r="B1518" i="2"/>
  <c r="K1518" i="2" s="1"/>
  <c r="B1519" i="2"/>
  <c r="K1519" i="2" s="1"/>
  <c r="B1520" i="2"/>
  <c r="K1520" i="2" s="1"/>
  <c r="B1521" i="2"/>
  <c r="K1521" i="2" s="1"/>
  <c r="B1522" i="2"/>
  <c r="K1522" i="2" s="1"/>
  <c r="B1523" i="2"/>
  <c r="K1523" i="2" s="1"/>
  <c r="B1524" i="2"/>
  <c r="K1524" i="2" s="1"/>
  <c r="B1525" i="2"/>
  <c r="K1525" i="2" s="1"/>
  <c r="B1526" i="2"/>
  <c r="K1526" i="2" s="1"/>
  <c r="B1527" i="2"/>
  <c r="K1527" i="2" s="1"/>
  <c r="B1528" i="2"/>
  <c r="K1528" i="2" s="1"/>
  <c r="B1529" i="2"/>
  <c r="K1529" i="2" s="1"/>
  <c r="B1530" i="2"/>
  <c r="K1530" i="2" s="1"/>
  <c r="B1531" i="2"/>
  <c r="K1531" i="2" s="1"/>
  <c r="B1532" i="2"/>
  <c r="K1532" i="2" s="1"/>
  <c r="B1533" i="2"/>
  <c r="K1533" i="2" s="1"/>
  <c r="B1534" i="2"/>
  <c r="K1534" i="2" s="1"/>
  <c r="B1535" i="2"/>
  <c r="K1535" i="2" s="1"/>
  <c r="B1536" i="2"/>
  <c r="K1536" i="2" s="1"/>
  <c r="B1537" i="2"/>
  <c r="K1537" i="2" s="1"/>
  <c r="B1538" i="2"/>
  <c r="K1538" i="2" s="1"/>
  <c r="B1539" i="2"/>
  <c r="K1539" i="2" s="1"/>
  <c r="B1540" i="2"/>
  <c r="K1540" i="2" s="1"/>
  <c r="B1541" i="2"/>
  <c r="K1541" i="2" s="1"/>
  <c r="B1542" i="2"/>
  <c r="K1542" i="2" s="1"/>
  <c r="B1543" i="2"/>
  <c r="K1543" i="2" s="1"/>
  <c r="B1544" i="2"/>
  <c r="K1544" i="2" s="1"/>
  <c r="B1545" i="2"/>
  <c r="K1545" i="2" s="1"/>
  <c r="B1546" i="2"/>
  <c r="K1546" i="2" s="1"/>
  <c r="B1547" i="2"/>
  <c r="K1547" i="2" s="1"/>
  <c r="B1548" i="2"/>
  <c r="K1548" i="2" s="1"/>
  <c r="B1549" i="2"/>
  <c r="K1549" i="2" s="1"/>
  <c r="B1550" i="2"/>
  <c r="K1550" i="2" s="1"/>
  <c r="B1551" i="2"/>
  <c r="K1551" i="2" s="1"/>
  <c r="B1552" i="2"/>
  <c r="K1552" i="2" s="1"/>
  <c r="B1553" i="2"/>
  <c r="K1553" i="2" s="1"/>
  <c r="B1554" i="2"/>
  <c r="K1554" i="2" s="1"/>
  <c r="B1555" i="2"/>
  <c r="K1555" i="2" s="1"/>
  <c r="B1556" i="2"/>
  <c r="K1556" i="2" s="1"/>
  <c r="B1557" i="2"/>
  <c r="K1557" i="2" s="1"/>
  <c r="B1558" i="2"/>
  <c r="K1558" i="2" s="1"/>
  <c r="B1559" i="2"/>
  <c r="K1559" i="2" s="1"/>
  <c r="B1560" i="2"/>
  <c r="K1560" i="2" s="1"/>
  <c r="B1561" i="2"/>
  <c r="K1561" i="2" s="1"/>
  <c r="B1562" i="2"/>
  <c r="K1562" i="2" s="1"/>
  <c r="B1563" i="2"/>
  <c r="K1563" i="2" s="1"/>
  <c r="B1564" i="2"/>
  <c r="K1564" i="2" s="1"/>
  <c r="B1565" i="2"/>
  <c r="K1565" i="2" s="1"/>
  <c r="B1566" i="2"/>
  <c r="K1566" i="2" s="1"/>
  <c r="B1567" i="2"/>
  <c r="K1567" i="2" s="1"/>
  <c r="B1568" i="2"/>
  <c r="K1568" i="2" s="1"/>
  <c r="B1569" i="2"/>
  <c r="K1569" i="2" s="1"/>
  <c r="B1570" i="2"/>
  <c r="K1570" i="2" s="1"/>
  <c r="B1571" i="2"/>
  <c r="K1571" i="2" s="1"/>
  <c r="B1572" i="2"/>
  <c r="K1572" i="2" s="1"/>
  <c r="B1573" i="2"/>
  <c r="K1573" i="2" s="1"/>
  <c r="B1574" i="2"/>
  <c r="K1574" i="2" s="1"/>
  <c r="B1575" i="2"/>
  <c r="K1575" i="2" s="1"/>
  <c r="B1576" i="2"/>
  <c r="K1576" i="2" s="1"/>
  <c r="B1577" i="2"/>
  <c r="K1577" i="2" s="1"/>
  <c r="B1578" i="2"/>
  <c r="K1578" i="2" s="1"/>
  <c r="B1579" i="2"/>
  <c r="K1579" i="2" s="1"/>
  <c r="B1580" i="2"/>
  <c r="K1580" i="2" s="1"/>
  <c r="B1581" i="2"/>
  <c r="K1581" i="2" s="1"/>
  <c r="B1582" i="2"/>
  <c r="K1582" i="2" s="1"/>
  <c r="B1583" i="2"/>
  <c r="K1583" i="2" s="1"/>
  <c r="B1584" i="2"/>
  <c r="K1584" i="2" s="1"/>
  <c r="B1585" i="2"/>
  <c r="K1585" i="2" s="1"/>
  <c r="B1586" i="2"/>
  <c r="K1586" i="2" s="1"/>
  <c r="B1587" i="2"/>
  <c r="K1587" i="2" s="1"/>
  <c r="B1588" i="2"/>
  <c r="K1588" i="2" s="1"/>
  <c r="B1589" i="2"/>
  <c r="K1589" i="2" s="1"/>
  <c r="B1590" i="2"/>
  <c r="K1590" i="2" s="1"/>
  <c r="B1591" i="2"/>
  <c r="K1591" i="2" s="1"/>
  <c r="B1592" i="2"/>
  <c r="K1592" i="2" s="1"/>
  <c r="B1593" i="2"/>
  <c r="K1593" i="2" s="1"/>
  <c r="B1594" i="2"/>
  <c r="K1594" i="2" s="1"/>
  <c r="B1595" i="2"/>
  <c r="K1595" i="2" s="1"/>
  <c r="B1596" i="2"/>
  <c r="K1596" i="2" s="1"/>
  <c r="B1597" i="2"/>
  <c r="K1597" i="2" s="1"/>
  <c r="B1598" i="2"/>
  <c r="K1598" i="2" s="1"/>
  <c r="B1599" i="2"/>
  <c r="K1599" i="2" s="1"/>
  <c r="B1600" i="2"/>
  <c r="K1600" i="2" s="1"/>
  <c r="B1601" i="2"/>
  <c r="K1601" i="2" s="1"/>
  <c r="B1602" i="2"/>
  <c r="K1602" i="2" s="1"/>
  <c r="B1603" i="2"/>
  <c r="K1603" i="2" s="1"/>
  <c r="B1604" i="2"/>
  <c r="K1604" i="2" s="1"/>
  <c r="B1605" i="2"/>
  <c r="K1605" i="2" s="1"/>
  <c r="B1606" i="2"/>
  <c r="K1606" i="2" s="1"/>
  <c r="B1607" i="2"/>
  <c r="K1607" i="2" s="1"/>
  <c r="B1608" i="2"/>
  <c r="K1608" i="2" s="1"/>
  <c r="B1609" i="2"/>
  <c r="K1609" i="2" s="1"/>
  <c r="B1610" i="2"/>
  <c r="K1610" i="2" s="1"/>
  <c r="B1611" i="2"/>
  <c r="K1611" i="2" s="1"/>
  <c r="B1612" i="2"/>
  <c r="K1612" i="2" s="1"/>
  <c r="B1613" i="2"/>
  <c r="K1613" i="2" s="1"/>
  <c r="B1614" i="2"/>
  <c r="K1614" i="2" s="1"/>
  <c r="B1615" i="2"/>
  <c r="K1615" i="2" s="1"/>
  <c r="B1616" i="2"/>
  <c r="K1616" i="2" s="1"/>
  <c r="B1617" i="2"/>
  <c r="K1617" i="2" s="1"/>
  <c r="B1618" i="2"/>
  <c r="K1618" i="2" s="1"/>
  <c r="B1619" i="2"/>
  <c r="K1619" i="2" s="1"/>
  <c r="B1620" i="2"/>
  <c r="K1620" i="2" s="1"/>
  <c r="B1621" i="2"/>
  <c r="K1621" i="2" s="1"/>
  <c r="B1622" i="2"/>
  <c r="K1622" i="2" s="1"/>
  <c r="B1623" i="2"/>
  <c r="K1623" i="2" s="1"/>
  <c r="B1624" i="2"/>
  <c r="K1624" i="2" s="1"/>
  <c r="B1625" i="2"/>
  <c r="K1625" i="2" s="1"/>
  <c r="B1626" i="2"/>
  <c r="K1626" i="2" s="1"/>
  <c r="B1627" i="2"/>
  <c r="K1627" i="2" s="1"/>
  <c r="B1628" i="2"/>
  <c r="K1628" i="2" s="1"/>
  <c r="B1629" i="2"/>
  <c r="K1629" i="2" s="1"/>
  <c r="B1630" i="2"/>
  <c r="K1630" i="2" s="1"/>
  <c r="B1631" i="2"/>
  <c r="K1631" i="2" s="1"/>
  <c r="B1632" i="2"/>
  <c r="K1632" i="2" s="1"/>
  <c r="B1633" i="2"/>
  <c r="K1633" i="2" s="1"/>
  <c r="B1634" i="2"/>
  <c r="K1634" i="2" s="1"/>
  <c r="B1635" i="2"/>
  <c r="K1635" i="2" s="1"/>
  <c r="B1636" i="2"/>
  <c r="K1636" i="2" s="1"/>
  <c r="B1637" i="2"/>
  <c r="K1637" i="2" s="1"/>
  <c r="B1638" i="2"/>
  <c r="K1638" i="2" s="1"/>
  <c r="B1639" i="2"/>
  <c r="K1639" i="2" s="1"/>
  <c r="B1640" i="2"/>
  <c r="K1640" i="2" s="1"/>
  <c r="B1641" i="2"/>
  <c r="K1641" i="2" s="1"/>
  <c r="B1642" i="2"/>
  <c r="K1642" i="2" s="1"/>
  <c r="B1643" i="2"/>
  <c r="K1643" i="2" s="1"/>
  <c r="B1644" i="2"/>
  <c r="K1644" i="2" s="1"/>
  <c r="B1645" i="2"/>
  <c r="K1645" i="2" s="1"/>
  <c r="B1646" i="2"/>
  <c r="K1646" i="2" s="1"/>
  <c r="B1647" i="2"/>
  <c r="K1647" i="2" s="1"/>
  <c r="B1648" i="2"/>
  <c r="K1648" i="2" s="1"/>
  <c r="B1649" i="2"/>
  <c r="K1649" i="2" s="1"/>
  <c r="B1650" i="2"/>
  <c r="K1650" i="2" s="1"/>
  <c r="B1651" i="2"/>
  <c r="K1651" i="2" s="1"/>
  <c r="B1652" i="2"/>
  <c r="K1652" i="2" s="1"/>
  <c r="B1653" i="2"/>
  <c r="K1653" i="2" s="1"/>
  <c r="B1654" i="2"/>
  <c r="K1654" i="2" s="1"/>
  <c r="B1655" i="2"/>
  <c r="K1655" i="2" s="1"/>
  <c r="B1656" i="2"/>
  <c r="K1656" i="2" s="1"/>
  <c r="B1657" i="2"/>
  <c r="K1657" i="2" s="1"/>
  <c r="B1658" i="2"/>
  <c r="K1658" i="2" s="1"/>
  <c r="B1659" i="2"/>
  <c r="K1659" i="2" s="1"/>
  <c r="B1660" i="2"/>
  <c r="K1660" i="2" s="1"/>
  <c r="B1661" i="2"/>
  <c r="K1661" i="2" s="1"/>
  <c r="B1662" i="2"/>
  <c r="K1662" i="2" s="1"/>
  <c r="B1663" i="2"/>
  <c r="K1663" i="2" s="1"/>
  <c r="B1664" i="2"/>
  <c r="K1664" i="2" s="1"/>
  <c r="B1665" i="2"/>
  <c r="K1665" i="2" s="1"/>
  <c r="B1666" i="2"/>
  <c r="K1666" i="2" s="1"/>
  <c r="B1667" i="2"/>
  <c r="K1667" i="2" s="1"/>
  <c r="B1668" i="2"/>
  <c r="K1668" i="2" s="1"/>
  <c r="B1669" i="2"/>
  <c r="K1669" i="2" s="1"/>
  <c r="B1670" i="2"/>
  <c r="K1670" i="2" s="1"/>
  <c r="B1671" i="2"/>
  <c r="K1671" i="2" s="1"/>
  <c r="B1672" i="2"/>
  <c r="K1672" i="2" s="1"/>
  <c r="B1673" i="2"/>
  <c r="K1673" i="2" s="1"/>
  <c r="B1674" i="2"/>
  <c r="K1674" i="2" s="1"/>
  <c r="B1675" i="2"/>
  <c r="K1675" i="2" s="1"/>
  <c r="B1676" i="2"/>
  <c r="K1676" i="2" s="1"/>
  <c r="B1677" i="2"/>
  <c r="K1677" i="2" s="1"/>
  <c r="B1678" i="2"/>
  <c r="K1678" i="2" s="1"/>
  <c r="B1679" i="2"/>
  <c r="K1679" i="2" s="1"/>
  <c r="B1680" i="2"/>
  <c r="K1680" i="2" s="1"/>
  <c r="B1681" i="2"/>
  <c r="K1681" i="2" s="1"/>
  <c r="B1682" i="2"/>
  <c r="K1682" i="2" s="1"/>
  <c r="B1683" i="2"/>
  <c r="K1683" i="2" s="1"/>
  <c r="B1684" i="2"/>
  <c r="K1684" i="2" s="1"/>
  <c r="B1685" i="2"/>
  <c r="K1685" i="2" s="1"/>
  <c r="B1686" i="2"/>
  <c r="K1686" i="2" s="1"/>
  <c r="B1687" i="2"/>
  <c r="K1687" i="2" s="1"/>
  <c r="B1688" i="2"/>
  <c r="K1688" i="2" s="1"/>
  <c r="B1689" i="2"/>
  <c r="K1689" i="2" s="1"/>
  <c r="B1690" i="2"/>
  <c r="K1690" i="2" s="1"/>
  <c r="B1691" i="2"/>
  <c r="K1691" i="2" s="1"/>
  <c r="B1692" i="2"/>
  <c r="K1692" i="2" s="1"/>
  <c r="B1693" i="2"/>
  <c r="K1693" i="2" s="1"/>
  <c r="B1694" i="2"/>
  <c r="K1694" i="2" s="1"/>
  <c r="B1695" i="2"/>
  <c r="K1695" i="2" s="1"/>
  <c r="B1696" i="2"/>
  <c r="K1696" i="2" s="1"/>
  <c r="B1697" i="2"/>
  <c r="K1697" i="2" s="1"/>
  <c r="B1698" i="2"/>
  <c r="K1698" i="2" s="1"/>
  <c r="B1699" i="2"/>
  <c r="K1699" i="2" s="1"/>
  <c r="B1700" i="2"/>
  <c r="K1700" i="2" s="1"/>
  <c r="B1701" i="2"/>
  <c r="K1701" i="2" s="1"/>
  <c r="B1702" i="2"/>
  <c r="K1702" i="2" s="1"/>
  <c r="B1703" i="2"/>
  <c r="K1703" i="2" s="1"/>
  <c r="B1704" i="2"/>
  <c r="K1704" i="2" s="1"/>
  <c r="B1705" i="2"/>
  <c r="K1705" i="2" s="1"/>
  <c r="B1706" i="2"/>
  <c r="K1706" i="2" s="1"/>
  <c r="B1707" i="2"/>
  <c r="K1707" i="2" s="1"/>
  <c r="B1708" i="2"/>
  <c r="K1708" i="2" s="1"/>
  <c r="B1709" i="2"/>
  <c r="K1709" i="2" s="1"/>
  <c r="B1710" i="2"/>
  <c r="K1710" i="2" s="1"/>
  <c r="B1711" i="2"/>
  <c r="K1711" i="2" s="1"/>
  <c r="B1712" i="2"/>
  <c r="K1712" i="2" s="1"/>
  <c r="B1713" i="2"/>
  <c r="K1713" i="2" s="1"/>
  <c r="B1714" i="2"/>
  <c r="K1714" i="2" s="1"/>
  <c r="B1715" i="2"/>
  <c r="K1715" i="2" s="1"/>
  <c r="B1716" i="2"/>
  <c r="K1716" i="2" s="1"/>
  <c r="B1717" i="2"/>
  <c r="K1717" i="2" s="1"/>
  <c r="B1718" i="2"/>
  <c r="K1718" i="2" s="1"/>
  <c r="B1719" i="2"/>
  <c r="K1719" i="2" s="1"/>
  <c r="B1720" i="2"/>
  <c r="K1720" i="2" s="1"/>
  <c r="B1721" i="2"/>
  <c r="K1721" i="2" s="1"/>
  <c r="B1722" i="2"/>
  <c r="K1722" i="2" s="1"/>
  <c r="B1723" i="2"/>
  <c r="K1723" i="2" s="1"/>
  <c r="B1724" i="2"/>
  <c r="K1724" i="2" s="1"/>
  <c r="B1725" i="2"/>
  <c r="K1725" i="2" s="1"/>
  <c r="B1726" i="2"/>
  <c r="K1726" i="2" s="1"/>
  <c r="B1727" i="2"/>
  <c r="K1727" i="2" s="1"/>
  <c r="B1728" i="2"/>
  <c r="K1728" i="2" s="1"/>
  <c r="B1729" i="2"/>
  <c r="K1729" i="2" s="1"/>
  <c r="B1730" i="2"/>
  <c r="K1730" i="2" s="1"/>
  <c r="B1731" i="2"/>
  <c r="K1731" i="2" s="1"/>
  <c r="B1732" i="2"/>
  <c r="K1732" i="2" s="1"/>
  <c r="B1733" i="2"/>
  <c r="K1733" i="2" s="1"/>
  <c r="B1734" i="2"/>
  <c r="K1734" i="2" s="1"/>
  <c r="B1735" i="2"/>
  <c r="K1735" i="2" s="1"/>
  <c r="B1736" i="2"/>
  <c r="K1736" i="2" s="1"/>
  <c r="B1737" i="2"/>
  <c r="K1737" i="2" s="1"/>
  <c r="B1738" i="2"/>
  <c r="K1738" i="2" s="1"/>
  <c r="B1739" i="2"/>
  <c r="K1739" i="2" s="1"/>
  <c r="B1740" i="2"/>
  <c r="K1740" i="2" s="1"/>
  <c r="B1741" i="2"/>
  <c r="K1741" i="2" s="1"/>
  <c r="B1742" i="2"/>
  <c r="K1742" i="2" s="1"/>
  <c r="B1743" i="2"/>
  <c r="K1743" i="2" s="1"/>
  <c r="B1744" i="2"/>
  <c r="K1744" i="2" s="1"/>
  <c r="B1745" i="2"/>
  <c r="K1745" i="2" s="1"/>
  <c r="B1746" i="2"/>
  <c r="K1746" i="2" s="1"/>
  <c r="B1747" i="2"/>
  <c r="K1747" i="2" s="1"/>
  <c r="B1748" i="2"/>
  <c r="K1748" i="2" s="1"/>
  <c r="B1749" i="2"/>
  <c r="K1749" i="2" s="1"/>
  <c r="B1750" i="2"/>
  <c r="K1750" i="2" s="1"/>
  <c r="B1751" i="2"/>
  <c r="K1751" i="2" s="1"/>
  <c r="B1752" i="2"/>
  <c r="K1752" i="2" s="1"/>
  <c r="B1753" i="2"/>
  <c r="K1753" i="2" s="1"/>
  <c r="B1754" i="2"/>
  <c r="K1754" i="2" s="1"/>
  <c r="B1755" i="2"/>
  <c r="K1755" i="2" s="1"/>
  <c r="B1756" i="2"/>
  <c r="K1756" i="2" s="1"/>
  <c r="B1757" i="2"/>
  <c r="K1757" i="2" s="1"/>
  <c r="B1758" i="2"/>
  <c r="K1758" i="2" s="1"/>
  <c r="B1759" i="2"/>
  <c r="K1759" i="2" s="1"/>
  <c r="B1760" i="2"/>
  <c r="K1760" i="2" s="1"/>
  <c r="B1761" i="2"/>
  <c r="K1761" i="2" s="1"/>
  <c r="B1762" i="2"/>
  <c r="K1762" i="2" s="1"/>
  <c r="B1763" i="2"/>
  <c r="K1763" i="2" s="1"/>
  <c r="B1764" i="2"/>
  <c r="K1764" i="2" s="1"/>
  <c r="B1765" i="2"/>
  <c r="K1765" i="2" s="1"/>
  <c r="B1766" i="2"/>
  <c r="K1766" i="2" s="1"/>
  <c r="B1767" i="2"/>
  <c r="K1767" i="2" s="1"/>
  <c r="B1768" i="2"/>
  <c r="K1768" i="2" s="1"/>
  <c r="B1769" i="2"/>
  <c r="K1769" i="2" s="1"/>
  <c r="B1770" i="2"/>
  <c r="K1770" i="2" s="1"/>
  <c r="B1771" i="2"/>
  <c r="K1771" i="2" s="1"/>
  <c r="B1772" i="2"/>
  <c r="K1772" i="2" s="1"/>
  <c r="B1773" i="2"/>
  <c r="K1773" i="2" s="1"/>
  <c r="B1774" i="2"/>
  <c r="K1774" i="2" s="1"/>
  <c r="B1775" i="2"/>
  <c r="K1775" i="2" s="1"/>
  <c r="B1776" i="2"/>
  <c r="K1776" i="2" s="1"/>
  <c r="B1777" i="2"/>
  <c r="K1777" i="2" s="1"/>
  <c r="B1778" i="2"/>
  <c r="K1778" i="2" s="1"/>
  <c r="B1779" i="2"/>
  <c r="K1779" i="2" s="1"/>
  <c r="B1780" i="2"/>
  <c r="K1780" i="2" s="1"/>
  <c r="B1781" i="2"/>
  <c r="K1781" i="2" s="1"/>
  <c r="B1782" i="2"/>
  <c r="K1782" i="2" s="1"/>
  <c r="B1783" i="2"/>
  <c r="K1783" i="2" s="1"/>
  <c r="B1784" i="2"/>
  <c r="K1784" i="2" s="1"/>
  <c r="B1785" i="2"/>
  <c r="K1785" i="2" s="1"/>
  <c r="B1786" i="2"/>
  <c r="K1786" i="2" s="1"/>
  <c r="B1787" i="2"/>
  <c r="K1787" i="2" s="1"/>
  <c r="B1788" i="2"/>
  <c r="K1788" i="2" s="1"/>
  <c r="B1789" i="2"/>
  <c r="K1789" i="2" s="1"/>
  <c r="B1790" i="2"/>
  <c r="K1790" i="2" s="1"/>
  <c r="B1791" i="2"/>
  <c r="K1791" i="2" s="1"/>
  <c r="B1792" i="2"/>
  <c r="K1792" i="2" s="1"/>
  <c r="B1793" i="2"/>
  <c r="K1793" i="2" s="1"/>
  <c r="B1794" i="2"/>
  <c r="K1794" i="2" s="1"/>
  <c r="B1795" i="2"/>
  <c r="K1795" i="2" s="1"/>
  <c r="B1796" i="2"/>
  <c r="K1796" i="2" s="1"/>
  <c r="B1797" i="2"/>
  <c r="K1797" i="2" s="1"/>
  <c r="B1798" i="2"/>
  <c r="K1798" i="2" s="1"/>
  <c r="B1799" i="2"/>
  <c r="K1799" i="2" s="1"/>
  <c r="B1800" i="2"/>
  <c r="K1800" i="2" s="1"/>
  <c r="B1801" i="2"/>
  <c r="K1801" i="2" s="1"/>
  <c r="B1802" i="2"/>
  <c r="K1802" i="2" s="1"/>
  <c r="B1803" i="2"/>
  <c r="K1803" i="2" s="1"/>
  <c r="B1804" i="2"/>
  <c r="K1804" i="2" s="1"/>
  <c r="B1805" i="2"/>
  <c r="K1805" i="2" s="1"/>
  <c r="B1806" i="2"/>
  <c r="K1806" i="2" s="1"/>
  <c r="B1807" i="2"/>
  <c r="K1807" i="2" s="1"/>
  <c r="B1808" i="2"/>
  <c r="K1808" i="2" s="1"/>
  <c r="B1809" i="2"/>
  <c r="K1809" i="2" s="1"/>
  <c r="B1810" i="2"/>
  <c r="K1810" i="2" s="1"/>
  <c r="B1811" i="2"/>
  <c r="K1811" i="2" s="1"/>
  <c r="B1812" i="2"/>
  <c r="K1812" i="2" s="1"/>
  <c r="B1813" i="2"/>
  <c r="K1813" i="2" s="1"/>
  <c r="B1814" i="2"/>
  <c r="K1814" i="2" s="1"/>
  <c r="B1815" i="2"/>
  <c r="K1815" i="2" s="1"/>
  <c r="B1816" i="2"/>
  <c r="K1816" i="2" s="1"/>
  <c r="B1817" i="2"/>
  <c r="K1817" i="2" s="1"/>
  <c r="B1818" i="2"/>
  <c r="K1818" i="2" s="1"/>
  <c r="B1819" i="2"/>
  <c r="K1819" i="2" s="1"/>
  <c r="B1820" i="2"/>
  <c r="K1820" i="2" s="1"/>
  <c r="B1821" i="2"/>
  <c r="K1821" i="2" s="1"/>
  <c r="B1822" i="2"/>
  <c r="K1822" i="2" s="1"/>
  <c r="B1823" i="2"/>
  <c r="K1823" i="2" s="1"/>
  <c r="B1824" i="2"/>
  <c r="K1824" i="2" s="1"/>
  <c r="B1825" i="2"/>
  <c r="K1825" i="2" s="1"/>
  <c r="B1826" i="2"/>
  <c r="K1826" i="2" s="1"/>
  <c r="B1827" i="2"/>
  <c r="K1827" i="2" s="1"/>
  <c r="B1828" i="2"/>
  <c r="K1828" i="2" s="1"/>
  <c r="B1829" i="2"/>
  <c r="K1829" i="2" s="1"/>
  <c r="B1830" i="2"/>
  <c r="K1830" i="2" s="1"/>
  <c r="B1831" i="2"/>
  <c r="K1831" i="2" s="1"/>
  <c r="B1832" i="2"/>
  <c r="K1832" i="2" s="1"/>
  <c r="B1833" i="2"/>
  <c r="K1833" i="2" s="1"/>
  <c r="B1834" i="2"/>
  <c r="K1834" i="2" s="1"/>
  <c r="B1835" i="2"/>
  <c r="K1835" i="2" s="1"/>
  <c r="B1836" i="2"/>
  <c r="K1836" i="2" s="1"/>
  <c r="B1837" i="2"/>
  <c r="K1837" i="2" s="1"/>
  <c r="B1838" i="2"/>
  <c r="K1838" i="2" s="1"/>
  <c r="B1839" i="2"/>
  <c r="K1839" i="2" s="1"/>
  <c r="B1840" i="2"/>
  <c r="K1840" i="2" s="1"/>
  <c r="B1841" i="2"/>
  <c r="K1841" i="2" s="1"/>
  <c r="B1842" i="2"/>
  <c r="K1842" i="2" s="1"/>
  <c r="B1843" i="2"/>
  <c r="K1843" i="2" s="1"/>
  <c r="B1844" i="2"/>
  <c r="K1844" i="2" s="1"/>
  <c r="B1845" i="2"/>
  <c r="K1845" i="2" s="1"/>
  <c r="B1846" i="2"/>
  <c r="K1846" i="2" s="1"/>
  <c r="B1847" i="2"/>
  <c r="K1847" i="2" s="1"/>
  <c r="B1848" i="2"/>
  <c r="K1848" i="2" s="1"/>
  <c r="B1849" i="2"/>
  <c r="K1849" i="2" s="1"/>
  <c r="B1850" i="2"/>
  <c r="K1850" i="2" s="1"/>
  <c r="B1851" i="2"/>
  <c r="K1851" i="2" s="1"/>
  <c r="B1852" i="2"/>
  <c r="K1852" i="2" s="1"/>
  <c r="B1853" i="2"/>
  <c r="K1853" i="2" s="1"/>
  <c r="B1854" i="2"/>
  <c r="K1854" i="2" s="1"/>
  <c r="B1855" i="2"/>
  <c r="K1855" i="2" s="1"/>
  <c r="B1856" i="2"/>
  <c r="K1856" i="2" s="1"/>
  <c r="B1857" i="2"/>
  <c r="K1857" i="2" s="1"/>
  <c r="B1858" i="2"/>
  <c r="K1858" i="2" s="1"/>
  <c r="B1859" i="2"/>
  <c r="K1859" i="2" s="1"/>
  <c r="B1860" i="2"/>
  <c r="K1860" i="2" s="1"/>
  <c r="B1861" i="2"/>
  <c r="K1861" i="2" s="1"/>
  <c r="B1862" i="2"/>
  <c r="K1862" i="2" s="1"/>
  <c r="B1863" i="2"/>
  <c r="K1863" i="2" s="1"/>
  <c r="B1864" i="2"/>
  <c r="K1864" i="2" s="1"/>
  <c r="B1865" i="2"/>
  <c r="K1865" i="2" s="1"/>
  <c r="B1866" i="2"/>
  <c r="K1866" i="2" s="1"/>
  <c r="B1867" i="2"/>
  <c r="K1867" i="2" s="1"/>
  <c r="B1868" i="2"/>
  <c r="K1868" i="2" s="1"/>
  <c r="B1869" i="2"/>
  <c r="K1869" i="2" s="1"/>
  <c r="B1870" i="2"/>
  <c r="K1870" i="2" s="1"/>
  <c r="B1871" i="2"/>
  <c r="K1871" i="2" s="1"/>
  <c r="B1872" i="2"/>
  <c r="K1872" i="2" s="1"/>
  <c r="B1873" i="2"/>
  <c r="K1873" i="2" s="1"/>
  <c r="B1874" i="2"/>
  <c r="K1874" i="2" s="1"/>
  <c r="B1875" i="2"/>
  <c r="K1875" i="2" s="1"/>
  <c r="B1876" i="2"/>
  <c r="K1876" i="2" s="1"/>
  <c r="B1877" i="2"/>
  <c r="K1877" i="2" s="1"/>
  <c r="B1878" i="2"/>
  <c r="K1878" i="2" s="1"/>
  <c r="B1879" i="2"/>
  <c r="K1879" i="2" s="1"/>
  <c r="B1880" i="2"/>
  <c r="K1880" i="2" s="1"/>
  <c r="B1881" i="2"/>
  <c r="K1881" i="2" s="1"/>
  <c r="B1882" i="2"/>
  <c r="K1882" i="2" s="1"/>
  <c r="B1883" i="2"/>
  <c r="K1883" i="2" s="1"/>
  <c r="B1884" i="2"/>
  <c r="K1884" i="2" s="1"/>
  <c r="B1885" i="2"/>
  <c r="K1885" i="2" s="1"/>
  <c r="B1886" i="2"/>
  <c r="K1886" i="2" s="1"/>
  <c r="B1887" i="2"/>
  <c r="K1887" i="2" s="1"/>
  <c r="B1888" i="2"/>
  <c r="K1888" i="2" s="1"/>
  <c r="B1889" i="2"/>
  <c r="K1889" i="2" s="1"/>
  <c r="B1890" i="2"/>
  <c r="K1890" i="2" s="1"/>
  <c r="B1891" i="2"/>
  <c r="K1891" i="2" s="1"/>
  <c r="B1892" i="2"/>
  <c r="K1892" i="2" s="1"/>
  <c r="B1893" i="2"/>
  <c r="K1893" i="2" s="1"/>
  <c r="B1894" i="2"/>
  <c r="K1894" i="2" s="1"/>
  <c r="B1895" i="2"/>
  <c r="K1895" i="2" s="1"/>
  <c r="B1896" i="2"/>
  <c r="K1896" i="2" s="1"/>
  <c r="B1897" i="2"/>
  <c r="B1898" i="2"/>
  <c r="K1898" i="2" s="1"/>
  <c r="B1899" i="2"/>
  <c r="K1899" i="2" s="1"/>
  <c r="B1900" i="2"/>
  <c r="K1900" i="2" s="1"/>
  <c r="B1901" i="2"/>
  <c r="K1901" i="2" s="1"/>
  <c r="B1902" i="2"/>
  <c r="K1902" i="2" s="1"/>
  <c r="B1903" i="2"/>
  <c r="K1903" i="2" s="1"/>
  <c r="B1904" i="2"/>
  <c r="K1904" i="2" s="1"/>
  <c r="B1905" i="2"/>
  <c r="K1905" i="2" s="1"/>
  <c r="B1906" i="2"/>
  <c r="K1906" i="2" s="1"/>
  <c r="B1907" i="2"/>
  <c r="K1907" i="2" s="1"/>
  <c r="B1908" i="2"/>
  <c r="K1908" i="2" s="1"/>
  <c r="B1909" i="2"/>
  <c r="K1909" i="2" s="1"/>
  <c r="B1910" i="2"/>
  <c r="K1910" i="2" s="1"/>
  <c r="B1911" i="2"/>
  <c r="K1911" i="2" s="1"/>
  <c r="B1912" i="2"/>
  <c r="K1912" i="2" s="1"/>
  <c r="B1913" i="2"/>
  <c r="K1913" i="2" s="1"/>
  <c r="B1914" i="2"/>
  <c r="K1914" i="2" s="1"/>
  <c r="B1915" i="2"/>
  <c r="K1915" i="2" s="1"/>
  <c r="B1916" i="2"/>
  <c r="K1916" i="2" s="1"/>
  <c r="B1917" i="2"/>
  <c r="K1917" i="2" s="1"/>
  <c r="B1918" i="2"/>
  <c r="K1918" i="2" s="1"/>
  <c r="B1919" i="2"/>
  <c r="K1919" i="2" s="1"/>
  <c r="B1920" i="2"/>
  <c r="K1920" i="2" s="1"/>
  <c r="B1921" i="2"/>
  <c r="K1921" i="2" s="1"/>
  <c r="B1922" i="2"/>
  <c r="K1922" i="2" s="1"/>
  <c r="B1923" i="2"/>
  <c r="K1923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B2" i="2"/>
  <c r="A2" i="2"/>
  <c r="K49" i="2" l="1"/>
  <c r="C6" i="3"/>
  <c r="D6" i="3"/>
  <c r="E6" i="3"/>
  <c r="F6" i="3"/>
  <c r="G6" i="3"/>
  <c r="H6" i="3"/>
  <c r="I6" i="3"/>
  <c r="B6" i="3"/>
  <c r="J6" i="3" s="1"/>
  <c r="B8" i="5" s="1"/>
  <c r="C8" i="5" s="1"/>
  <c r="K2" i="2"/>
  <c r="C7" i="3" l="1"/>
  <c r="E7" i="3"/>
  <c r="F7" i="3"/>
  <c r="G7" i="3"/>
  <c r="H7" i="3"/>
  <c r="I7" i="3"/>
  <c r="B3" i="4"/>
  <c r="B5" i="4"/>
  <c r="B7" i="4"/>
  <c r="B8" i="4" s="1"/>
  <c r="L2" i="2"/>
  <c r="D7" i="3"/>
  <c r="B7" i="3"/>
  <c r="J7" i="3" s="1"/>
  <c r="B4" i="4" l="1"/>
  <c r="B9" i="4"/>
  <c r="B6" i="4"/>
  <c r="B12" i="4" s="1"/>
  <c r="B10" i="4"/>
  <c r="B11" i="4" s="1"/>
  <c r="B13" i="4"/>
  <c r="L3" i="2"/>
  <c r="M2" i="2"/>
  <c r="L4" i="2" l="1"/>
  <c r="M3" i="2"/>
  <c r="M4" i="2" l="1"/>
  <c r="L5" i="2"/>
  <c r="M5" i="2" l="1"/>
  <c r="L6" i="2"/>
  <c r="M6" i="2" l="1"/>
  <c r="L7" i="2"/>
  <c r="M7" i="2" l="1"/>
  <c r="L8" i="2"/>
  <c r="M8" i="2" l="1"/>
  <c r="L9" i="2"/>
  <c r="M9" i="2" l="1"/>
  <c r="L10" i="2"/>
  <c r="M10" i="2" l="1"/>
  <c r="L11" i="2"/>
  <c r="M11" i="2" l="1"/>
  <c r="L12" i="2"/>
  <c r="M12" i="2" l="1"/>
  <c r="L13" i="2"/>
  <c r="M13" i="2" l="1"/>
  <c r="L14" i="2"/>
  <c r="M14" i="2" l="1"/>
  <c r="L15" i="2"/>
  <c r="M15" i="2" l="1"/>
  <c r="L16" i="2"/>
  <c r="M16" i="2" l="1"/>
  <c r="L17" i="2"/>
  <c r="M17" i="2" l="1"/>
  <c r="L18" i="2"/>
  <c r="M18" i="2" l="1"/>
  <c r="L19" i="2"/>
  <c r="M19" i="2" l="1"/>
  <c r="L20" i="2"/>
  <c r="M20" i="2" l="1"/>
  <c r="L21" i="2"/>
  <c r="M21" i="2" l="1"/>
  <c r="L22" i="2"/>
  <c r="M22" i="2" l="1"/>
  <c r="N22" i="2"/>
  <c r="L23" i="2"/>
  <c r="M23" i="2" l="1"/>
  <c r="N23" i="2"/>
  <c r="L24" i="2"/>
  <c r="M24" i="2" l="1"/>
  <c r="N24" i="2"/>
  <c r="L25" i="2"/>
  <c r="M25" i="2" l="1"/>
  <c r="N25" i="2"/>
  <c r="L26" i="2"/>
  <c r="M26" i="2" l="1"/>
  <c r="N26" i="2"/>
  <c r="L27" i="2"/>
  <c r="M27" i="2" l="1"/>
  <c r="N27" i="2"/>
  <c r="L28" i="2"/>
  <c r="M28" i="2" l="1"/>
  <c r="N28" i="2"/>
  <c r="L29" i="2"/>
  <c r="M29" i="2" l="1"/>
  <c r="N29" i="2"/>
  <c r="L30" i="2"/>
  <c r="M30" i="2" l="1"/>
  <c r="N30" i="2"/>
  <c r="L31" i="2"/>
  <c r="M31" i="2" l="1"/>
  <c r="N31" i="2"/>
  <c r="L32" i="2"/>
  <c r="M32" i="2" l="1"/>
  <c r="N32" i="2"/>
  <c r="L33" i="2"/>
  <c r="M33" i="2" l="1"/>
  <c r="N33" i="2"/>
  <c r="L34" i="2"/>
  <c r="M34" i="2" l="1"/>
  <c r="N34" i="2"/>
  <c r="L35" i="2"/>
  <c r="M35" i="2" l="1"/>
  <c r="N35" i="2"/>
  <c r="L36" i="2"/>
  <c r="M36" i="2" l="1"/>
  <c r="N36" i="2"/>
  <c r="L37" i="2"/>
  <c r="M37" i="2" l="1"/>
  <c r="N37" i="2"/>
  <c r="L38" i="2"/>
  <c r="M38" i="2" l="1"/>
  <c r="N38" i="2"/>
  <c r="L39" i="2"/>
  <c r="M39" i="2" l="1"/>
  <c r="N39" i="2"/>
  <c r="L40" i="2"/>
  <c r="M40" i="2" l="1"/>
  <c r="N40" i="2"/>
  <c r="L41" i="2"/>
  <c r="M41" i="2" l="1"/>
  <c r="N41" i="2"/>
  <c r="L42" i="2"/>
  <c r="M42" i="2" l="1"/>
  <c r="N42" i="2"/>
  <c r="L43" i="2"/>
  <c r="M43" i="2" l="1"/>
  <c r="N43" i="2"/>
  <c r="L44" i="2"/>
  <c r="M44" i="2" l="1"/>
  <c r="N44" i="2"/>
  <c r="L45" i="2"/>
  <c r="M45" i="2" l="1"/>
  <c r="N45" i="2"/>
  <c r="L46" i="2"/>
  <c r="M46" i="2" l="1"/>
  <c r="N46" i="2"/>
  <c r="L47" i="2"/>
  <c r="M47" i="2" l="1"/>
  <c r="N47" i="2"/>
  <c r="L48" i="2"/>
  <c r="M48" i="2" l="1"/>
  <c r="N48" i="2"/>
  <c r="L49" i="2"/>
  <c r="M49" i="2" l="1"/>
  <c r="N49" i="2"/>
  <c r="L50" i="2"/>
  <c r="M50" i="2" l="1"/>
  <c r="N50" i="2"/>
  <c r="L51" i="2"/>
  <c r="M51" i="2" l="1"/>
  <c r="N51" i="2"/>
  <c r="L52" i="2"/>
  <c r="M52" i="2" l="1"/>
  <c r="N52" i="2"/>
  <c r="L53" i="2"/>
  <c r="M53" i="2" l="1"/>
  <c r="N53" i="2"/>
  <c r="L54" i="2"/>
  <c r="M54" i="2" l="1"/>
  <c r="N54" i="2"/>
  <c r="L55" i="2"/>
  <c r="M55" i="2" l="1"/>
  <c r="N55" i="2"/>
  <c r="L56" i="2"/>
  <c r="M56" i="2" l="1"/>
  <c r="N56" i="2"/>
  <c r="L57" i="2"/>
  <c r="M57" i="2" l="1"/>
  <c r="N57" i="2"/>
  <c r="L58" i="2"/>
  <c r="M58" i="2" l="1"/>
  <c r="N58" i="2"/>
  <c r="L59" i="2"/>
  <c r="M59" i="2" l="1"/>
  <c r="N59" i="2"/>
  <c r="L60" i="2"/>
  <c r="M60" i="2" l="1"/>
  <c r="N60" i="2"/>
  <c r="L61" i="2"/>
  <c r="M61" i="2" l="1"/>
  <c r="N61" i="2"/>
  <c r="L62" i="2"/>
  <c r="M62" i="2" l="1"/>
  <c r="N62" i="2"/>
  <c r="L63" i="2"/>
  <c r="M63" i="2" l="1"/>
  <c r="N63" i="2"/>
  <c r="L64" i="2"/>
  <c r="M64" i="2" l="1"/>
  <c r="N64" i="2"/>
  <c r="L65" i="2"/>
  <c r="M65" i="2" l="1"/>
  <c r="N65" i="2"/>
  <c r="L66" i="2"/>
  <c r="M66" i="2" l="1"/>
  <c r="N66" i="2"/>
  <c r="L67" i="2"/>
  <c r="M67" i="2" l="1"/>
  <c r="N67" i="2"/>
  <c r="L68" i="2"/>
  <c r="M68" i="2" l="1"/>
  <c r="N68" i="2"/>
  <c r="L69" i="2"/>
  <c r="M69" i="2" l="1"/>
  <c r="N69" i="2"/>
  <c r="L70" i="2"/>
  <c r="M70" i="2" l="1"/>
  <c r="N70" i="2"/>
  <c r="L71" i="2"/>
  <c r="M71" i="2" l="1"/>
  <c r="N71" i="2"/>
  <c r="L72" i="2"/>
  <c r="M72" i="2" l="1"/>
  <c r="N72" i="2"/>
  <c r="L73" i="2"/>
  <c r="M73" i="2" l="1"/>
  <c r="N73" i="2"/>
  <c r="L74" i="2"/>
  <c r="M74" i="2" l="1"/>
  <c r="N74" i="2"/>
  <c r="L75" i="2"/>
  <c r="M75" i="2" l="1"/>
  <c r="N75" i="2"/>
  <c r="L76" i="2"/>
  <c r="M76" i="2" l="1"/>
  <c r="N76" i="2"/>
  <c r="L77" i="2"/>
  <c r="M77" i="2" l="1"/>
  <c r="N77" i="2"/>
  <c r="L78" i="2"/>
  <c r="M78" i="2" l="1"/>
  <c r="N78" i="2"/>
  <c r="L79" i="2"/>
  <c r="M79" i="2" l="1"/>
  <c r="N79" i="2"/>
  <c r="L80" i="2"/>
  <c r="M80" i="2" l="1"/>
  <c r="N80" i="2"/>
  <c r="L81" i="2"/>
  <c r="M81" i="2" l="1"/>
  <c r="N81" i="2"/>
  <c r="L82" i="2"/>
  <c r="M82" i="2" l="1"/>
  <c r="N82" i="2"/>
  <c r="L83" i="2"/>
  <c r="M83" i="2" l="1"/>
  <c r="N83" i="2"/>
  <c r="L84" i="2"/>
  <c r="M84" i="2" l="1"/>
  <c r="N84" i="2"/>
  <c r="L85" i="2"/>
  <c r="M85" i="2" l="1"/>
  <c r="N85" i="2"/>
  <c r="L86" i="2"/>
  <c r="M86" i="2" l="1"/>
  <c r="N86" i="2"/>
  <c r="L87" i="2"/>
  <c r="M87" i="2" l="1"/>
  <c r="N87" i="2"/>
  <c r="L88" i="2"/>
  <c r="M88" i="2" l="1"/>
  <c r="N88" i="2"/>
  <c r="L89" i="2"/>
  <c r="M89" i="2" l="1"/>
  <c r="N89" i="2"/>
  <c r="L90" i="2"/>
  <c r="M90" i="2" l="1"/>
  <c r="N90" i="2"/>
  <c r="L91" i="2"/>
  <c r="M91" i="2" l="1"/>
  <c r="N91" i="2"/>
  <c r="L92" i="2"/>
  <c r="M92" i="2" l="1"/>
  <c r="N92" i="2"/>
  <c r="L93" i="2"/>
  <c r="M93" i="2" l="1"/>
  <c r="N93" i="2"/>
  <c r="L94" i="2"/>
  <c r="M94" i="2" l="1"/>
  <c r="N94" i="2"/>
  <c r="L95" i="2"/>
  <c r="M95" i="2" l="1"/>
  <c r="N95" i="2"/>
  <c r="L96" i="2"/>
  <c r="M96" i="2" l="1"/>
  <c r="N96" i="2"/>
  <c r="L97" i="2"/>
  <c r="M97" i="2" l="1"/>
  <c r="N97" i="2"/>
  <c r="L98" i="2"/>
  <c r="M98" i="2" l="1"/>
  <c r="N98" i="2"/>
  <c r="L99" i="2"/>
  <c r="M99" i="2" l="1"/>
  <c r="N99" i="2"/>
  <c r="L100" i="2"/>
  <c r="M100" i="2" l="1"/>
  <c r="N100" i="2"/>
  <c r="L101" i="2"/>
  <c r="M101" i="2" l="1"/>
  <c r="N101" i="2"/>
  <c r="L102" i="2"/>
  <c r="M102" i="2" l="1"/>
  <c r="N102" i="2"/>
  <c r="L103" i="2"/>
  <c r="M103" i="2" l="1"/>
  <c r="N103" i="2"/>
  <c r="L104" i="2"/>
  <c r="M104" i="2" l="1"/>
  <c r="N104" i="2"/>
  <c r="L105" i="2"/>
  <c r="M105" i="2" l="1"/>
  <c r="N105" i="2"/>
  <c r="L106" i="2"/>
  <c r="M106" i="2" l="1"/>
  <c r="N106" i="2"/>
  <c r="L107" i="2"/>
  <c r="M107" i="2" l="1"/>
  <c r="N107" i="2"/>
  <c r="L108" i="2"/>
  <c r="M108" i="2" l="1"/>
  <c r="N108" i="2"/>
  <c r="L109" i="2"/>
  <c r="M109" i="2" l="1"/>
  <c r="N109" i="2"/>
  <c r="L110" i="2"/>
  <c r="M110" i="2" l="1"/>
  <c r="N110" i="2"/>
  <c r="L111" i="2"/>
  <c r="M111" i="2" l="1"/>
  <c r="N111" i="2"/>
  <c r="L112" i="2"/>
  <c r="M112" i="2" l="1"/>
  <c r="N112" i="2"/>
  <c r="L113" i="2"/>
  <c r="M113" i="2" l="1"/>
  <c r="N113" i="2"/>
  <c r="L114" i="2"/>
  <c r="M114" i="2" l="1"/>
  <c r="N114" i="2"/>
  <c r="L115" i="2"/>
  <c r="M115" i="2" l="1"/>
  <c r="N115" i="2"/>
  <c r="L116" i="2"/>
  <c r="M116" i="2" l="1"/>
  <c r="N116" i="2"/>
  <c r="L117" i="2"/>
  <c r="M117" i="2" l="1"/>
  <c r="N117" i="2"/>
  <c r="L118" i="2"/>
  <c r="M118" i="2" l="1"/>
  <c r="N118" i="2"/>
  <c r="L119" i="2"/>
  <c r="M119" i="2" l="1"/>
  <c r="N119" i="2"/>
  <c r="L120" i="2"/>
  <c r="M120" i="2" l="1"/>
  <c r="N120" i="2"/>
  <c r="L121" i="2"/>
  <c r="M121" i="2" l="1"/>
  <c r="N121" i="2"/>
  <c r="L122" i="2"/>
  <c r="M122" i="2" l="1"/>
  <c r="N122" i="2"/>
  <c r="L123" i="2"/>
  <c r="M123" i="2" l="1"/>
  <c r="N123" i="2"/>
  <c r="L124" i="2"/>
  <c r="M124" i="2" l="1"/>
  <c r="N124" i="2"/>
  <c r="L125" i="2"/>
  <c r="M125" i="2" l="1"/>
  <c r="N125" i="2"/>
  <c r="L126" i="2"/>
  <c r="M126" i="2" l="1"/>
  <c r="N126" i="2"/>
  <c r="L127" i="2"/>
  <c r="M127" i="2" l="1"/>
  <c r="N127" i="2"/>
  <c r="L128" i="2"/>
  <c r="M128" i="2" l="1"/>
  <c r="N128" i="2"/>
  <c r="L129" i="2"/>
  <c r="M129" i="2" l="1"/>
  <c r="N129" i="2"/>
  <c r="L130" i="2"/>
  <c r="M130" i="2" l="1"/>
  <c r="N130" i="2"/>
  <c r="L131" i="2"/>
  <c r="M131" i="2" l="1"/>
  <c r="N131" i="2"/>
  <c r="L132" i="2"/>
  <c r="M132" i="2" l="1"/>
  <c r="N132" i="2"/>
  <c r="L133" i="2"/>
  <c r="M133" i="2" l="1"/>
  <c r="N133" i="2"/>
  <c r="L134" i="2"/>
  <c r="M134" i="2" l="1"/>
  <c r="N134" i="2"/>
  <c r="L135" i="2"/>
  <c r="M135" i="2" l="1"/>
  <c r="N135" i="2"/>
  <c r="L136" i="2"/>
  <c r="M136" i="2" l="1"/>
  <c r="N136" i="2"/>
  <c r="L137" i="2"/>
  <c r="M137" i="2" l="1"/>
  <c r="N137" i="2"/>
  <c r="L138" i="2"/>
  <c r="M138" i="2" l="1"/>
  <c r="N138" i="2"/>
  <c r="L139" i="2"/>
  <c r="M139" i="2" l="1"/>
  <c r="N139" i="2"/>
  <c r="L140" i="2"/>
  <c r="M140" i="2" l="1"/>
  <c r="N140" i="2"/>
  <c r="L141" i="2"/>
  <c r="M141" i="2" l="1"/>
  <c r="N141" i="2"/>
  <c r="L142" i="2"/>
  <c r="M142" i="2" l="1"/>
  <c r="N142" i="2"/>
  <c r="L143" i="2"/>
  <c r="M143" i="2" l="1"/>
  <c r="N143" i="2"/>
  <c r="L144" i="2"/>
  <c r="M144" i="2" l="1"/>
  <c r="N144" i="2"/>
  <c r="L145" i="2"/>
  <c r="M145" i="2" l="1"/>
  <c r="N145" i="2"/>
  <c r="L146" i="2"/>
  <c r="M146" i="2" l="1"/>
  <c r="N146" i="2"/>
  <c r="L147" i="2"/>
  <c r="M147" i="2" l="1"/>
  <c r="N147" i="2"/>
  <c r="L148" i="2"/>
  <c r="M148" i="2" l="1"/>
  <c r="N148" i="2"/>
  <c r="L149" i="2"/>
  <c r="M149" i="2" l="1"/>
  <c r="N149" i="2"/>
  <c r="L150" i="2"/>
  <c r="M150" i="2" l="1"/>
  <c r="N150" i="2"/>
  <c r="L151" i="2"/>
  <c r="M151" i="2" l="1"/>
  <c r="N151" i="2"/>
  <c r="L152" i="2"/>
  <c r="M152" i="2" l="1"/>
  <c r="N152" i="2"/>
  <c r="L153" i="2"/>
  <c r="M153" i="2" l="1"/>
  <c r="N153" i="2"/>
  <c r="L154" i="2"/>
  <c r="M154" i="2" l="1"/>
  <c r="N154" i="2"/>
  <c r="L155" i="2"/>
  <c r="M155" i="2" l="1"/>
  <c r="N155" i="2"/>
  <c r="L156" i="2"/>
  <c r="M156" i="2" l="1"/>
  <c r="N156" i="2"/>
  <c r="L157" i="2"/>
  <c r="M157" i="2" l="1"/>
  <c r="N157" i="2"/>
  <c r="L158" i="2"/>
  <c r="M158" i="2" l="1"/>
  <c r="N158" i="2"/>
  <c r="L159" i="2"/>
  <c r="M159" i="2" l="1"/>
  <c r="N159" i="2"/>
  <c r="L160" i="2"/>
  <c r="M160" i="2" l="1"/>
  <c r="N160" i="2"/>
  <c r="L161" i="2"/>
  <c r="M161" i="2" l="1"/>
  <c r="N161" i="2"/>
  <c r="L162" i="2"/>
  <c r="M162" i="2" l="1"/>
  <c r="N162" i="2"/>
  <c r="L163" i="2"/>
  <c r="M163" i="2" l="1"/>
  <c r="N163" i="2"/>
  <c r="L164" i="2"/>
  <c r="M164" i="2" l="1"/>
  <c r="N164" i="2"/>
  <c r="L165" i="2"/>
  <c r="M165" i="2" l="1"/>
  <c r="N165" i="2"/>
  <c r="L166" i="2"/>
  <c r="M166" i="2" l="1"/>
  <c r="N166" i="2"/>
  <c r="L167" i="2"/>
  <c r="M167" i="2" l="1"/>
  <c r="N167" i="2"/>
  <c r="L168" i="2"/>
  <c r="M168" i="2" l="1"/>
  <c r="N168" i="2"/>
  <c r="L169" i="2"/>
  <c r="M169" i="2" l="1"/>
  <c r="N169" i="2"/>
  <c r="L170" i="2"/>
  <c r="M170" i="2" l="1"/>
  <c r="N170" i="2"/>
  <c r="L171" i="2"/>
  <c r="M171" i="2" l="1"/>
  <c r="N171" i="2"/>
  <c r="L172" i="2"/>
  <c r="M172" i="2" l="1"/>
  <c r="N172" i="2"/>
  <c r="L173" i="2"/>
  <c r="M173" i="2" l="1"/>
  <c r="N173" i="2"/>
  <c r="L174" i="2"/>
  <c r="M174" i="2" l="1"/>
  <c r="N174" i="2"/>
  <c r="L175" i="2"/>
  <c r="M175" i="2" l="1"/>
  <c r="N175" i="2"/>
  <c r="L176" i="2"/>
  <c r="M176" i="2" l="1"/>
  <c r="N176" i="2"/>
  <c r="L177" i="2"/>
  <c r="M177" i="2" l="1"/>
  <c r="N177" i="2"/>
  <c r="L178" i="2"/>
  <c r="M178" i="2" l="1"/>
  <c r="N178" i="2"/>
  <c r="L179" i="2"/>
  <c r="M179" i="2" l="1"/>
  <c r="N179" i="2"/>
  <c r="L180" i="2"/>
  <c r="M180" i="2" l="1"/>
  <c r="N180" i="2"/>
  <c r="L181" i="2"/>
  <c r="M181" i="2" l="1"/>
  <c r="N181" i="2"/>
  <c r="L182" i="2"/>
  <c r="M182" i="2" l="1"/>
  <c r="N182" i="2"/>
  <c r="L183" i="2"/>
  <c r="M183" i="2" l="1"/>
  <c r="N183" i="2"/>
  <c r="L184" i="2"/>
  <c r="M184" i="2" l="1"/>
  <c r="N184" i="2"/>
  <c r="L185" i="2"/>
  <c r="M185" i="2" l="1"/>
  <c r="N185" i="2"/>
  <c r="L186" i="2"/>
  <c r="M186" i="2" l="1"/>
  <c r="N186" i="2"/>
  <c r="L187" i="2"/>
  <c r="M187" i="2" l="1"/>
  <c r="N187" i="2"/>
  <c r="L188" i="2"/>
  <c r="M188" i="2" l="1"/>
  <c r="N188" i="2"/>
  <c r="L189" i="2"/>
  <c r="M189" i="2" l="1"/>
  <c r="N189" i="2"/>
  <c r="L190" i="2"/>
  <c r="M190" i="2" l="1"/>
  <c r="N190" i="2"/>
  <c r="L191" i="2"/>
  <c r="M191" i="2" l="1"/>
  <c r="N191" i="2"/>
  <c r="L192" i="2"/>
  <c r="M192" i="2" l="1"/>
  <c r="N192" i="2"/>
  <c r="L193" i="2"/>
  <c r="M193" i="2" l="1"/>
  <c r="N193" i="2"/>
  <c r="L194" i="2"/>
  <c r="M194" i="2" l="1"/>
  <c r="N194" i="2"/>
  <c r="L195" i="2"/>
  <c r="M195" i="2" l="1"/>
  <c r="N195" i="2"/>
  <c r="L196" i="2"/>
  <c r="M196" i="2" l="1"/>
  <c r="N196" i="2"/>
  <c r="L197" i="2"/>
  <c r="M197" i="2" l="1"/>
  <c r="N197" i="2"/>
  <c r="L198" i="2"/>
  <c r="M198" i="2" l="1"/>
  <c r="N198" i="2"/>
  <c r="L199" i="2"/>
  <c r="M199" i="2" l="1"/>
  <c r="N199" i="2"/>
  <c r="L200" i="2"/>
  <c r="M200" i="2" l="1"/>
  <c r="N200" i="2"/>
  <c r="L201" i="2"/>
  <c r="M201" i="2" l="1"/>
  <c r="N201" i="2"/>
  <c r="L202" i="2"/>
  <c r="M202" i="2" l="1"/>
  <c r="N202" i="2"/>
  <c r="L203" i="2"/>
  <c r="M203" i="2" l="1"/>
  <c r="N203" i="2"/>
  <c r="L204" i="2"/>
  <c r="M204" i="2" l="1"/>
  <c r="N204" i="2"/>
  <c r="L205" i="2"/>
  <c r="M205" i="2" l="1"/>
  <c r="N205" i="2"/>
  <c r="L206" i="2"/>
  <c r="M206" i="2" l="1"/>
  <c r="N206" i="2"/>
  <c r="L207" i="2"/>
  <c r="M207" i="2" l="1"/>
  <c r="N207" i="2"/>
  <c r="L208" i="2"/>
  <c r="M208" i="2" l="1"/>
  <c r="N208" i="2"/>
  <c r="L209" i="2"/>
  <c r="M209" i="2" l="1"/>
  <c r="N209" i="2"/>
  <c r="L210" i="2"/>
  <c r="M210" i="2" l="1"/>
  <c r="N210" i="2"/>
  <c r="L211" i="2"/>
  <c r="M211" i="2" l="1"/>
  <c r="N211" i="2"/>
  <c r="L212" i="2"/>
  <c r="M212" i="2" l="1"/>
  <c r="N212" i="2"/>
  <c r="L213" i="2"/>
  <c r="M213" i="2" l="1"/>
  <c r="N213" i="2"/>
  <c r="L214" i="2"/>
  <c r="M214" i="2" l="1"/>
  <c r="N214" i="2"/>
  <c r="L215" i="2"/>
  <c r="M215" i="2" l="1"/>
  <c r="N215" i="2"/>
  <c r="L216" i="2"/>
  <c r="M216" i="2" l="1"/>
  <c r="N216" i="2"/>
  <c r="L217" i="2"/>
  <c r="M217" i="2" l="1"/>
  <c r="N217" i="2"/>
  <c r="L218" i="2"/>
  <c r="M218" i="2" l="1"/>
  <c r="N218" i="2"/>
  <c r="L219" i="2"/>
  <c r="M219" i="2" l="1"/>
  <c r="N219" i="2"/>
  <c r="L220" i="2"/>
  <c r="M220" i="2" l="1"/>
  <c r="N220" i="2"/>
  <c r="L221" i="2"/>
  <c r="M221" i="2" l="1"/>
  <c r="N221" i="2"/>
  <c r="L222" i="2"/>
  <c r="M222" i="2" l="1"/>
  <c r="N222" i="2"/>
  <c r="L223" i="2"/>
  <c r="M223" i="2" l="1"/>
  <c r="N223" i="2"/>
  <c r="L224" i="2"/>
  <c r="M224" i="2" l="1"/>
  <c r="N224" i="2"/>
  <c r="L225" i="2"/>
  <c r="M225" i="2" l="1"/>
  <c r="N225" i="2"/>
  <c r="L226" i="2"/>
  <c r="M226" i="2" l="1"/>
  <c r="N226" i="2"/>
  <c r="L227" i="2"/>
  <c r="M227" i="2" l="1"/>
  <c r="N227" i="2"/>
  <c r="L228" i="2"/>
  <c r="M228" i="2" l="1"/>
  <c r="N228" i="2"/>
  <c r="L229" i="2"/>
  <c r="M229" i="2" l="1"/>
  <c r="N229" i="2"/>
  <c r="L230" i="2"/>
  <c r="M230" i="2" l="1"/>
  <c r="N230" i="2"/>
  <c r="L231" i="2"/>
  <c r="M231" i="2" l="1"/>
  <c r="N231" i="2"/>
  <c r="L232" i="2"/>
  <c r="M232" i="2" l="1"/>
  <c r="N232" i="2"/>
  <c r="L233" i="2"/>
  <c r="M233" i="2" l="1"/>
  <c r="N233" i="2"/>
  <c r="L234" i="2"/>
  <c r="M234" i="2" l="1"/>
  <c r="N234" i="2"/>
  <c r="L235" i="2"/>
  <c r="M235" i="2" l="1"/>
  <c r="N235" i="2"/>
  <c r="L236" i="2"/>
  <c r="M236" i="2" l="1"/>
  <c r="N236" i="2"/>
  <c r="L237" i="2"/>
  <c r="M237" i="2" l="1"/>
  <c r="N237" i="2"/>
  <c r="L238" i="2"/>
  <c r="M238" i="2" l="1"/>
  <c r="N238" i="2"/>
  <c r="L239" i="2"/>
  <c r="M239" i="2" l="1"/>
  <c r="N239" i="2"/>
  <c r="L240" i="2"/>
  <c r="M240" i="2" l="1"/>
  <c r="N240" i="2"/>
  <c r="L241" i="2"/>
  <c r="M241" i="2" l="1"/>
  <c r="N241" i="2"/>
  <c r="L242" i="2"/>
  <c r="M242" i="2" l="1"/>
  <c r="N242" i="2"/>
  <c r="L243" i="2"/>
  <c r="M243" i="2" l="1"/>
  <c r="N243" i="2"/>
  <c r="L244" i="2"/>
  <c r="M244" i="2" l="1"/>
  <c r="N244" i="2"/>
  <c r="L245" i="2"/>
  <c r="M245" i="2" l="1"/>
  <c r="N245" i="2"/>
  <c r="L246" i="2"/>
  <c r="M246" i="2" l="1"/>
  <c r="N246" i="2"/>
  <c r="L247" i="2"/>
  <c r="M247" i="2" l="1"/>
  <c r="N247" i="2"/>
  <c r="L248" i="2"/>
  <c r="M248" i="2" l="1"/>
  <c r="N248" i="2"/>
  <c r="L249" i="2"/>
  <c r="M249" i="2" l="1"/>
  <c r="N249" i="2"/>
  <c r="L250" i="2"/>
  <c r="M250" i="2" l="1"/>
  <c r="N250" i="2"/>
  <c r="L251" i="2"/>
  <c r="M251" i="2" l="1"/>
  <c r="N251" i="2"/>
  <c r="L252" i="2"/>
  <c r="M252" i="2" l="1"/>
  <c r="N252" i="2"/>
  <c r="L253" i="2"/>
  <c r="M253" i="2" l="1"/>
  <c r="N253" i="2"/>
  <c r="L254" i="2"/>
  <c r="M254" i="2" l="1"/>
  <c r="N254" i="2"/>
  <c r="L255" i="2"/>
  <c r="M255" i="2" l="1"/>
  <c r="N255" i="2"/>
  <c r="L256" i="2"/>
  <c r="M256" i="2" l="1"/>
  <c r="N256" i="2"/>
  <c r="L257" i="2"/>
  <c r="M257" i="2" l="1"/>
  <c r="N257" i="2"/>
  <c r="L258" i="2"/>
  <c r="M258" i="2" l="1"/>
  <c r="N258" i="2"/>
  <c r="L259" i="2"/>
  <c r="M259" i="2" l="1"/>
  <c r="N259" i="2"/>
  <c r="L260" i="2"/>
  <c r="M260" i="2" l="1"/>
  <c r="N260" i="2"/>
  <c r="L261" i="2"/>
  <c r="M261" i="2" l="1"/>
  <c r="N261" i="2"/>
  <c r="L262" i="2"/>
  <c r="M262" i="2" l="1"/>
  <c r="N262" i="2"/>
  <c r="L263" i="2"/>
  <c r="M263" i="2" l="1"/>
  <c r="N263" i="2"/>
  <c r="L264" i="2"/>
  <c r="M264" i="2" l="1"/>
  <c r="N264" i="2"/>
  <c r="L265" i="2"/>
  <c r="M265" i="2" l="1"/>
  <c r="N265" i="2"/>
  <c r="L266" i="2"/>
  <c r="M266" i="2" l="1"/>
  <c r="N266" i="2"/>
  <c r="L267" i="2"/>
  <c r="M267" i="2" l="1"/>
  <c r="N267" i="2"/>
  <c r="L268" i="2"/>
  <c r="M268" i="2" l="1"/>
  <c r="N268" i="2"/>
  <c r="L269" i="2"/>
  <c r="M269" i="2" l="1"/>
  <c r="N269" i="2"/>
  <c r="L270" i="2"/>
  <c r="M270" i="2" l="1"/>
  <c r="N270" i="2"/>
  <c r="L271" i="2"/>
  <c r="M271" i="2" l="1"/>
  <c r="N271" i="2"/>
  <c r="L272" i="2"/>
  <c r="M272" i="2" l="1"/>
  <c r="N272" i="2"/>
  <c r="L273" i="2"/>
  <c r="M273" i="2" l="1"/>
  <c r="N273" i="2"/>
  <c r="L274" i="2"/>
  <c r="M274" i="2" l="1"/>
  <c r="N274" i="2"/>
  <c r="L275" i="2"/>
  <c r="M275" i="2" l="1"/>
  <c r="N275" i="2"/>
  <c r="L276" i="2"/>
  <c r="M276" i="2" l="1"/>
  <c r="N276" i="2"/>
  <c r="L277" i="2"/>
  <c r="M277" i="2" l="1"/>
  <c r="N277" i="2"/>
  <c r="L278" i="2"/>
  <c r="M278" i="2" l="1"/>
  <c r="N278" i="2"/>
  <c r="L279" i="2"/>
  <c r="M279" i="2" l="1"/>
  <c r="N279" i="2"/>
  <c r="L280" i="2"/>
  <c r="M280" i="2" l="1"/>
  <c r="N280" i="2"/>
  <c r="L281" i="2"/>
  <c r="M281" i="2" l="1"/>
  <c r="N281" i="2"/>
  <c r="L282" i="2"/>
  <c r="M282" i="2" l="1"/>
  <c r="N282" i="2"/>
  <c r="L283" i="2"/>
  <c r="M283" i="2" l="1"/>
  <c r="N283" i="2"/>
  <c r="L284" i="2"/>
  <c r="M284" i="2" l="1"/>
  <c r="N284" i="2"/>
  <c r="L285" i="2"/>
  <c r="M285" i="2" l="1"/>
  <c r="N285" i="2"/>
  <c r="L286" i="2"/>
  <c r="M286" i="2" l="1"/>
  <c r="N286" i="2"/>
  <c r="L287" i="2"/>
  <c r="M287" i="2" l="1"/>
  <c r="N287" i="2"/>
  <c r="L288" i="2"/>
  <c r="M288" i="2" l="1"/>
  <c r="N288" i="2"/>
  <c r="L289" i="2"/>
  <c r="M289" i="2" l="1"/>
  <c r="N289" i="2"/>
  <c r="L290" i="2"/>
  <c r="M290" i="2" l="1"/>
  <c r="N290" i="2"/>
  <c r="L291" i="2"/>
  <c r="M291" i="2" l="1"/>
  <c r="N291" i="2"/>
  <c r="L292" i="2"/>
  <c r="M292" i="2" l="1"/>
  <c r="N292" i="2"/>
  <c r="L293" i="2"/>
  <c r="M293" i="2" l="1"/>
  <c r="N293" i="2"/>
  <c r="L294" i="2"/>
  <c r="M294" i="2" l="1"/>
  <c r="N294" i="2"/>
  <c r="L295" i="2"/>
  <c r="M295" i="2" l="1"/>
  <c r="N295" i="2"/>
  <c r="L296" i="2"/>
  <c r="M296" i="2" l="1"/>
  <c r="N296" i="2"/>
  <c r="L297" i="2"/>
  <c r="M297" i="2" l="1"/>
  <c r="N297" i="2"/>
  <c r="L298" i="2"/>
  <c r="M298" i="2" l="1"/>
  <c r="N298" i="2"/>
  <c r="L299" i="2"/>
  <c r="D2" i="5" l="1"/>
  <c r="E2" i="5" s="1"/>
  <c r="M299" i="2"/>
  <c r="N299" i="2"/>
  <c r="L300" i="2"/>
  <c r="M300" i="2" l="1"/>
  <c r="N300" i="2"/>
  <c r="L301" i="2"/>
  <c r="M301" i="2" l="1"/>
  <c r="N301" i="2"/>
  <c r="L302" i="2"/>
  <c r="M302" i="2" l="1"/>
  <c r="N302" i="2"/>
  <c r="L303" i="2"/>
  <c r="M303" i="2" l="1"/>
  <c r="N303" i="2"/>
  <c r="L304" i="2"/>
  <c r="M304" i="2" l="1"/>
  <c r="N304" i="2"/>
  <c r="L305" i="2"/>
  <c r="M305" i="2" l="1"/>
  <c r="N305" i="2"/>
  <c r="L306" i="2"/>
  <c r="M306" i="2" l="1"/>
  <c r="N306" i="2"/>
  <c r="L307" i="2"/>
  <c r="M307" i="2" l="1"/>
  <c r="N307" i="2"/>
  <c r="L308" i="2"/>
  <c r="M308" i="2" l="1"/>
  <c r="N308" i="2"/>
  <c r="L309" i="2"/>
  <c r="M309" i="2" l="1"/>
  <c r="N309" i="2"/>
  <c r="L310" i="2"/>
  <c r="M310" i="2" l="1"/>
  <c r="N310" i="2"/>
  <c r="L311" i="2"/>
  <c r="M311" i="2" l="1"/>
  <c r="N311" i="2"/>
  <c r="L312" i="2"/>
  <c r="M312" i="2" l="1"/>
  <c r="N312" i="2"/>
  <c r="L313" i="2"/>
  <c r="M313" i="2" l="1"/>
  <c r="N313" i="2"/>
  <c r="L314" i="2"/>
  <c r="M314" i="2" l="1"/>
  <c r="N314" i="2"/>
  <c r="L315" i="2"/>
  <c r="M315" i="2" l="1"/>
  <c r="N315" i="2"/>
  <c r="L316" i="2"/>
  <c r="M316" i="2" l="1"/>
  <c r="N316" i="2"/>
  <c r="L317" i="2"/>
  <c r="M317" i="2" l="1"/>
  <c r="N317" i="2"/>
  <c r="L318" i="2"/>
  <c r="N318" i="2" l="1"/>
  <c r="M318" i="2"/>
  <c r="L319" i="2"/>
  <c r="M319" i="2" l="1"/>
  <c r="N319" i="2"/>
  <c r="L320" i="2"/>
  <c r="M320" i="2" l="1"/>
  <c r="N320" i="2"/>
  <c r="L321" i="2"/>
  <c r="M321" i="2" l="1"/>
  <c r="N321" i="2"/>
  <c r="L322" i="2"/>
  <c r="M322" i="2" l="1"/>
  <c r="N322" i="2"/>
  <c r="L323" i="2"/>
  <c r="M323" i="2" l="1"/>
  <c r="N323" i="2"/>
  <c r="L324" i="2"/>
  <c r="M324" i="2" l="1"/>
  <c r="N324" i="2"/>
  <c r="L325" i="2"/>
  <c r="M325" i="2" l="1"/>
  <c r="N325" i="2"/>
  <c r="L326" i="2"/>
  <c r="M326" i="2" l="1"/>
  <c r="N326" i="2"/>
  <c r="L327" i="2"/>
  <c r="M327" i="2" l="1"/>
  <c r="N327" i="2"/>
  <c r="L328" i="2"/>
  <c r="M328" i="2" l="1"/>
  <c r="N328" i="2"/>
  <c r="L329" i="2"/>
  <c r="M329" i="2" l="1"/>
  <c r="N329" i="2"/>
  <c r="L330" i="2"/>
  <c r="M330" i="2" l="1"/>
  <c r="N330" i="2"/>
  <c r="L331" i="2"/>
  <c r="M331" i="2" l="1"/>
  <c r="N331" i="2"/>
  <c r="L332" i="2"/>
  <c r="M332" i="2" l="1"/>
  <c r="N332" i="2"/>
  <c r="L333" i="2"/>
  <c r="M333" i="2" l="1"/>
  <c r="N333" i="2"/>
  <c r="L334" i="2"/>
  <c r="M334" i="2" l="1"/>
  <c r="N334" i="2"/>
  <c r="L335" i="2"/>
  <c r="M335" i="2" l="1"/>
  <c r="N335" i="2"/>
  <c r="L336" i="2"/>
  <c r="M336" i="2" l="1"/>
  <c r="N336" i="2"/>
  <c r="L337" i="2"/>
  <c r="M337" i="2" l="1"/>
  <c r="N337" i="2"/>
  <c r="L338" i="2"/>
  <c r="M338" i="2" l="1"/>
  <c r="N338" i="2"/>
  <c r="L339" i="2"/>
  <c r="M339" i="2" l="1"/>
  <c r="N339" i="2"/>
  <c r="L340" i="2"/>
  <c r="M340" i="2" l="1"/>
  <c r="N340" i="2"/>
  <c r="L341" i="2"/>
  <c r="M341" i="2" l="1"/>
  <c r="N341" i="2"/>
  <c r="L342" i="2"/>
  <c r="M342" i="2" l="1"/>
  <c r="N342" i="2"/>
  <c r="L343" i="2"/>
  <c r="M343" i="2" l="1"/>
  <c r="N343" i="2"/>
  <c r="L344" i="2"/>
  <c r="M344" i="2" l="1"/>
  <c r="N344" i="2"/>
  <c r="L345" i="2"/>
  <c r="M345" i="2" l="1"/>
  <c r="N345" i="2"/>
  <c r="L346" i="2"/>
  <c r="M346" i="2" l="1"/>
  <c r="N346" i="2"/>
  <c r="L347" i="2"/>
  <c r="M347" i="2" l="1"/>
  <c r="N347" i="2"/>
  <c r="L348" i="2"/>
  <c r="M348" i="2" l="1"/>
  <c r="N348" i="2"/>
  <c r="L349" i="2"/>
  <c r="M349" i="2" l="1"/>
  <c r="N349" i="2"/>
  <c r="L350" i="2"/>
  <c r="M350" i="2" l="1"/>
  <c r="N350" i="2"/>
  <c r="L351" i="2"/>
  <c r="M351" i="2" l="1"/>
  <c r="N351" i="2"/>
  <c r="L352" i="2"/>
  <c r="M352" i="2" l="1"/>
  <c r="N352" i="2"/>
  <c r="L353" i="2"/>
  <c r="M353" i="2" l="1"/>
  <c r="N353" i="2"/>
  <c r="L354" i="2"/>
  <c r="M354" i="2" l="1"/>
  <c r="N354" i="2"/>
  <c r="L355" i="2"/>
  <c r="M355" i="2" l="1"/>
  <c r="N355" i="2"/>
  <c r="L356" i="2"/>
  <c r="M356" i="2" l="1"/>
  <c r="N356" i="2"/>
  <c r="L357" i="2"/>
  <c r="M357" i="2" l="1"/>
  <c r="N357" i="2"/>
  <c r="L358" i="2"/>
  <c r="M358" i="2" l="1"/>
  <c r="N358" i="2"/>
  <c r="L359" i="2"/>
  <c r="M359" i="2" l="1"/>
  <c r="N359" i="2"/>
  <c r="L360" i="2"/>
  <c r="M360" i="2" l="1"/>
  <c r="N360" i="2"/>
  <c r="L361" i="2"/>
  <c r="M361" i="2" l="1"/>
  <c r="N361" i="2"/>
  <c r="L362" i="2"/>
  <c r="M362" i="2" l="1"/>
  <c r="N362" i="2"/>
  <c r="L363" i="2"/>
  <c r="M363" i="2" l="1"/>
  <c r="N363" i="2"/>
  <c r="L364" i="2"/>
  <c r="M364" i="2" l="1"/>
  <c r="N364" i="2"/>
  <c r="L365" i="2"/>
  <c r="M365" i="2" l="1"/>
  <c r="N365" i="2"/>
  <c r="L366" i="2"/>
  <c r="M366" i="2" l="1"/>
  <c r="N366" i="2"/>
  <c r="L367" i="2"/>
  <c r="M367" i="2" l="1"/>
  <c r="N367" i="2"/>
  <c r="L368" i="2"/>
  <c r="M368" i="2" l="1"/>
  <c r="N368" i="2"/>
  <c r="L369" i="2"/>
  <c r="M369" i="2" l="1"/>
  <c r="N369" i="2"/>
  <c r="L370" i="2"/>
  <c r="M370" i="2" l="1"/>
  <c r="N370" i="2"/>
  <c r="L371" i="2"/>
  <c r="M371" i="2" l="1"/>
  <c r="N371" i="2"/>
  <c r="L372" i="2"/>
  <c r="M372" i="2" l="1"/>
  <c r="N372" i="2"/>
  <c r="L373" i="2"/>
  <c r="M373" i="2" l="1"/>
  <c r="N373" i="2"/>
  <c r="L374" i="2"/>
  <c r="M374" i="2" l="1"/>
  <c r="N374" i="2"/>
  <c r="L375" i="2"/>
  <c r="M375" i="2" l="1"/>
  <c r="N375" i="2"/>
  <c r="L376" i="2"/>
  <c r="M376" i="2" l="1"/>
  <c r="N376" i="2"/>
  <c r="L377" i="2"/>
  <c r="M377" i="2" l="1"/>
  <c r="N377" i="2"/>
  <c r="L378" i="2"/>
  <c r="M378" i="2" l="1"/>
  <c r="N378" i="2"/>
  <c r="L379" i="2"/>
  <c r="M379" i="2" l="1"/>
  <c r="N379" i="2"/>
  <c r="L380" i="2"/>
  <c r="M380" i="2" l="1"/>
  <c r="N380" i="2"/>
  <c r="L381" i="2"/>
  <c r="M381" i="2" l="1"/>
  <c r="N381" i="2"/>
  <c r="L382" i="2"/>
  <c r="M382" i="2" l="1"/>
  <c r="N382" i="2"/>
  <c r="L383" i="2"/>
  <c r="M383" i="2" l="1"/>
  <c r="N383" i="2"/>
  <c r="L384" i="2"/>
  <c r="M384" i="2" l="1"/>
  <c r="N384" i="2"/>
  <c r="L385" i="2"/>
  <c r="M385" i="2" l="1"/>
  <c r="N385" i="2"/>
  <c r="L386" i="2"/>
  <c r="M386" i="2" l="1"/>
  <c r="N386" i="2"/>
  <c r="L387" i="2"/>
  <c r="M387" i="2" l="1"/>
  <c r="N387" i="2"/>
  <c r="L388" i="2"/>
  <c r="M388" i="2" l="1"/>
  <c r="N388" i="2"/>
  <c r="L389" i="2"/>
  <c r="M389" i="2" l="1"/>
  <c r="N389" i="2"/>
  <c r="L390" i="2"/>
  <c r="M390" i="2" l="1"/>
  <c r="N390" i="2"/>
  <c r="L391" i="2"/>
  <c r="M391" i="2" l="1"/>
  <c r="N391" i="2"/>
  <c r="L392" i="2"/>
  <c r="M392" i="2" l="1"/>
  <c r="N392" i="2"/>
  <c r="L393" i="2"/>
  <c r="M393" i="2" l="1"/>
  <c r="N393" i="2"/>
  <c r="L394" i="2"/>
  <c r="M394" i="2" l="1"/>
  <c r="N394" i="2"/>
  <c r="L395" i="2"/>
  <c r="M395" i="2" l="1"/>
  <c r="N395" i="2"/>
  <c r="L396" i="2"/>
  <c r="M396" i="2" l="1"/>
  <c r="N396" i="2"/>
  <c r="L397" i="2"/>
  <c r="M397" i="2" l="1"/>
  <c r="N397" i="2"/>
  <c r="L398" i="2"/>
  <c r="M398" i="2" l="1"/>
  <c r="N398" i="2"/>
  <c r="L399" i="2"/>
  <c r="M399" i="2" l="1"/>
  <c r="N399" i="2"/>
  <c r="L400" i="2"/>
  <c r="M400" i="2" l="1"/>
  <c r="N400" i="2"/>
  <c r="L401" i="2"/>
  <c r="M401" i="2" l="1"/>
  <c r="N401" i="2"/>
  <c r="L402" i="2"/>
  <c r="M402" i="2" l="1"/>
  <c r="N402" i="2"/>
  <c r="L403" i="2"/>
  <c r="M403" i="2" l="1"/>
  <c r="N403" i="2"/>
  <c r="L404" i="2"/>
  <c r="M404" i="2" l="1"/>
  <c r="N404" i="2"/>
  <c r="L405" i="2"/>
  <c r="M405" i="2" l="1"/>
  <c r="N405" i="2"/>
  <c r="L406" i="2"/>
  <c r="M406" i="2" l="1"/>
  <c r="N406" i="2"/>
  <c r="L407" i="2"/>
  <c r="M407" i="2" l="1"/>
  <c r="N407" i="2"/>
  <c r="L408" i="2"/>
  <c r="M408" i="2" l="1"/>
  <c r="N408" i="2"/>
  <c r="L409" i="2"/>
  <c r="M409" i="2" l="1"/>
  <c r="N409" i="2"/>
  <c r="L410" i="2"/>
  <c r="M410" i="2" l="1"/>
  <c r="N410" i="2"/>
  <c r="L411" i="2"/>
  <c r="M411" i="2" l="1"/>
  <c r="N411" i="2"/>
  <c r="L412" i="2"/>
  <c r="M412" i="2" l="1"/>
  <c r="N412" i="2"/>
  <c r="L413" i="2"/>
  <c r="M413" i="2" l="1"/>
  <c r="N413" i="2"/>
  <c r="L414" i="2"/>
  <c r="M414" i="2" l="1"/>
  <c r="N414" i="2"/>
  <c r="L415" i="2"/>
  <c r="M415" i="2" l="1"/>
  <c r="N415" i="2"/>
  <c r="L416" i="2"/>
  <c r="M416" i="2" l="1"/>
  <c r="N416" i="2"/>
  <c r="L417" i="2"/>
  <c r="M417" i="2" l="1"/>
  <c r="N417" i="2"/>
  <c r="L418" i="2"/>
  <c r="M418" i="2" l="1"/>
  <c r="N418" i="2"/>
  <c r="L419" i="2"/>
  <c r="M419" i="2" l="1"/>
  <c r="N419" i="2"/>
  <c r="L420" i="2"/>
  <c r="M420" i="2" l="1"/>
  <c r="N420" i="2"/>
  <c r="L421" i="2"/>
  <c r="M421" i="2" l="1"/>
  <c r="N421" i="2"/>
  <c r="L422" i="2"/>
  <c r="M422" i="2" l="1"/>
  <c r="N422" i="2"/>
  <c r="L423" i="2"/>
  <c r="M423" i="2" l="1"/>
  <c r="N423" i="2"/>
  <c r="L424" i="2"/>
  <c r="M424" i="2" l="1"/>
  <c r="N424" i="2"/>
  <c r="L425" i="2"/>
  <c r="M425" i="2" l="1"/>
  <c r="N425" i="2"/>
  <c r="L426" i="2"/>
  <c r="M426" i="2" l="1"/>
  <c r="N426" i="2"/>
  <c r="L427" i="2"/>
  <c r="M427" i="2" l="1"/>
  <c r="N427" i="2"/>
  <c r="L428" i="2"/>
  <c r="M428" i="2" l="1"/>
  <c r="N428" i="2"/>
  <c r="L429" i="2"/>
  <c r="M429" i="2" l="1"/>
  <c r="N429" i="2"/>
  <c r="L430" i="2"/>
  <c r="M430" i="2" l="1"/>
  <c r="N430" i="2"/>
  <c r="L431" i="2"/>
  <c r="M431" i="2" l="1"/>
  <c r="N431" i="2"/>
  <c r="L432" i="2"/>
  <c r="M432" i="2" l="1"/>
  <c r="N432" i="2"/>
  <c r="L433" i="2"/>
  <c r="M433" i="2" l="1"/>
  <c r="N433" i="2"/>
  <c r="L434" i="2"/>
  <c r="M434" i="2" l="1"/>
  <c r="N434" i="2"/>
  <c r="L435" i="2"/>
  <c r="M435" i="2" l="1"/>
  <c r="N435" i="2"/>
  <c r="L436" i="2"/>
  <c r="M436" i="2" l="1"/>
  <c r="N436" i="2"/>
  <c r="L437" i="2"/>
  <c r="M437" i="2" l="1"/>
  <c r="N437" i="2"/>
  <c r="L438" i="2"/>
  <c r="M438" i="2" l="1"/>
  <c r="N438" i="2"/>
  <c r="L439" i="2"/>
  <c r="M439" i="2" l="1"/>
  <c r="N439" i="2"/>
  <c r="L440" i="2"/>
  <c r="M440" i="2" l="1"/>
  <c r="N440" i="2"/>
  <c r="L441" i="2"/>
  <c r="M441" i="2" l="1"/>
  <c r="N441" i="2"/>
  <c r="L442" i="2"/>
  <c r="M442" i="2" l="1"/>
  <c r="N442" i="2"/>
  <c r="L443" i="2"/>
  <c r="M443" i="2" l="1"/>
  <c r="N443" i="2"/>
  <c r="L444" i="2"/>
  <c r="M444" i="2" l="1"/>
  <c r="N444" i="2"/>
  <c r="L445" i="2"/>
  <c r="M445" i="2" l="1"/>
  <c r="N445" i="2"/>
  <c r="L446" i="2"/>
  <c r="M446" i="2" l="1"/>
  <c r="N446" i="2"/>
  <c r="L447" i="2"/>
  <c r="M447" i="2" l="1"/>
  <c r="N447" i="2"/>
  <c r="L448" i="2"/>
  <c r="M448" i="2" l="1"/>
  <c r="N448" i="2"/>
  <c r="L449" i="2"/>
  <c r="M449" i="2" l="1"/>
  <c r="N449" i="2"/>
  <c r="L450" i="2"/>
  <c r="M450" i="2" l="1"/>
  <c r="N450" i="2"/>
  <c r="L451" i="2"/>
  <c r="M451" i="2" l="1"/>
  <c r="N451" i="2"/>
  <c r="L452" i="2"/>
  <c r="M452" i="2" l="1"/>
  <c r="N452" i="2"/>
  <c r="L453" i="2"/>
  <c r="M453" i="2" l="1"/>
  <c r="N453" i="2"/>
  <c r="L454" i="2"/>
  <c r="M454" i="2" l="1"/>
  <c r="N454" i="2"/>
  <c r="L455" i="2"/>
  <c r="M455" i="2" l="1"/>
  <c r="N455" i="2"/>
  <c r="L456" i="2"/>
  <c r="M456" i="2" l="1"/>
  <c r="N456" i="2"/>
  <c r="L457" i="2"/>
  <c r="M457" i="2" l="1"/>
  <c r="N457" i="2"/>
  <c r="L458" i="2"/>
  <c r="M458" i="2" l="1"/>
  <c r="N458" i="2"/>
  <c r="L459" i="2"/>
  <c r="M459" i="2" l="1"/>
  <c r="N459" i="2"/>
  <c r="L460" i="2"/>
  <c r="M460" i="2" l="1"/>
  <c r="N460" i="2"/>
  <c r="L461" i="2"/>
  <c r="M461" i="2" l="1"/>
  <c r="N461" i="2"/>
  <c r="L462" i="2"/>
  <c r="M462" i="2" l="1"/>
  <c r="N462" i="2"/>
  <c r="L463" i="2"/>
  <c r="M463" i="2" l="1"/>
  <c r="N463" i="2"/>
  <c r="L464" i="2"/>
  <c r="M464" i="2" l="1"/>
  <c r="N464" i="2"/>
  <c r="L465" i="2"/>
  <c r="M465" i="2" l="1"/>
  <c r="N465" i="2"/>
  <c r="L466" i="2"/>
  <c r="M466" i="2" l="1"/>
  <c r="N466" i="2"/>
  <c r="L467" i="2"/>
  <c r="M467" i="2" l="1"/>
  <c r="N467" i="2"/>
  <c r="L468" i="2"/>
  <c r="M468" i="2" l="1"/>
  <c r="N468" i="2"/>
  <c r="L469" i="2"/>
  <c r="M469" i="2" l="1"/>
  <c r="N469" i="2"/>
  <c r="L470" i="2"/>
  <c r="M470" i="2" l="1"/>
  <c r="N470" i="2"/>
  <c r="L471" i="2"/>
  <c r="M471" i="2" l="1"/>
  <c r="N471" i="2"/>
  <c r="L472" i="2"/>
  <c r="M472" i="2" l="1"/>
  <c r="N472" i="2"/>
  <c r="L473" i="2"/>
  <c r="M473" i="2" l="1"/>
  <c r="N473" i="2"/>
  <c r="L474" i="2"/>
  <c r="M474" i="2" l="1"/>
  <c r="N474" i="2"/>
  <c r="L475" i="2"/>
  <c r="M475" i="2" l="1"/>
  <c r="N475" i="2"/>
  <c r="L476" i="2"/>
  <c r="M476" i="2" l="1"/>
  <c r="N476" i="2"/>
  <c r="L477" i="2"/>
  <c r="M477" i="2" l="1"/>
  <c r="N477" i="2"/>
  <c r="L478" i="2"/>
  <c r="M478" i="2" l="1"/>
  <c r="N478" i="2"/>
  <c r="L479" i="2"/>
  <c r="M479" i="2" l="1"/>
  <c r="N479" i="2"/>
  <c r="L480" i="2"/>
  <c r="M480" i="2" l="1"/>
  <c r="N480" i="2"/>
  <c r="L481" i="2"/>
  <c r="M481" i="2" l="1"/>
  <c r="N481" i="2"/>
  <c r="L482" i="2"/>
  <c r="M482" i="2" l="1"/>
  <c r="N482" i="2"/>
  <c r="L483" i="2"/>
  <c r="M483" i="2" l="1"/>
  <c r="N483" i="2"/>
  <c r="L484" i="2"/>
  <c r="M484" i="2" l="1"/>
  <c r="N484" i="2"/>
  <c r="L485" i="2"/>
  <c r="M485" i="2" l="1"/>
  <c r="N485" i="2"/>
  <c r="L486" i="2"/>
  <c r="M486" i="2" l="1"/>
  <c r="N486" i="2"/>
  <c r="L487" i="2"/>
  <c r="M487" i="2" l="1"/>
  <c r="N487" i="2"/>
  <c r="L488" i="2"/>
  <c r="M488" i="2" l="1"/>
  <c r="N488" i="2"/>
  <c r="L489" i="2"/>
  <c r="M489" i="2" l="1"/>
  <c r="N489" i="2"/>
  <c r="L490" i="2"/>
  <c r="M490" i="2" l="1"/>
  <c r="N490" i="2"/>
  <c r="L491" i="2"/>
  <c r="M491" i="2" l="1"/>
  <c r="N491" i="2"/>
  <c r="L492" i="2"/>
  <c r="M492" i="2" l="1"/>
  <c r="N492" i="2"/>
  <c r="L493" i="2"/>
  <c r="M493" i="2" l="1"/>
  <c r="N493" i="2"/>
  <c r="L494" i="2"/>
  <c r="M494" i="2" l="1"/>
  <c r="N494" i="2"/>
  <c r="L495" i="2"/>
  <c r="M495" i="2" l="1"/>
  <c r="N495" i="2"/>
  <c r="L496" i="2"/>
  <c r="M496" i="2" l="1"/>
  <c r="N496" i="2"/>
  <c r="L497" i="2"/>
  <c r="M497" i="2" l="1"/>
  <c r="N497" i="2"/>
  <c r="L498" i="2"/>
  <c r="M498" i="2" l="1"/>
  <c r="N498" i="2"/>
  <c r="L499" i="2"/>
  <c r="M499" i="2" l="1"/>
  <c r="N499" i="2"/>
  <c r="L500" i="2"/>
  <c r="M500" i="2" l="1"/>
  <c r="N500" i="2"/>
  <c r="L501" i="2"/>
  <c r="M501" i="2" l="1"/>
  <c r="N501" i="2"/>
  <c r="L502" i="2"/>
  <c r="M502" i="2" l="1"/>
  <c r="N502" i="2"/>
  <c r="L503" i="2"/>
  <c r="M503" i="2" l="1"/>
  <c r="N503" i="2"/>
  <c r="L504" i="2"/>
  <c r="M504" i="2" l="1"/>
  <c r="N504" i="2"/>
  <c r="L505" i="2"/>
  <c r="M505" i="2" l="1"/>
  <c r="N505" i="2"/>
  <c r="L506" i="2"/>
  <c r="M506" i="2" l="1"/>
  <c r="N506" i="2"/>
  <c r="L507" i="2"/>
  <c r="M507" i="2" l="1"/>
  <c r="N507" i="2"/>
  <c r="L508" i="2"/>
  <c r="M508" i="2" l="1"/>
  <c r="N508" i="2"/>
  <c r="L509" i="2"/>
  <c r="M509" i="2" l="1"/>
  <c r="N509" i="2"/>
  <c r="L510" i="2"/>
  <c r="M510" i="2" l="1"/>
  <c r="N510" i="2"/>
  <c r="L511" i="2"/>
  <c r="M511" i="2" l="1"/>
  <c r="N511" i="2"/>
  <c r="L512" i="2"/>
  <c r="M512" i="2" l="1"/>
  <c r="N512" i="2"/>
  <c r="L513" i="2"/>
  <c r="M513" i="2" l="1"/>
  <c r="N513" i="2"/>
  <c r="L514" i="2"/>
  <c r="M514" i="2" l="1"/>
  <c r="N514" i="2"/>
  <c r="L515" i="2"/>
  <c r="M515" i="2" l="1"/>
  <c r="N515" i="2"/>
  <c r="L516" i="2"/>
  <c r="M516" i="2" l="1"/>
  <c r="N516" i="2"/>
  <c r="L517" i="2"/>
  <c r="M517" i="2" l="1"/>
  <c r="N517" i="2"/>
  <c r="L518" i="2"/>
  <c r="M518" i="2" l="1"/>
  <c r="N518" i="2"/>
  <c r="L519" i="2"/>
  <c r="M519" i="2" l="1"/>
  <c r="N519" i="2"/>
  <c r="L520" i="2"/>
  <c r="M520" i="2" l="1"/>
  <c r="N520" i="2"/>
  <c r="L521" i="2"/>
  <c r="M521" i="2" l="1"/>
  <c r="N521" i="2"/>
  <c r="L522" i="2"/>
  <c r="M522" i="2" l="1"/>
  <c r="N522" i="2"/>
  <c r="L523" i="2"/>
  <c r="M523" i="2" l="1"/>
  <c r="N523" i="2"/>
  <c r="L524" i="2"/>
  <c r="M524" i="2" l="1"/>
  <c r="N524" i="2"/>
  <c r="L525" i="2"/>
  <c r="M525" i="2" l="1"/>
  <c r="N525" i="2"/>
  <c r="L526" i="2"/>
  <c r="M526" i="2" l="1"/>
  <c r="N526" i="2"/>
  <c r="L527" i="2"/>
  <c r="M527" i="2" l="1"/>
  <c r="N527" i="2"/>
  <c r="L528" i="2"/>
  <c r="M528" i="2" l="1"/>
  <c r="N528" i="2"/>
  <c r="L529" i="2"/>
  <c r="M529" i="2" l="1"/>
  <c r="N529" i="2"/>
  <c r="L530" i="2"/>
  <c r="M530" i="2" l="1"/>
  <c r="N530" i="2"/>
  <c r="L531" i="2"/>
  <c r="M531" i="2" l="1"/>
  <c r="N531" i="2"/>
  <c r="L532" i="2"/>
  <c r="M532" i="2" l="1"/>
  <c r="N532" i="2"/>
  <c r="L533" i="2"/>
  <c r="M533" i="2" l="1"/>
  <c r="N533" i="2"/>
  <c r="L534" i="2"/>
  <c r="M534" i="2" l="1"/>
  <c r="N534" i="2"/>
  <c r="L535" i="2"/>
  <c r="M535" i="2" l="1"/>
  <c r="N535" i="2"/>
  <c r="L536" i="2"/>
  <c r="M536" i="2" l="1"/>
  <c r="N536" i="2"/>
  <c r="L537" i="2"/>
  <c r="M537" i="2" l="1"/>
  <c r="N537" i="2"/>
  <c r="L538" i="2"/>
  <c r="M538" i="2" l="1"/>
  <c r="N538" i="2"/>
  <c r="L539" i="2"/>
  <c r="M539" i="2" l="1"/>
  <c r="N539" i="2"/>
  <c r="L540" i="2"/>
  <c r="M540" i="2" l="1"/>
  <c r="N540" i="2"/>
  <c r="L541" i="2"/>
  <c r="M541" i="2" l="1"/>
  <c r="N541" i="2"/>
  <c r="L542" i="2"/>
  <c r="M542" i="2" l="1"/>
  <c r="N542" i="2"/>
  <c r="L543" i="2"/>
  <c r="M543" i="2" l="1"/>
  <c r="N543" i="2"/>
  <c r="L544" i="2"/>
  <c r="M544" i="2" l="1"/>
  <c r="N544" i="2"/>
  <c r="L545" i="2"/>
  <c r="M545" i="2" l="1"/>
  <c r="N545" i="2"/>
  <c r="L546" i="2"/>
  <c r="M546" i="2" l="1"/>
  <c r="N546" i="2"/>
  <c r="L547" i="2"/>
  <c r="M547" i="2" l="1"/>
  <c r="N547" i="2"/>
  <c r="L548" i="2"/>
  <c r="M548" i="2" l="1"/>
  <c r="N548" i="2"/>
  <c r="L549" i="2"/>
  <c r="M549" i="2" l="1"/>
  <c r="N549" i="2"/>
  <c r="L550" i="2"/>
  <c r="M550" i="2" l="1"/>
  <c r="N550" i="2"/>
  <c r="L551" i="2"/>
  <c r="M551" i="2" l="1"/>
  <c r="N551" i="2"/>
  <c r="L552" i="2"/>
  <c r="M552" i="2" l="1"/>
  <c r="N552" i="2"/>
  <c r="L553" i="2"/>
  <c r="M553" i="2" l="1"/>
  <c r="N553" i="2"/>
  <c r="L554" i="2"/>
  <c r="M554" i="2" l="1"/>
  <c r="N554" i="2"/>
  <c r="L555" i="2"/>
  <c r="M555" i="2" l="1"/>
  <c r="N555" i="2"/>
  <c r="L556" i="2"/>
  <c r="M556" i="2" l="1"/>
  <c r="N556" i="2"/>
  <c r="L557" i="2"/>
  <c r="M557" i="2" l="1"/>
  <c r="N557" i="2"/>
  <c r="L558" i="2"/>
  <c r="M558" i="2" l="1"/>
  <c r="N558" i="2"/>
  <c r="L559" i="2"/>
  <c r="M559" i="2" l="1"/>
  <c r="N559" i="2"/>
  <c r="L560" i="2"/>
  <c r="M560" i="2" l="1"/>
  <c r="N560" i="2"/>
  <c r="L561" i="2"/>
  <c r="M561" i="2" l="1"/>
  <c r="N561" i="2"/>
  <c r="L562" i="2"/>
  <c r="M562" i="2" l="1"/>
  <c r="N562" i="2"/>
  <c r="L563" i="2"/>
  <c r="M563" i="2" l="1"/>
  <c r="N563" i="2"/>
  <c r="L564" i="2"/>
  <c r="M564" i="2" l="1"/>
  <c r="N564" i="2"/>
  <c r="L565" i="2"/>
  <c r="M565" i="2" l="1"/>
  <c r="N565" i="2"/>
  <c r="L566" i="2"/>
  <c r="M566" i="2" l="1"/>
  <c r="N566" i="2"/>
  <c r="L567" i="2"/>
  <c r="M567" i="2" l="1"/>
  <c r="N567" i="2"/>
  <c r="L568" i="2"/>
  <c r="M568" i="2" l="1"/>
  <c r="N568" i="2"/>
  <c r="L569" i="2"/>
  <c r="M569" i="2" l="1"/>
  <c r="N569" i="2"/>
  <c r="L570" i="2"/>
  <c r="M570" i="2" l="1"/>
  <c r="N570" i="2"/>
  <c r="L571" i="2"/>
  <c r="M571" i="2" l="1"/>
  <c r="N571" i="2"/>
  <c r="L572" i="2"/>
  <c r="M572" i="2" l="1"/>
  <c r="N572" i="2"/>
  <c r="L573" i="2"/>
  <c r="M573" i="2" l="1"/>
  <c r="N573" i="2"/>
  <c r="L574" i="2"/>
  <c r="M574" i="2" l="1"/>
  <c r="N574" i="2"/>
  <c r="L575" i="2"/>
  <c r="M575" i="2" l="1"/>
  <c r="N575" i="2"/>
  <c r="L576" i="2"/>
  <c r="M576" i="2" l="1"/>
  <c r="N576" i="2"/>
  <c r="L577" i="2"/>
  <c r="M577" i="2" l="1"/>
  <c r="N577" i="2"/>
  <c r="L578" i="2"/>
  <c r="M578" i="2" l="1"/>
  <c r="N578" i="2"/>
  <c r="L579" i="2"/>
  <c r="M579" i="2" l="1"/>
  <c r="N579" i="2"/>
  <c r="L580" i="2"/>
  <c r="M580" i="2" l="1"/>
  <c r="N580" i="2"/>
  <c r="L581" i="2"/>
  <c r="M581" i="2" l="1"/>
  <c r="N581" i="2"/>
  <c r="L582" i="2"/>
  <c r="M582" i="2" l="1"/>
  <c r="N582" i="2"/>
  <c r="L583" i="2"/>
  <c r="M583" i="2" l="1"/>
  <c r="N583" i="2"/>
  <c r="L584" i="2"/>
  <c r="M584" i="2" l="1"/>
  <c r="N584" i="2"/>
  <c r="L585" i="2"/>
  <c r="M585" i="2" l="1"/>
  <c r="N585" i="2"/>
  <c r="L586" i="2"/>
  <c r="M586" i="2" l="1"/>
  <c r="N586" i="2"/>
  <c r="L587" i="2"/>
  <c r="M587" i="2" l="1"/>
  <c r="N587" i="2"/>
  <c r="L588" i="2"/>
  <c r="M588" i="2" l="1"/>
  <c r="N588" i="2"/>
  <c r="L589" i="2"/>
  <c r="M589" i="2" l="1"/>
  <c r="N589" i="2"/>
  <c r="L590" i="2"/>
  <c r="M590" i="2" l="1"/>
  <c r="N590" i="2"/>
  <c r="L591" i="2"/>
  <c r="M591" i="2" l="1"/>
  <c r="N591" i="2"/>
  <c r="L592" i="2"/>
  <c r="M592" i="2" l="1"/>
  <c r="N592" i="2"/>
  <c r="L593" i="2"/>
  <c r="M593" i="2" l="1"/>
  <c r="N593" i="2"/>
  <c r="L594" i="2"/>
  <c r="M594" i="2" l="1"/>
  <c r="N594" i="2"/>
  <c r="L595" i="2"/>
  <c r="M595" i="2" l="1"/>
  <c r="N595" i="2"/>
  <c r="L596" i="2"/>
  <c r="M596" i="2" l="1"/>
  <c r="N596" i="2"/>
  <c r="L597" i="2"/>
  <c r="M597" i="2" l="1"/>
  <c r="N597" i="2"/>
  <c r="L598" i="2"/>
  <c r="M598" i="2" l="1"/>
  <c r="N598" i="2"/>
  <c r="L599" i="2"/>
  <c r="M599" i="2" l="1"/>
  <c r="N599" i="2"/>
  <c r="L600" i="2"/>
  <c r="M600" i="2" l="1"/>
  <c r="N600" i="2"/>
  <c r="L601" i="2"/>
  <c r="M601" i="2" l="1"/>
  <c r="N601" i="2"/>
  <c r="L602" i="2"/>
  <c r="M602" i="2" l="1"/>
  <c r="N602" i="2"/>
  <c r="L603" i="2"/>
  <c r="M603" i="2" l="1"/>
  <c r="N603" i="2"/>
  <c r="L604" i="2"/>
  <c r="M604" i="2" l="1"/>
  <c r="N604" i="2"/>
  <c r="L605" i="2"/>
  <c r="M605" i="2" l="1"/>
  <c r="N605" i="2"/>
  <c r="L606" i="2"/>
  <c r="M606" i="2" l="1"/>
  <c r="N606" i="2"/>
  <c r="L607" i="2"/>
  <c r="M607" i="2" l="1"/>
  <c r="N607" i="2"/>
  <c r="L608" i="2"/>
  <c r="M608" i="2" l="1"/>
  <c r="N608" i="2"/>
  <c r="L609" i="2"/>
  <c r="M609" i="2" l="1"/>
  <c r="N609" i="2"/>
  <c r="L610" i="2"/>
  <c r="M610" i="2" l="1"/>
  <c r="N610" i="2"/>
  <c r="L611" i="2"/>
  <c r="M611" i="2" l="1"/>
  <c r="N611" i="2"/>
  <c r="L612" i="2"/>
  <c r="M612" i="2" l="1"/>
  <c r="N612" i="2"/>
  <c r="L613" i="2"/>
  <c r="M613" i="2" l="1"/>
  <c r="N613" i="2"/>
  <c r="L614" i="2"/>
  <c r="M614" i="2" l="1"/>
  <c r="N614" i="2"/>
  <c r="L615" i="2"/>
  <c r="M615" i="2" l="1"/>
  <c r="N615" i="2"/>
  <c r="L616" i="2"/>
  <c r="M616" i="2" l="1"/>
  <c r="N616" i="2"/>
  <c r="L617" i="2"/>
  <c r="M617" i="2" l="1"/>
  <c r="N617" i="2"/>
  <c r="L618" i="2"/>
  <c r="M618" i="2" l="1"/>
  <c r="N618" i="2"/>
  <c r="L619" i="2"/>
  <c r="M619" i="2" l="1"/>
  <c r="N619" i="2"/>
  <c r="L620" i="2"/>
  <c r="M620" i="2" l="1"/>
  <c r="N620" i="2"/>
  <c r="L621" i="2"/>
  <c r="M621" i="2" l="1"/>
  <c r="N621" i="2"/>
  <c r="L622" i="2"/>
  <c r="M622" i="2" l="1"/>
  <c r="N622" i="2"/>
  <c r="L623" i="2"/>
  <c r="M623" i="2" l="1"/>
  <c r="N623" i="2"/>
  <c r="L624" i="2"/>
  <c r="M624" i="2" l="1"/>
  <c r="N624" i="2"/>
  <c r="L625" i="2"/>
  <c r="M625" i="2" l="1"/>
  <c r="N625" i="2"/>
  <c r="L626" i="2"/>
  <c r="M626" i="2" l="1"/>
  <c r="N626" i="2"/>
  <c r="L627" i="2"/>
  <c r="M627" i="2" l="1"/>
  <c r="N627" i="2"/>
  <c r="L628" i="2"/>
  <c r="M628" i="2" l="1"/>
  <c r="N628" i="2"/>
  <c r="L629" i="2"/>
  <c r="M629" i="2" l="1"/>
  <c r="N629" i="2"/>
  <c r="L630" i="2"/>
  <c r="M630" i="2" l="1"/>
  <c r="N630" i="2"/>
  <c r="L631" i="2"/>
  <c r="M631" i="2" l="1"/>
  <c r="N631" i="2"/>
  <c r="L632" i="2"/>
  <c r="M632" i="2" l="1"/>
  <c r="N632" i="2"/>
  <c r="L633" i="2"/>
  <c r="M633" i="2" l="1"/>
  <c r="N633" i="2"/>
  <c r="L634" i="2"/>
  <c r="M634" i="2" l="1"/>
  <c r="N634" i="2"/>
  <c r="L635" i="2"/>
  <c r="M635" i="2" l="1"/>
  <c r="N635" i="2"/>
  <c r="L636" i="2"/>
  <c r="M636" i="2" l="1"/>
  <c r="N636" i="2"/>
  <c r="L637" i="2"/>
  <c r="M637" i="2" l="1"/>
  <c r="N637" i="2"/>
  <c r="L638" i="2"/>
  <c r="M638" i="2" l="1"/>
  <c r="N638" i="2"/>
  <c r="L639" i="2"/>
  <c r="M639" i="2" l="1"/>
  <c r="N639" i="2"/>
  <c r="L640" i="2"/>
  <c r="M640" i="2" l="1"/>
  <c r="N640" i="2"/>
  <c r="L641" i="2"/>
  <c r="M641" i="2" l="1"/>
  <c r="N641" i="2"/>
  <c r="L642" i="2"/>
  <c r="M642" i="2" l="1"/>
  <c r="N642" i="2"/>
  <c r="L643" i="2"/>
  <c r="M643" i="2" l="1"/>
  <c r="N643" i="2"/>
  <c r="L644" i="2"/>
  <c r="M644" i="2" l="1"/>
  <c r="N644" i="2"/>
  <c r="L645" i="2"/>
  <c r="M645" i="2" l="1"/>
  <c r="N645" i="2"/>
  <c r="L646" i="2"/>
  <c r="M646" i="2" l="1"/>
  <c r="N646" i="2"/>
  <c r="L647" i="2"/>
  <c r="M647" i="2" l="1"/>
  <c r="N647" i="2"/>
  <c r="L648" i="2"/>
  <c r="M648" i="2" l="1"/>
  <c r="N648" i="2"/>
  <c r="L649" i="2"/>
  <c r="M649" i="2" l="1"/>
  <c r="N649" i="2"/>
  <c r="L650" i="2"/>
  <c r="M650" i="2" l="1"/>
  <c r="N650" i="2"/>
  <c r="L651" i="2"/>
  <c r="M651" i="2" l="1"/>
  <c r="N651" i="2"/>
  <c r="L652" i="2"/>
  <c r="M652" i="2" l="1"/>
  <c r="N652" i="2"/>
  <c r="L653" i="2"/>
  <c r="M653" i="2" l="1"/>
  <c r="N653" i="2"/>
  <c r="L654" i="2"/>
  <c r="M654" i="2" l="1"/>
  <c r="N654" i="2"/>
  <c r="L655" i="2"/>
  <c r="M655" i="2" l="1"/>
  <c r="N655" i="2"/>
  <c r="L656" i="2"/>
  <c r="M656" i="2" l="1"/>
  <c r="N656" i="2"/>
  <c r="L657" i="2"/>
  <c r="M657" i="2" l="1"/>
  <c r="N657" i="2"/>
  <c r="L658" i="2"/>
  <c r="M658" i="2" l="1"/>
  <c r="N658" i="2"/>
  <c r="L659" i="2"/>
  <c r="M659" i="2" l="1"/>
  <c r="N659" i="2"/>
  <c r="L660" i="2"/>
  <c r="M660" i="2" l="1"/>
  <c r="N660" i="2"/>
  <c r="L661" i="2"/>
  <c r="M661" i="2" l="1"/>
  <c r="N661" i="2"/>
  <c r="L662" i="2"/>
  <c r="M662" i="2" l="1"/>
  <c r="N662" i="2"/>
  <c r="L663" i="2"/>
  <c r="M663" i="2" l="1"/>
  <c r="N663" i="2"/>
  <c r="L664" i="2"/>
  <c r="M664" i="2" l="1"/>
  <c r="N664" i="2"/>
  <c r="L665" i="2"/>
  <c r="M665" i="2" l="1"/>
  <c r="N665" i="2"/>
  <c r="L666" i="2"/>
  <c r="M666" i="2" l="1"/>
  <c r="N666" i="2"/>
  <c r="L667" i="2"/>
  <c r="M667" i="2" l="1"/>
  <c r="N667" i="2"/>
  <c r="L668" i="2"/>
  <c r="M668" i="2" l="1"/>
  <c r="N668" i="2"/>
  <c r="L669" i="2"/>
  <c r="M669" i="2" l="1"/>
  <c r="N669" i="2"/>
  <c r="L670" i="2"/>
  <c r="M670" i="2" l="1"/>
  <c r="N670" i="2"/>
  <c r="L671" i="2"/>
  <c r="M671" i="2" l="1"/>
  <c r="N671" i="2"/>
  <c r="L672" i="2"/>
  <c r="M672" i="2" l="1"/>
  <c r="N672" i="2"/>
  <c r="L673" i="2"/>
  <c r="M673" i="2" l="1"/>
  <c r="N673" i="2"/>
  <c r="L674" i="2"/>
  <c r="M674" i="2" l="1"/>
  <c r="N674" i="2"/>
  <c r="L675" i="2"/>
  <c r="M675" i="2" l="1"/>
  <c r="N675" i="2"/>
  <c r="L676" i="2"/>
  <c r="M676" i="2" l="1"/>
  <c r="N676" i="2"/>
  <c r="L677" i="2"/>
  <c r="M677" i="2" l="1"/>
  <c r="N677" i="2"/>
  <c r="L678" i="2"/>
  <c r="M678" i="2" l="1"/>
  <c r="N678" i="2"/>
  <c r="L679" i="2"/>
  <c r="M679" i="2" l="1"/>
  <c r="N679" i="2"/>
  <c r="L680" i="2"/>
  <c r="M680" i="2" l="1"/>
  <c r="N680" i="2"/>
  <c r="L681" i="2"/>
  <c r="M681" i="2" l="1"/>
  <c r="N681" i="2"/>
  <c r="L682" i="2"/>
  <c r="M682" i="2" l="1"/>
  <c r="N682" i="2"/>
  <c r="L683" i="2"/>
  <c r="M683" i="2" l="1"/>
  <c r="N683" i="2"/>
  <c r="L684" i="2"/>
  <c r="M684" i="2" l="1"/>
  <c r="N684" i="2"/>
  <c r="L685" i="2"/>
  <c r="M685" i="2" l="1"/>
  <c r="N685" i="2"/>
  <c r="L686" i="2"/>
  <c r="M686" i="2" l="1"/>
  <c r="N686" i="2"/>
  <c r="L687" i="2"/>
  <c r="M687" i="2" l="1"/>
  <c r="N687" i="2"/>
  <c r="L688" i="2"/>
  <c r="M688" i="2" l="1"/>
  <c r="N688" i="2"/>
  <c r="L689" i="2"/>
  <c r="M689" i="2" l="1"/>
  <c r="N689" i="2"/>
  <c r="L690" i="2"/>
  <c r="M690" i="2" l="1"/>
  <c r="N690" i="2"/>
  <c r="L691" i="2"/>
  <c r="M691" i="2" l="1"/>
  <c r="N691" i="2"/>
  <c r="L692" i="2"/>
  <c r="M692" i="2" l="1"/>
  <c r="N692" i="2"/>
  <c r="L693" i="2"/>
  <c r="M693" i="2" l="1"/>
  <c r="N693" i="2"/>
  <c r="L694" i="2"/>
  <c r="M694" i="2" l="1"/>
  <c r="N694" i="2"/>
  <c r="L695" i="2"/>
  <c r="M695" i="2" l="1"/>
  <c r="N695" i="2"/>
  <c r="L696" i="2"/>
  <c r="M696" i="2" l="1"/>
  <c r="N696" i="2"/>
  <c r="L697" i="2"/>
  <c r="M697" i="2" l="1"/>
  <c r="N697" i="2"/>
  <c r="L698" i="2"/>
  <c r="M698" i="2" l="1"/>
  <c r="N698" i="2"/>
  <c r="L699" i="2"/>
  <c r="M699" i="2" l="1"/>
  <c r="N699" i="2"/>
  <c r="L700" i="2"/>
  <c r="M700" i="2" l="1"/>
  <c r="N700" i="2"/>
  <c r="L701" i="2"/>
  <c r="M701" i="2" l="1"/>
  <c r="N701" i="2"/>
  <c r="L702" i="2"/>
  <c r="M702" i="2" l="1"/>
  <c r="N702" i="2"/>
  <c r="L703" i="2"/>
  <c r="M703" i="2" l="1"/>
  <c r="N703" i="2"/>
  <c r="L704" i="2"/>
  <c r="M704" i="2" l="1"/>
  <c r="N704" i="2"/>
  <c r="L705" i="2"/>
  <c r="M705" i="2" l="1"/>
  <c r="N705" i="2"/>
  <c r="L706" i="2"/>
  <c r="M706" i="2" l="1"/>
  <c r="N706" i="2"/>
  <c r="L707" i="2"/>
  <c r="M707" i="2" l="1"/>
  <c r="N707" i="2"/>
  <c r="L708" i="2"/>
  <c r="M708" i="2" l="1"/>
  <c r="N708" i="2"/>
  <c r="L709" i="2"/>
  <c r="M709" i="2" l="1"/>
  <c r="N709" i="2"/>
  <c r="L710" i="2"/>
  <c r="M710" i="2" l="1"/>
  <c r="N710" i="2"/>
  <c r="L711" i="2"/>
  <c r="M711" i="2" l="1"/>
  <c r="N711" i="2"/>
  <c r="L712" i="2"/>
  <c r="M712" i="2" l="1"/>
  <c r="N712" i="2"/>
  <c r="L713" i="2"/>
  <c r="M713" i="2" l="1"/>
  <c r="N713" i="2"/>
  <c r="L714" i="2"/>
  <c r="M714" i="2" l="1"/>
  <c r="N714" i="2"/>
  <c r="L715" i="2"/>
  <c r="M715" i="2" l="1"/>
  <c r="N715" i="2"/>
  <c r="L716" i="2"/>
  <c r="M716" i="2" l="1"/>
  <c r="N716" i="2"/>
  <c r="L717" i="2"/>
  <c r="M717" i="2" l="1"/>
  <c r="N717" i="2"/>
  <c r="L718" i="2"/>
  <c r="M718" i="2" l="1"/>
  <c r="N718" i="2"/>
  <c r="L719" i="2"/>
  <c r="M719" i="2" l="1"/>
  <c r="N719" i="2"/>
  <c r="L720" i="2"/>
  <c r="M720" i="2" l="1"/>
  <c r="N720" i="2"/>
  <c r="L721" i="2"/>
  <c r="M721" i="2" l="1"/>
  <c r="N721" i="2"/>
  <c r="L722" i="2"/>
  <c r="M722" i="2" l="1"/>
  <c r="N722" i="2"/>
  <c r="L723" i="2"/>
  <c r="M723" i="2" l="1"/>
  <c r="N723" i="2"/>
  <c r="L724" i="2"/>
  <c r="M724" i="2" l="1"/>
  <c r="N724" i="2"/>
  <c r="L725" i="2"/>
  <c r="M725" i="2" l="1"/>
  <c r="N725" i="2"/>
  <c r="L726" i="2"/>
  <c r="M726" i="2" l="1"/>
  <c r="N726" i="2"/>
  <c r="L727" i="2"/>
  <c r="M727" i="2" l="1"/>
  <c r="N727" i="2"/>
  <c r="L728" i="2"/>
  <c r="M728" i="2" l="1"/>
  <c r="N728" i="2"/>
  <c r="L729" i="2"/>
  <c r="M729" i="2" l="1"/>
  <c r="N729" i="2"/>
  <c r="L730" i="2"/>
  <c r="M730" i="2" l="1"/>
  <c r="N730" i="2"/>
  <c r="L731" i="2"/>
  <c r="M731" i="2" l="1"/>
  <c r="N731" i="2"/>
  <c r="L732" i="2"/>
  <c r="M732" i="2" l="1"/>
  <c r="N732" i="2"/>
  <c r="L733" i="2"/>
  <c r="M733" i="2" l="1"/>
  <c r="N733" i="2"/>
  <c r="L734" i="2"/>
  <c r="M734" i="2" l="1"/>
  <c r="N734" i="2"/>
  <c r="L735" i="2"/>
  <c r="M735" i="2" l="1"/>
  <c r="N735" i="2"/>
  <c r="L736" i="2"/>
  <c r="M736" i="2" l="1"/>
  <c r="N736" i="2"/>
  <c r="L737" i="2"/>
  <c r="M737" i="2" l="1"/>
  <c r="N737" i="2"/>
  <c r="L738" i="2"/>
  <c r="M738" i="2" l="1"/>
  <c r="N738" i="2"/>
  <c r="L739" i="2"/>
  <c r="M739" i="2" l="1"/>
  <c r="N739" i="2"/>
  <c r="L740" i="2"/>
  <c r="M740" i="2" l="1"/>
  <c r="N740" i="2"/>
  <c r="L741" i="2"/>
  <c r="M741" i="2" l="1"/>
  <c r="N741" i="2"/>
  <c r="L742" i="2"/>
  <c r="M742" i="2" l="1"/>
  <c r="N742" i="2"/>
  <c r="L743" i="2"/>
  <c r="M743" i="2" l="1"/>
  <c r="N743" i="2"/>
  <c r="L744" i="2"/>
  <c r="M744" i="2" l="1"/>
  <c r="N744" i="2"/>
  <c r="L745" i="2"/>
  <c r="M745" i="2" l="1"/>
  <c r="N745" i="2"/>
  <c r="L746" i="2"/>
  <c r="M746" i="2" l="1"/>
  <c r="N746" i="2"/>
  <c r="L747" i="2"/>
  <c r="M747" i="2" l="1"/>
  <c r="N747" i="2"/>
  <c r="L748" i="2"/>
  <c r="M748" i="2" l="1"/>
  <c r="N748" i="2"/>
  <c r="L749" i="2"/>
  <c r="M749" i="2" l="1"/>
  <c r="N749" i="2"/>
  <c r="L750" i="2"/>
  <c r="M750" i="2" l="1"/>
  <c r="N750" i="2"/>
  <c r="L751" i="2"/>
  <c r="M751" i="2" l="1"/>
  <c r="N751" i="2"/>
  <c r="L752" i="2"/>
  <c r="M752" i="2" l="1"/>
  <c r="N752" i="2"/>
  <c r="L753" i="2"/>
  <c r="M753" i="2" l="1"/>
  <c r="N753" i="2"/>
  <c r="L754" i="2"/>
  <c r="M754" i="2" l="1"/>
  <c r="N754" i="2"/>
  <c r="L755" i="2"/>
  <c r="M755" i="2" l="1"/>
  <c r="N755" i="2"/>
  <c r="L756" i="2"/>
  <c r="M756" i="2" l="1"/>
  <c r="N756" i="2"/>
  <c r="L757" i="2"/>
  <c r="M757" i="2" l="1"/>
  <c r="N757" i="2"/>
  <c r="L758" i="2"/>
  <c r="M758" i="2" l="1"/>
  <c r="N758" i="2"/>
  <c r="L759" i="2"/>
  <c r="M759" i="2" l="1"/>
  <c r="N759" i="2"/>
  <c r="L760" i="2"/>
  <c r="M760" i="2" l="1"/>
  <c r="N760" i="2"/>
  <c r="L761" i="2"/>
  <c r="M761" i="2" l="1"/>
  <c r="N761" i="2"/>
  <c r="L762" i="2"/>
  <c r="M762" i="2" l="1"/>
  <c r="N762" i="2"/>
  <c r="L763" i="2"/>
  <c r="M763" i="2" l="1"/>
  <c r="N763" i="2"/>
  <c r="L764" i="2"/>
  <c r="M764" i="2" l="1"/>
  <c r="N764" i="2"/>
  <c r="L765" i="2"/>
  <c r="M765" i="2" l="1"/>
  <c r="N765" i="2"/>
  <c r="L766" i="2"/>
  <c r="M766" i="2" l="1"/>
  <c r="N766" i="2"/>
  <c r="L767" i="2"/>
  <c r="M767" i="2" l="1"/>
  <c r="N767" i="2"/>
  <c r="L768" i="2"/>
  <c r="M768" i="2" l="1"/>
  <c r="N768" i="2"/>
  <c r="L769" i="2"/>
  <c r="M769" i="2" l="1"/>
  <c r="N769" i="2"/>
  <c r="L770" i="2"/>
  <c r="M770" i="2" l="1"/>
  <c r="N770" i="2"/>
  <c r="L771" i="2"/>
  <c r="M771" i="2" l="1"/>
  <c r="N771" i="2"/>
  <c r="L772" i="2"/>
  <c r="M772" i="2" l="1"/>
  <c r="N772" i="2"/>
  <c r="L773" i="2"/>
  <c r="M773" i="2" l="1"/>
  <c r="N773" i="2"/>
  <c r="L774" i="2"/>
  <c r="M774" i="2" l="1"/>
  <c r="N774" i="2"/>
  <c r="L775" i="2"/>
  <c r="M775" i="2" l="1"/>
  <c r="N775" i="2"/>
  <c r="L776" i="2"/>
  <c r="M776" i="2" l="1"/>
  <c r="N776" i="2"/>
  <c r="L777" i="2"/>
  <c r="M777" i="2" l="1"/>
  <c r="N777" i="2"/>
  <c r="L778" i="2"/>
  <c r="M778" i="2" l="1"/>
  <c r="N778" i="2"/>
  <c r="L779" i="2"/>
  <c r="M779" i="2" l="1"/>
  <c r="N779" i="2"/>
  <c r="L780" i="2"/>
  <c r="M780" i="2" l="1"/>
  <c r="N780" i="2"/>
  <c r="L781" i="2"/>
  <c r="M781" i="2" l="1"/>
  <c r="N781" i="2"/>
  <c r="L782" i="2"/>
  <c r="M782" i="2" l="1"/>
  <c r="N782" i="2"/>
  <c r="L783" i="2"/>
  <c r="M783" i="2" l="1"/>
  <c r="N783" i="2"/>
  <c r="L784" i="2"/>
  <c r="M784" i="2" l="1"/>
  <c r="N784" i="2"/>
  <c r="L785" i="2"/>
  <c r="M785" i="2" l="1"/>
  <c r="N785" i="2"/>
  <c r="L786" i="2"/>
  <c r="M786" i="2" l="1"/>
  <c r="N786" i="2"/>
  <c r="L787" i="2"/>
  <c r="M787" i="2" l="1"/>
  <c r="N787" i="2"/>
  <c r="L788" i="2"/>
  <c r="M788" i="2" l="1"/>
  <c r="N788" i="2"/>
  <c r="L789" i="2"/>
  <c r="M789" i="2" l="1"/>
  <c r="N789" i="2"/>
  <c r="L790" i="2"/>
  <c r="M790" i="2" l="1"/>
  <c r="N790" i="2"/>
  <c r="L791" i="2"/>
  <c r="M791" i="2" l="1"/>
  <c r="N791" i="2"/>
  <c r="L792" i="2"/>
  <c r="M792" i="2" l="1"/>
  <c r="N792" i="2"/>
  <c r="L793" i="2"/>
  <c r="M793" i="2" l="1"/>
  <c r="N793" i="2"/>
  <c r="L794" i="2"/>
  <c r="M794" i="2" l="1"/>
  <c r="N794" i="2"/>
  <c r="L795" i="2"/>
  <c r="M795" i="2" l="1"/>
  <c r="N795" i="2"/>
  <c r="L796" i="2"/>
  <c r="M796" i="2" l="1"/>
  <c r="N796" i="2"/>
  <c r="L797" i="2"/>
  <c r="M797" i="2" l="1"/>
  <c r="N797" i="2"/>
  <c r="L798" i="2"/>
  <c r="M798" i="2" l="1"/>
  <c r="N798" i="2"/>
  <c r="L799" i="2"/>
  <c r="M799" i="2" l="1"/>
  <c r="N799" i="2"/>
  <c r="L800" i="2"/>
  <c r="M800" i="2" l="1"/>
  <c r="N800" i="2"/>
  <c r="L801" i="2"/>
  <c r="M801" i="2" l="1"/>
  <c r="N801" i="2"/>
  <c r="L802" i="2"/>
  <c r="M802" i="2" l="1"/>
  <c r="N802" i="2"/>
  <c r="L803" i="2"/>
  <c r="M803" i="2" l="1"/>
  <c r="N803" i="2"/>
  <c r="L804" i="2"/>
  <c r="M804" i="2" l="1"/>
  <c r="N804" i="2"/>
  <c r="L805" i="2"/>
  <c r="M805" i="2" l="1"/>
  <c r="N805" i="2"/>
  <c r="L806" i="2"/>
  <c r="M806" i="2" l="1"/>
  <c r="N806" i="2"/>
  <c r="L807" i="2"/>
  <c r="M807" i="2" l="1"/>
  <c r="N807" i="2"/>
  <c r="L808" i="2"/>
  <c r="M808" i="2" l="1"/>
  <c r="N808" i="2"/>
  <c r="L809" i="2"/>
  <c r="M809" i="2" l="1"/>
  <c r="N809" i="2"/>
  <c r="L810" i="2"/>
  <c r="M810" i="2" l="1"/>
  <c r="N810" i="2"/>
  <c r="L811" i="2"/>
  <c r="M811" i="2" l="1"/>
  <c r="N811" i="2"/>
  <c r="L812" i="2"/>
  <c r="M812" i="2" l="1"/>
  <c r="N812" i="2"/>
  <c r="L813" i="2"/>
  <c r="M813" i="2" l="1"/>
  <c r="N813" i="2"/>
  <c r="L814" i="2"/>
  <c r="M814" i="2" l="1"/>
  <c r="N814" i="2"/>
  <c r="L815" i="2"/>
  <c r="M815" i="2" l="1"/>
  <c r="N815" i="2"/>
  <c r="L816" i="2"/>
  <c r="M816" i="2" l="1"/>
  <c r="N816" i="2"/>
  <c r="L817" i="2"/>
  <c r="M817" i="2" l="1"/>
  <c r="N817" i="2"/>
  <c r="L818" i="2"/>
  <c r="M818" i="2" l="1"/>
  <c r="N818" i="2"/>
  <c r="L819" i="2"/>
  <c r="M819" i="2" l="1"/>
  <c r="N819" i="2"/>
  <c r="L820" i="2"/>
  <c r="M820" i="2" l="1"/>
  <c r="N820" i="2"/>
  <c r="L821" i="2"/>
  <c r="M821" i="2" l="1"/>
  <c r="N821" i="2"/>
  <c r="L822" i="2"/>
  <c r="M822" i="2" l="1"/>
  <c r="N822" i="2"/>
  <c r="L823" i="2"/>
  <c r="M823" i="2" l="1"/>
  <c r="N823" i="2"/>
  <c r="L824" i="2"/>
  <c r="M824" i="2" l="1"/>
  <c r="N824" i="2"/>
  <c r="L825" i="2"/>
  <c r="M825" i="2" l="1"/>
  <c r="N825" i="2"/>
  <c r="L826" i="2"/>
  <c r="M826" i="2" l="1"/>
  <c r="N826" i="2"/>
  <c r="L827" i="2"/>
  <c r="M827" i="2" l="1"/>
  <c r="N827" i="2"/>
  <c r="L828" i="2"/>
  <c r="M828" i="2" l="1"/>
  <c r="N828" i="2"/>
  <c r="L829" i="2"/>
  <c r="M829" i="2" l="1"/>
  <c r="N829" i="2"/>
  <c r="L830" i="2"/>
  <c r="M830" i="2" l="1"/>
  <c r="N830" i="2"/>
  <c r="L831" i="2"/>
  <c r="M831" i="2" l="1"/>
  <c r="N831" i="2"/>
  <c r="L832" i="2"/>
  <c r="M832" i="2" l="1"/>
  <c r="N832" i="2"/>
  <c r="L833" i="2"/>
  <c r="M833" i="2" l="1"/>
  <c r="N833" i="2"/>
  <c r="L834" i="2"/>
  <c r="M834" i="2" l="1"/>
  <c r="N834" i="2"/>
  <c r="L835" i="2"/>
  <c r="M835" i="2" l="1"/>
  <c r="N835" i="2"/>
  <c r="L836" i="2"/>
  <c r="M836" i="2" l="1"/>
  <c r="N836" i="2"/>
  <c r="L837" i="2"/>
  <c r="M837" i="2" l="1"/>
  <c r="N837" i="2"/>
  <c r="L838" i="2"/>
  <c r="M838" i="2" l="1"/>
  <c r="N838" i="2"/>
  <c r="L839" i="2"/>
  <c r="M839" i="2" l="1"/>
  <c r="N839" i="2"/>
  <c r="L840" i="2"/>
  <c r="M840" i="2" l="1"/>
  <c r="N840" i="2"/>
  <c r="L841" i="2"/>
  <c r="M841" i="2" l="1"/>
  <c r="N841" i="2"/>
  <c r="L842" i="2"/>
  <c r="M842" i="2" l="1"/>
  <c r="N842" i="2"/>
  <c r="L843" i="2"/>
  <c r="M843" i="2" l="1"/>
  <c r="N843" i="2"/>
  <c r="L844" i="2"/>
  <c r="M844" i="2" l="1"/>
  <c r="N844" i="2"/>
  <c r="L845" i="2"/>
  <c r="M845" i="2" l="1"/>
  <c r="N845" i="2"/>
  <c r="L846" i="2"/>
  <c r="M846" i="2" l="1"/>
  <c r="N846" i="2"/>
  <c r="L847" i="2"/>
  <c r="M847" i="2" l="1"/>
  <c r="N847" i="2"/>
  <c r="L848" i="2"/>
  <c r="M848" i="2" l="1"/>
  <c r="N848" i="2"/>
  <c r="L849" i="2"/>
  <c r="M849" i="2" l="1"/>
  <c r="N849" i="2"/>
  <c r="L850" i="2"/>
  <c r="M850" i="2" l="1"/>
  <c r="N850" i="2"/>
  <c r="L851" i="2"/>
  <c r="M851" i="2" l="1"/>
  <c r="N851" i="2"/>
  <c r="L852" i="2"/>
  <c r="M852" i="2" l="1"/>
  <c r="N852" i="2"/>
  <c r="L853" i="2"/>
  <c r="M853" i="2" l="1"/>
  <c r="N853" i="2"/>
  <c r="L854" i="2"/>
  <c r="M854" i="2" l="1"/>
  <c r="N854" i="2"/>
  <c r="L855" i="2"/>
  <c r="D3" i="5" l="1"/>
  <c r="E3" i="5" s="1"/>
  <c r="M855" i="2"/>
  <c r="N855" i="2"/>
  <c r="L856" i="2"/>
  <c r="M856" i="2" l="1"/>
  <c r="N856" i="2"/>
  <c r="L857" i="2"/>
  <c r="M857" i="2" l="1"/>
  <c r="N857" i="2"/>
  <c r="L858" i="2"/>
  <c r="M858" i="2" l="1"/>
  <c r="N858" i="2"/>
  <c r="L859" i="2"/>
  <c r="M859" i="2" l="1"/>
  <c r="N859" i="2"/>
  <c r="L860" i="2"/>
  <c r="M860" i="2" l="1"/>
  <c r="N860" i="2"/>
  <c r="L861" i="2"/>
  <c r="M861" i="2" l="1"/>
  <c r="N861" i="2"/>
  <c r="L862" i="2"/>
  <c r="M862" i="2" l="1"/>
  <c r="N862" i="2"/>
  <c r="L863" i="2"/>
  <c r="M863" i="2" l="1"/>
  <c r="N863" i="2"/>
  <c r="L864" i="2"/>
  <c r="M864" i="2" l="1"/>
  <c r="N864" i="2"/>
  <c r="L865" i="2"/>
  <c r="M865" i="2" l="1"/>
  <c r="N865" i="2"/>
  <c r="L866" i="2"/>
  <c r="M866" i="2" l="1"/>
  <c r="N866" i="2"/>
  <c r="L867" i="2"/>
  <c r="M867" i="2" l="1"/>
  <c r="N867" i="2"/>
  <c r="L868" i="2"/>
  <c r="M868" i="2" l="1"/>
  <c r="N868" i="2"/>
  <c r="L869" i="2"/>
  <c r="M869" i="2" l="1"/>
  <c r="N869" i="2"/>
  <c r="L870" i="2"/>
  <c r="M870" i="2" l="1"/>
  <c r="N870" i="2"/>
  <c r="L871" i="2"/>
  <c r="M871" i="2" l="1"/>
  <c r="N871" i="2"/>
  <c r="L872" i="2"/>
  <c r="M872" i="2" l="1"/>
  <c r="N872" i="2"/>
  <c r="L873" i="2"/>
  <c r="M873" i="2" l="1"/>
  <c r="N873" i="2"/>
  <c r="L874" i="2"/>
  <c r="M874" i="2" l="1"/>
  <c r="N874" i="2"/>
  <c r="L875" i="2"/>
  <c r="M875" i="2" l="1"/>
  <c r="N875" i="2"/>
  <c r="L876" i="2"/>
  <c r="M876" i="2" l="1"/>
  <c r="N876" i="2"/>
  <c r="L877" i="2"/>
  <c r="M877" i="2" l="1"/>
  <c r="N877" i="2"/>
  <c r="L878" i="2"/>
  <c r="M878" i="2" l="1"/>
  <c r="N878" i="2"/>
  <c r="L879" i="2"/>
  <c r="M879" i="2" l="1"/>
  <c r="N879" i="2"/>
  <c r="L880" i="2"/>
  <c r="M880" i="2" l="1"/>
  <c r="N880" i="2"/>
  <c r="L881" i="2"/>
  <c r="M881" i="2" l="1"/>
  <c r="N881" i="2"/>
  <c r="L882" i="2"/>
  <c r="M882" i="2" l="1"/>
  <c r="N882" i="2"/>
  <c r="L883" i="2"/>
  <c r="M883" i="2" l="1"/>
  <c r="N883" i="2"/>
  <c r="L884" i="2"/>
  <c r="M884" i="2" l="1"/>
  <c r="N884" i="2"/>
  <c r="L885" i="2"/>
  <c r="M885" i="2" l="1"/>
  <c r="N885" i="2"/>
  <c r="L886" i="2"/>
  <c r="M886" i="2" l="1"/>
  <c r="N886" i="2"/>
  <c r="L887" i="2"/>
  <c r="M887" i="2" l="1"/>
  <c r="N887" i="2"/>
  <c r="L888" i="2"/>
  <c r="M888" i="2" l="1"/>
  <c r="N888" i="2"/>
  <c r="L889" i="2"/>
  <c r="M889" i="2" l="1"/>
  <c r="N889" i="2"/>
  <c r="L890" i="2"/>
  <c r="M890" i="2" l="1"/>
  <c r="N890" i="2"/>
  <c r="L891" i="2"/>
  <c r="M891" i="2" l="1"/>
  <c r="N891" i="2"/>
  <c r="L892" i="2"/>
  <c r="M892" i="2" l="1"/>
  <c r="N892" i="2"/>
  <c r="L893" i="2"/>
  <c r="M893" i="2" l="1"/>
  <c r="N893" i="2"/>
  <c r="L894" i="2"/>
  <c r="M894" i="2" l="1"/>
  <c r="N894" i="2"/>
  <c r="L895" i="2"/>
  <c r="M895" i="2" l="1"/>
  <c r="N895" i="2"/>
  <c r="L896" i="2"/>
  <c r="M896" i="2" l="1"/>
  <c r="N896" i="2"/>
  <c r="L897" i="2"/>
  <c r="M897" i="2" l="1"/>
  <c r="N897" i="2"/>
  <c r="L898" i="2"/>
  <c r="M898" i="2" l="1"/>
  <c r="N898" i="2"/>
  <c r="L899" i="2"/>
  <c r="M899" i="2" l="1"/>
  <c r="N899" i="2"/>
  <c r="L900" i="2"/>
  <c r="M900" i="2" l="1"/>
  <c r="N900" i="2"/>
  <c r="L901" i="2"/>
  <c r="M901" i="2" l="1"/>
  <c r="N901" i="2"/>
  <c r="L902" i="2"/>
  <c r="M902" i="2" l="1"/>
  <c r="N902" i="2"/>
  <c r="L903" i="2"/>
  <c r="M903" i="2" l="1"/>
  <c r="N903" i="2"/>
  <c r="L904" i="2"/>
  <c r="M904" i="2" l="1"/>
  <c r="N904" i="2"/>
  <c r="L905" i="2"/>
  <c r="M905" i="2" l="1"/>
  <c r="N905" i="2"/>
  <c r="L906" i="2"/>
  <c r="M906" i="2" l="1"/>
  <c r="N906" i="2"/>
  <c r="L907" i="2"/>
  <c r="M907" i="2" l="1"/>
  <c r="N907" i="2"/>
  <c r="L908" i="2"/>
  <c r="M908" i="2" l="1"/>
  <c r="N908" i="2"/>
  <c r="L909" i="2"/>
  <c r="M909" i="2" l="1"/>
  <c r="N909" i="2"/>
  <c r="L910" i="2"/>
  <c r="M910" i="2" l="1"/>
  <c r="N910" i="2"/>
  <c r="L911" i="2"/>
  <c r="M911" i="2" l="1"/>
  <c r="N911" i="2"/>
  <c r="L912" i="2"/>
  <c r="M912" i="2" l="1"/>
  <c r="N912" i="2"/>
  <c r="L913" i="2"/>
  <c r="M913" i="2" l="1"/>
  <c r="N913" i="2"/>
  <c r="L914" i="2"/>
  <c r="M914" i="2" l="1"/>
  <c r="N914" i="2"/>
  <c r="L915" i="2"/>
  <c r="M915" i="2" l="1"/>
  <c r="N915" i="2"/>
  <c r="L916" i="2"/>
  <c r="M916" i="2" l="1"/>
  <c r="N916" i="2"/>
  <c r="L917" i="2"/>
  <c r="M917" i="2" l="1"/>
  <c r="N917" i="2"/>
  <c r="L918" i="2"/>
  <c r="M918" i="2" l="1"/>
  <c r="N918" i="2"/>
  <c r="L919" i="2"/>
  <c r="M919" i="2" l="1"/>
  <c r="N919" i="2"/>
  <c r="L920" i="2"/>
  <c r="M920" i="2" l="1"/>
  <c r="N920" i="2"/>
  <c r="L921" i="2"/>
  <c r="M921" i="2" l="1"/>
  <c r="N921" i="2"/>
  <c r="L922" i="2"/>
  <c r="M922" i="2" l="1"/>
  <c r="N922" i="2"/>
  <c r="L923" i="2"/>
  <c r="M923" i="2" l="1"/>
  <c r="N923" i="2"/>
  <c r="L924" i="2"/>
  <c r="M924" i="2" l="1"/>
  <c r="N924" i="2"/>
  <c r="L925" i="2"/>
  <c r="M925" i="2" l="1"/>
  <c r="N925" i="2"/>
  <c r="L926" i="2"/>
  <c r="M926" i="2" l="1"/>
  <c r="N926" i="2"/>
  <c r="L927" i="2"/>
  <c r="M927" i="2" l="1"/>
  <c r="N927" i="2"/>
  <c r="L928" i="2"/>
  <c r="M928" i="2" l="1"/>
  <c r="N928" i="2"/>
  <c r="L929" i="2"/>
  <c r="M929" i="2" l="1"/>
  <c r="N929" i="2"/>
  <c r="L930" i="2"/>
  <c r="M930" i="2" l="1"/>
  <c r="N930" i="2"/>
  <c r="L931" i="2"/>
  <c r="M931" i="2" l="1"/>
  <c r="N931" i="2"/>
  <c r="L932" i="2"/>
  <c r="M932" i="2" l="1"/>
  <c r="N932" i="2"/>
  <c r="L933" i="2"/>
  <c r="M933" i="2" l="1"/>
  <c r="N933" i="2"/>
  <c r="L934" i="2"/>
  <c r="M934" i="2" l="1"/>
  <c r="N934" i="2"/>
  <c r="L935" i="2"/>
  <c r="M935" i="2" l="1"/>
  <c r="N935" i="2"/>
  <c r="L936" i="2"/>
  <c r="M936" i="2" l="1"/>
  <c r="N936" i="2"/>
  <c r="L937" i="2"/>
  <c r="M937" i="2" l="1"/>
  <c r="N937" i="2"/>
  <c r="L938" i="2"/>
  <c r="M938" i="2" l="1"/>
  <c r="N938" i="2"/>
  <c r="L939" i="2"/>
  <c r="M939" i="2" l="1"/>
  <c r="N939" i="2"/>
  <c r="L940" i="2"/>
  <c r="M940" i="2" l="1"/>
  <c r="N940" i="2"/>
  <c r="L941" i="2"/>
  <c r="M941" i="2" l="1"/>
  <c r="N941" i="2"/>
  <c r="L942" i="2"/>
  <c r="M942" i="2" l="1"/>
  <c r="N942" i="2"/>
  <c r="L943" i="2"/>
  <c r="M943" i="2" l="1"/>
  <c r="N943" i="2"/>
  <c r="L944" i="2"/>
  <c r="M944" i="2" l="1"/>
  <c r="N944" i="2"/>
  <c r="L945" i="2"/>
  <c r="M945" i="2" l="1"/>
  <c r="N945" i="2"/>
  <c r="L946" i="2"/>
  <c r="M946" i="2" l="1"/>
  <c r="N946" i="2"/>
  <c r="L947" i="2"/>
  <c r="M947" i="2" l="1"/>
  <c r="N947" i="2"/>
  <c r="L948" i="2"/>
  <c r="M948" i="2" l="1"/>
  <c r="N948" i="2"/>
  <c r="L949" i="2"/>
  <c r="M949" i="2" l="1"/>
  <c r="N949" i="2"/>
  <c r="L950" i="2"/>
  <c r="M950" i="2" l="1"/>
  <c r="N950" i="2"/>
  <c r="L951" i="2"/>
  <c r="M951" i="2" l="1"/>
  <c r="N951" i="2"/>
  <c r="L952" i="2"/>
  <c r="M952" i="2" l="1"/>
  <c r="N952" i="2"/>
  <c r="L953" i="2"/>
  <c r="M953" i="2" l="1"/>
  <c r="N953" i="2"/>
  <c r="L954" i="2"/>
  <c r="M954" i="2" l="1"/>
  <c r="N954" i="2"/>
  <c r="L955" i="2"/>
  <c r="M955" i="2" l="1"/>
  <c r="N955" i="2"/>
  <c r="L956" i="2"/>
  <c r="M956" i="2" l="1"/>
  <c r="N956" i="2"/>
  <c r="L957" i="2"/>
  <c r="M957" i="2" l="1"/>
  <c r="N957" i="2"/>
  <c r="L958" i="2"/>
  <c r="M958" i="2" l="1"/>
  <c r="N958" i="2"/>
  <c r="L959" i="2"/>
  <c r="M959" i="2" l="1"/>
  <c r="N959" i="2"/>
  <c r="L960" i="2"/>
  <c r="M960" i="2" l="1"/>
  <c r="N960" i="2"/>
  <c r="L961" i="2"/>
  <c r="M961" i="2" l="1"/>
  <c r="N961" i="2"/>
  <c r="L962" i="2"/>
  <c r="M962" i="2" l="1"/>
  <c r="N962" i="2"/>
  <c r="L963" i="2"/>
  <c r="M963" i="2" l="1"/>
  <c r="N963" i="2"/>
  <c r="L964" i="2"/>
  <c r="M964" i="2" l="1"/>
  <c r="N964" i="2"/>
  <c r="L965" i="2"/>
  <c r="M965" i="2" l="1"/>
  <c r="N965" i="2"/>
  <c r="L966" i="2"/>
  <c r="M966" i="2" l="1"/>
  <c r="N966" i="2"/>
  <c r="L967" i="2"/>
  <c r="M967" i="2" l="1"/>
  <c r="N967" i="2"/>
  <c r="L968" i="2"/>
  <c r="M968" i="2" l="1"/>
  <c r="N968" i="2"/>
  <c r="L969" i="2"/>
  <c r="M969" i="2" l="1"/>
  <c r="N969" i="2"/>
  <c r="L970" i="2"/>
  <c r="M970" i="2" l="1"/>
  <c r="N970" i="2"/>
  <c r="L971" i="2"/>
  <c r="M971" i="2" l="1"/>
  <c r="N971" i="2"/>
  <c r="L972" i="2"/>
  <c r="M972" i="2" l="1"/>
  <c r="N972" i="2"/>
  <c r="L973" i="2"/>
  <c r="M973" i="2" l="1"/>
  <c r="N973" i="2"/>
  <c r="L974" i="2"/>
  <c r="M974" i="2" l="1"/>
  <c r="N974" i="2"/>
  <c r="L975" i="2"/>
  <c r="M975" i="2" l="1"/>
  <c r="N975" i="2"/>
  <c r="L976" i="2"/>
  <c r="M976" i="2" l="1"/>
  <c r="N976" i="2"/>
  <c r="L977" i="2"/>
  <c r="M977" i="2" l="1"/>
  <c r="N977" i="2"/>
  <c r="L978" i="2"/>
  <c r="M978" i="2" l="1"/>
  <c r="N978" i="2"/>
  <c r="L979" i="2"/>
  <c r="M979" i="2" l="1"/>
  <c r="N979" i="2"/>
  <c r="L980" i="2"/>
  <c r="M980" i="2" l="1"/>
  <c r="N980" i="2"/>
  <c r="L981" i="2"/>
  <c r="M981" i="2" l="1"/>
  <c r="N981" i="2"/>
  <c r="L982" i="2"/>
  <c r="M982" i="2" l="1"/>
  <c r="N982" i="2"/>
  <c r="L983" i="2"/>
  <c r="M983" i="2" l="1"/>
  <c r="N983" i="2"/>
  <c r="L984" i="2"/>
  <c r="M984" i="2" l="1"/>
  <c r="N984" i="2"/>
  <c r="L985" i="2"/>
  <c r="M985" i="2" l="1"/>
  <c r="N985" i="2"/>
  <c r="L986" i="2"/>
  <c r="M986" i="2" l="1"/>
  <c r="N986" i="2"/>
  <c r="L987" i="2"/>
  <c r="M987" i="2" l="1"/>
  <c r="N987" i="2"/>
  <c r="L988" i="2"/>
  <c r="M988" i="2" l="1"/>
  <c r="N988" i="2"/>
  <c r="L989" i="2"/>
  <c r="M989" i="2" l="1"/>
  <c r="N989" i="2"/>
  <c r="L990" i="2"/>
  <c r="M990" i="2" l="1"/>
  <c r="N990" i="2"/>
  <c r="L991" i="2"/>
  <c r="M991" i="2" l="1"/>
  <c r="N991" i="2"/>
  <c r="L992" i="2"/>
  <c r="M992" i="2" l="1"/>
  <c r="N992" i="2"/>
  <c r="L993" i="2"/>
  <c r="M993" i="2" l="1"/>
  <c r="N993" i="2"/>
  <c r="L994" i="2"/>
  <c r="M994" i="2" l="1"/>
  <c r="N994" i="2"/>
  <c r="L995" i="2"/>
  <c r="M995" i="2" l="1"/>
  <c r="N995" i="2"/>
  <c r="L996" i="2"/>
  <c r="M996" i="2" l="1"/>
  <c r="N996" i="2"/>
  <c r="L997" i="2"/>
  <c r="M997" i="2" l="1"/>
  <c r="N997" i="2"/>
  <c r="L998" i="2"/>
  <c r="M998" i="2" l="1"/>
  <c r="N998" i="2"/>
  <c r="L999" i="2"/>
  <c r="M999" i="2" l="1"/>
  <c r="N999" i="2"/>
  <c r="L1000" i="2"/>
  <c r="M1000" i="2" l="1"/>
  <c r="N1000" i="2"/>
  <c r="L1001" i="2"/>
  <c r="M1001" i="2" l="1"/>
  <c r="N1001" i="2"/>
  <c r="L1002" i="2"/>
  <c r="M1002" i="2" l="1"/>
  <c r="N1002" i="2"/>
  <c r="L1003" i="2"/>
  <c r="M1003" i="2" l="1"/>
  <c r="N1003" i="2"/>
  <c r="L1004" i="2"/>
  <c r="M1004" i="2" l="1"/>
  <c r="N1004" i="2"/>
  <c r="L1005" i="2"/>
  <c r="M1005" i="2" l="1"/>
  <c r="N1005" i="2"/>
  <c r="L1006" i="2"/>
  <c r="M1006" i="2" l="1"/>
  <c r="N1006" i="2"/>
  <c r="L1007" i="2"/>
  <c r="M1007" i="2" l="1"/>
  <c r="N1007" i="2"/>
  <c r="L1008" i="2"/>
  <c r="M1008" i="2" l="1"/>
  <c r="N1008" i="2"/>
  <c r="L1009" i="2"/>
  <c r="M1009" i="2" l="1"/>
  <c r="N1009" i="2"/>
  <c r="L1010" i="2"/>
  <c r="M1010" i="2" l="1"/>
  <c r="N1010" i="2"/>
  <c r="L1011" i="2"/>
  <c r="M1011" i="2" l="1"/>
  <c r="N1011" i="2"/>
  <c r="L1012" i="2"/>
  <c r="M1012" i="2" l="1"/>
  <c r="N1012" i="2"/>
  <c r="L1013" i="2"/>
  <c r="M1013" i="2" l="1"/>
  <c r="N1013" i="2"/>
  <c r="L1014" i="2"/>
  <c r="M1014" i="2" l="1"/>
  <c r="N1014" i="2"/>
  <c r="L1015" i="2"/>
  <c r="M1015" i="2" l="1"/>
  <c r="N1015" i="2"/>
  <c r="L1016" i="2"/>
  <c r="M1016" i="2" l="1"/>
  <c r="N1016" i="2"/>
  <c r="L1017" i="2"/>
  <c r="M1017" i="2" l="1"/>
  <c r="N1017" i="2"/>
  <c r="L1018" i="2"/>
  <c r="M1018" i="2" l="1"/>
  <c r="N1018" i="2"/>
  <c r="L1019" i="2"/>
  <c r="M1019" i="2" l="1"/>
  <c r="N1019" i="2"/>
  <c r="L1020" i="2"/>
  <c r="M1020" i="2" l="1"/>
  <c r="N1020" i="2"/>
  <c r="L1021" i="2"/>
  <c r="M1021" i="2" l="1"/>
  <c r="N1021" i="2"/>
  <c r="L1022" i="2"/>
  <c r="M1022" i="2" l="1"/>
  <c r="N1022" i="2"/>
  <c r="L1023" i="2"/>
  <c r="M1023" i="2" l="1"/>
  <c r="N1023" i="2"/>
  <c r="L1024" i="2"/>
  <c r="M1024" i="2" l="1"/>
  <c r="N1024" i="2"/>
  <c r="L1025" i="2"/>
  <c r="M1025" i="2" l="1"/>
  <c r="N1025" i="2"/>
  <c r="L1026" i="2"/>
  <c r="M1026" i="2" l="1"/>
  <c r="N1026" i="2"/>
  <c r="L1027" i="2"/>
  <c r="M1027" i="2" l="1"/>
  <c r="N1027" i="2"/>
  <c r="L1028" i="2"/>
  <c r="M1028" i="2" l="1"/>
  <c r="N1028" i="2"/>
  <c r="L1029" i="2"/>
  <c r="M1029" i="2" l="1"/>
  <c r="N1029" i="2"/>
  <c r="L1030" i="2"/>
  <c r="M1030" i="2" l="1"/>
  <c r="N1030" i="2"/>
  <c r="L1031" i="2"/>
  <c r="M1031" i="2" l="1"/>
  <c r="N1031" i="2"/>
  <c r="L1032" i="2"/>
  <c r="M1032" i="2" l="1"/>
  <c r="N1032" i="2"/>
  <c r="L1033" i="2"/>
  <c r="M1033" i="2" l="1"/>
  <c r="N1033" i="2"/>
  <c r="L1034" i="2"/>
  <c r="M1034" i="2" l="1"/>
  <c r="N1034" i="2"/>
  <c r="L1035" i="2"/>
  <c r="M1035" i="2" l="1"/>
  <c r="N1035" i="2"/>
  <c r="L1036" i="2"/>
  <c r="M1036" i="2" l="1"/>
  <c r="N1036" i="2"/>
  <c r="L1037" i="2"/>
  <c r="M1037" i="2" l="1"/>
  <c r="N1037" i="2"/>
  <c r="L1038" i="2"/>
  <c r="M1038" i="2" l="1"/>
  <c r="N1038" i="2"/>
  <c r="L1039" i="2"/>
  <c r="M1039" i="2" l="1"/>
  <c r="N1039" i="2"/>
  <c r="L1040" i="2"/>
  <c r="M1040" i="2" l="1"/>
  <c r="N1040" i="2"/>
  <c r="L1041" i="2"/>
  <c r="M1041" i="2" l="1"/>
  <c r="N1041" i="2"/>
  <c r="L1042" i="2"/>
  <c r="M1042" i="2" l="1"/>
  <c r="N1042" i="2"/>
  <c r="L1043" i="2"/>
  <c r="M1043" i="2" l="1"/>
  <c r="N1043" i="2"/>
  <c r="L1044" i="2"/>
  <c r="M1044" i="2" l="1"/>
  <c r="N1044" i="2"/>
  <c r="L1045" i="2"/>
  <c r="M1045" i="2" l="1"/>
  <c r="N1045" i="2"/>
  <c r="L1046" i="2"/>
  <c r="M1046" i="2" l="1"/>
  <c r="N1046" i="2"/>
  <c r="L1047" i="2"/>
  <c r="M1047" i="2" l="1"/>
  <c r="N1047" i="2"/>
  <c r="L1048" i="2"/>
  <c r="M1048" i="2" l="1"/>
  <c r="N1048" i="2"/>
  <c r="L1049" i="2"/>
  <c r="M1049" i="2" l="1"/>
  <c r="N1049" i="2"/>
  <c r="L1050" i="2"/>
  <c r="M1050" i="2" l="1"/>
  <c r="N1050" i="2"/>
  <c r="L1051" i="2"/>
  <c r="M1051" i="2" l="1"/>
  <c r="N1051" i="2"/>
  <c r="L1052" i="2"/>
  <c r="M1052" i="2" l="1"/>
  <c r="N1052" i="2"/>
  <c r="L1053" i="2"/>
  <c r="M1053" i="2" l="1"/>
  <c r="N1053" i="2"/>
  <c r="L1054" i="2"/>
  <c r="M1054" i="2" l="1"/>
  <c r="N1054" i="2"/>
  <c r="L1055" i="2"/>
  <c r="M1055" i="2" l="1"/>
  <c r="N1055" i="2"/>
  <c r="L1056" i="2"/>
  <c r="M1056" i="2" l="1"/>
  <c r="N1056" i="2"/>
  <c r="L1057" i="2"/>
  <c r="M1057" i="2" l="1"/>
  <c r="N1057" i="2"/>
  <c r="L1058" i="2"/>
  <c r="M1058" i="2" l="1"/>
  <c r="N1058" i="2"/>
  <c r="L1059" i="2"/>
  <c r="M1059" i="2" l="1"/>
  <c r="N1059" i="2"/>
  <c r="L1060" i="2"/>
  <c r="M1060" i="2" l="1"/>
  <c r="N1060" i="2"/>
  <c r="L1061" i="2"/>
  <c r="M1061" i="2" l="1"/>
  <c r="N1061" i="2"/>
  <c r="L1062" i="2"/>
  <c r="M1062" i="2" l="1"/>
  <c r="N1062" i="2"/>
  <c r="L1063" i="2"/>
  <c r="M1063" i="2" l="1"/>
  <c r="N1063" i="2"/>
  <c r="L1064" i="2"/>
  <c r="M1064" i="2" l="1"/>
  <c r="N1064" i="2"/>
  <c r="L1065" i="2"/>
  <c r="M1065" i="2" l="1"/>
  <c r="N1065" i="2"/>
  <c r="L1066" i="2"/>
  <c r="M1066" i="2" l="1"/>
  <c r="N1066" i="2"/>
  <c r="L1067" i="2"/>
  <c r="M1067" i="2" l="1"/>
  <c r="N1067" i="2"/>
  <c r="L1068" i="2"/>
  <c r="M1068" i="2" l="1"/>
  <c r="N1068" i="2"/>
  <c r="L1069" i="2"/>
  <c r="M1069" i="2" l="1"/>
  <c r="N1069" i="2"/>
  <c r="L1070" i="2"/>
  <c r="M1070" i="2" l="1"/>
  <c r="N1070" i="2"/>
  <c r="L1071" i="2"/>
  <c r="M1071" i="2" l="1"/>
  <c r="N1071" i="2"/>
  <c r="L1072" i="2"/>
  <c r="M1072" i="2" l="1"/>
  <c r="N1072" i="2"/>
  <c r="L1073" i="2"/>
  <c r="M1073" i="2" l="1"/>
  <c r="N1073" i="2"/>
  <c r="L1074" i="2"/>
  <c r="M1074" i="2" l="1"/>
  <c r="N1074" i="2"/>
  <c r="L1075" i="2"/>
  <c r="M1075" i="2" l="1"/>
  <c r="N1075" i="2"/>
  <c r="L1076" i="2"/>
  <c r="M1076" i="2" l="1"/>
  <c r="N1076" i="2"/>
  <c r="L1077" i="2"/>
  <c r="M1077" i="2" l="1"/>
  <c r="N1077" i="2"/>
  <c r="L1078" i="2"/>
  <c r="M1078" i="2" l="1"/>
  <c r="N1078" i="2"/>
  <c r="L1079" i="2"/>
  <c r="M1079" i="2" l="1"/>
  <c r="N1079" i="2"/>
  <c r="L1080" i="2"/>
  <c r="M1080" i="2" l="1"/>
  <c r="N1080" i="2"/>
  <c r="L1081" i="2"/>
  <c r="M1081" i="2" l="1"/>
  <c r="N1081" i="2"/>
  <c r="L1082" i="2"/>
  <c r="M1082" i="2" l="1"/>
  <c r="N1082" i="2"/>
  <c r="L1083" i="2"/>
  <c r="M1083" i="2" l="1"/>
  <c r="N1083" i="2"/>
  <c r="L1084" i="2"/>
  <c r="M1084" i="2" l="1"/>
  <c r="N1084" i="2"/>
  <c r="L1085" i="2"/>
  <c r="M1085" i="2" l="1"/>
  <c r="N1085" i="2"/>
  <c r="L1086" i="2"/>
  <c r="M1086" i="2" l="1"/>
  <c r="N1086" i="2"/>
  <c r="L1087" i="2"/>
  <c r="M1087" i="2" l="1"/>
  <c r="N1087" i="2"/>
  <c r="L1088" i="2"/>
  <c r="M1088" i="2" l="1"/>
  <c r="N1088" i="2"/>
  <c r="L1089" i="2"/>
  <c r="M1089" i="2" l="1"/>
  <c r="N1089" i="2"/>
  <c r="L1090" i="2"/>
  <c r="M1090" i="2" l="1"/>
  <c r="N1090" i="2"/>
  <c r="L1091" i="2"/>
  <c r="M1091" i="2" l="1"/>
  <c r="N1091" i="2"/>
  <c r="L1092" i="2"/>
  <c r="M1092" i="2" l="1"/>
  <c r="N1092" i="2"/>
  <c r="L1093" i="2"/>
  <c r="M1093" i="2" l="1"/>
  <c r="N1093" i="2"/>
  <c r="L1094" i="2"/>
  <c r="M1094" i="2" l="1"/>
  <c r="N1094" i="2"/>
  <c r="L1095" i="2"/>
  <c r="M1095" i="2" l="1"/>
  <c r="N1095" i="2"/>
  <c r="L1096" i="2"/>
  <c r="M1096" i="2" l="1"/>
  <c r="N1096" i="2"/>
  <c r="L1097" i="2"/>
  <c r="M1097" i="2" l="1"/>
  <c r="N1097" i="2"/>
  <c r="L1098" i="2"/>
  <c r="M1098" i="2" l="1"/>
  <c r="N1098" i="2"/>
  <c r="L1099" i="2"/>
  <c r="M1099" i="2" l="1"/>
  <c r="N1099" i="2"/>
  <c r="L1100" i="2"/>
  <c r="M1100" i="2" l="1"/>
  <c r="N1100" i="2"/>
  <c r="L1101" i="2"/>
  <c r="M1101" i="2" l="1"/>
  <c r="N1101" i="2"/>
  <c r="L1102" i="2"/>
  <c r="M1102" i="2" l="1"/>
  <c r="N1102" i="2"/>
  <c r="L1103" i="2"/>
  <c r="M1103" i="2" l="1"/>
  <c r="N1103" i="2"/>
  <c r="L1104" i="2"/>
  <c r="M1104" i="2" l="1"/>
  <c r="N1104" i="2"/>
  <c r="L1105" i="2"/>
  <c r="M1105" i="2" l="1"/>
  <c r="N1105" i="2"/>
  <c r="L1106" i="2"/>
  <c r="M1106" i="2" l="1"/>
  <c r="N1106" i="2"/>
  <c r="L1107" i="2"/>
  <c r="M1107" i="2" l="1"/>
  <c r="N1107" i="2"/>
  <c r="L1108" i="2"/>
  <c r="M1108" i="2" l="1"/>
  <c r="N1108" i="2"/>
  <c r="L1109" i="2"/>
  <c r="M1109" i="2" l="1"/>
  <c r="N1109" i="2"/>
  <c r="L1110" i="2"/>
  <c r="M1110" i="2" l="1"/>
  <c r="N1110" i="2"/>
  <c r="L1111" i="2"/>
  <c r="M1111" i="2" l="1"/>
  <c r="N1111" i="2"/>
  <c r="L1112" i="2"/>
  <c r="M1112" i="2" l="1"/>
  <c r="N1112" i="2"/>
  <c r="L1113" i="2"/>
  <c r="M1113" i="2" l="1"/>
  <c r="N1113" i="2"/>
  <c r="L1114" i="2"/>
  <c r="M1114" i="2" l="1"/>
  <c r="N1114" i="2"/>
  <c r="L1115" i="2"/>
  <c r="M1115" i="2" l="1"/>
  <c r="N1115" i="2"/>
  <c r="L1116" i="2"/>
  <c r="M1116" i="2" l="1"/>
  <c r="N1116" i="2"/>
  <c r="L1117" i="2"/>
  <c r="M1117" i="2" l="1"/>
  <c r="N1117" i="2"/>
  <c r="L1118" i="2"/>
  <c r="M1118" i="2" l="1"/>
  <c r="N1118" i="2"/>
  <c r="L1119" i="2"/>
  <c r="M1119" i="2" l="1"/>
  <c r="N1119" i="2"/>
  <c r="L1120" i="2"/>
  <c r="M1120" i="2" l="1"/>
  <c r="N1120" i="2"/>
  <c r="L1121" i="2"/>
  <c r="M1121" i="2" l="1"/>
  <c r="N1121" i="2"/>
  <c r="L1122" i="2"/>
  <c r="M1122" i="2" l="1"/>
  <c r="N1122" i="2"/>
  <c r="L1123" i="2"/>
  <c r="M1123" i="2" l="1"/>
  <c r="N1123" i="2"/>
  <c r="L1124" i="2"/>
  <c r="M1124" i="2" l="1"/>
  <c r="N1124" i="2"/>
  <c r="L1125" i="2"/>
  <c r="M1125" i="2" l="1"/>
  <c r="N1125" i="2"/>
  <c r="L1126" i="2"/>
  <c r="M1126" i="2" l="1"/>
  <c r="N1126" i="2"/>
  <c r="L1127" i="2"/>
  <c r="M1127" i="2" l="1"/>
  <c r="N1127" i="2"/>
  <c r="L1128" i="2"/>
  <c r="M1128" i="2" l="1"/>
  <c r="N1128" i="2"/>
  <c r="L1129" i="2"/>
  <c r="M1129" i="2" l="1"/>
  <c r="N1129" i="2"/>
  <c r="L1130" i="2"/>
  <c r="M1130" i="2" l="1"/>
  <c r="N1130" i="2"/>
  <c r="L1131" i="2"/>
  <c r="M1131" i="2" l="1"/>
  <c r="N1131" i="2"/>
  <c r="L1132" i="2"/>
  <c r="M1132" i="2" l="1"/>
  <c r="N1132" i="2"/>
  <c r="L1133" i="2"/>
  <c r="M1133" i="2" l="1"/>
  <c r="N1133" i="2"/>
  <c r="L1134" i="2"/>
  <c r="M1134" i="2" l="1"/>
  <c r="N1134" i="2"/>
  <c r="L1135" i="2"/>
  <c r="M1135" i="2" l="1"/>
  <c r="N1135" i="2"/>
  <c r="L1136" i="2"/>
  <c r="M1136" i="2" l="1"/>
  <c r="N1136" i="2"/>
  <c r="L1137" i="2"/>
  <c r="M1137" i="2" l="1"/>
  <c r="N1137" i="2"/>
  <c r="L1138" i="2"/>
  <c r="M1138" i="2" l="1"/>
  <c r="N1138" i="2"/>
  <c r="L1139" i="2"/>
  <c r="M1139" i="2" l="1"/>
  <c r="N1139" i="2"/>
  <c r="L1140" i="2"/>
  <c r="M1140" i="2" l="1"/>
  <c r="N1140" i="2"/>
  <c r="L1141" i="2"/>
  <c r="M1141" i="2" l="1"/>
  <c r="N1141" i="2"/>
  <c r="L1142" i="2"/>
  <c r="M1142" i="2" l="1"/>
  <c r="N1142" i="2"/>
  <c r="L1143" i="2"/>
  <c r="M1143" i="2" l="1"/>
  <c r="N1143" i="2"/>
  <c r="L1144" i="2"/>
  <c r="M1144" i="2" l="1"/>
  <c r="N1144" i="2"/>
  <c r="L1145" i="2"/>
  <c r="M1145" i="2" l="1"/>
  <c r="N1145" i="2"/>
  <c r="L1146" i="2"/>
  <c r="M1146" i="2" l="1"/>
  <c r="N1146" i="2"/>
  <c r="L1147" i="2"/>
  <c r="M1147" i="2" l="1"/>
  <c r="N1147" i="2"/>
  <c r="L1148" i="2"/>
  <c r="M1148" i="2" l="1"/>
  <c r="N1148" i="2"/>
  <c r="L1149" i="2"/>
  <c r="M1149" i="2" l="1"/>
  <c r="N1149" i="2"/>
  <c r="L1150" i="2"/>
  <c r="M1150" i="2" l="1"/>
  <c r="N1150" i="2"/>
  <c r="L1151" i="2"/>
  <c r="M1151" i="2" l="1"/>
  <c r="N1151" i="2"/>
  <c r="L1152" i="2"/>
  <c r="M1152" i="2" l="1"/>
  <c r="N1152" i="2"/>
  <c r="L1153" i="2"/>
  <c r="M1153" i="2" l="1"/>
  <c r="N1153" i="2"/>
  <c r="L1154" i="2"/>
  <c r="M1154" i="2" l="1"/>
  <c r="N1154" i="2"/>
  <c r="L1155" i="2"/>
  <c r="M1155" i="2" l="1"/>
  <c r="N1155" i="2"/>
  <c r="L1156" i="2"/>
  <c r="M1156" i="2" l="1"/>
  <c r="N1156" i="2"/>
  <c r="L1157" i="2"/>
  <c r="M1157" i="2" l="1"/>
  <c r="N1157" i="2"/>
  <c r="L1158" i="2"/>
  <c r="M1158" i="2" l="1"/>
  <c r="N1158" i="2"/>
  <c r="L1159" i="2"/>
  <c r="M1159" i="2" l="1"/>
  <c r="N1159" i="2"/>
  <c r="L1160" i="2"/>
  <c r="M1160" i="2" l="1"/>
  <c r="N1160" i="2"/>
  <c r="L1161" i="2"/>
  <c r="M1161" i="2" l="1"/>
  <c r="N1161" i="2"/>
  <c r="L1162" i="2"/>
  <c r="M1162" i="2" l="1"/>
  <c r="N1162" i="2"/>
  <c r="L1163" i="2"/>
  <c r="M1163" i="2" l="1"/>
  <c r="N1163" i="2"/>
  <c r="L1164" i="2"/>
  <c r="M1164" i="2" l="1"/>
  <c r="N1164" i="2"/>
  <c r="L1165" i="2"/>
  <c r="M1165" i="2" l="1"/>
  <c r="N1165" i="2"/>
  <c r="L1166" i="2"/>
  <c r="M1166" i="2" l="1"/>
  <c r="N1166" i="2"/>
  <c r="L1167" i="2"/>
  <c r="M1167" i="2" l="1"/>
  <c r="N1167" i="2"/>
  <c r="L1168" i="2"/>
  <c r="M1168" i="2" l="1"/>
  <c r="N1168" i="2"/>
  <c r="L1169" i="2"/>
  <c r="M1169" i="2" l="1"/>
  <c r="N1169" i="2"/>
  <c r="L1170" i="2"/>
  <c r="M1170" i="2" l="1"/>
  <c r="N1170" i="2"/>
  <c r="L1171" i="2"/>
  <c r="M1171" i="2" l="1"/>
  <c r="N1171" i="2"/>
  <c r="L1172" i="2"/>
  <c r="M1172" i="2" l="1"/>
  <c r="N1172" i="2"/>
  <c r="L1173" i="2"/>
  <c r="M1173" i="2" l="1"/>
  <c r="N1173" i="2"/>
  <c r="L1174" i="2"/>
  <c r="M1174" i="2" l="1"/>
  <c r="N1174" i="2"/>
  <c r="L1175" i="2"/>
  <c r="M1175" i="2" l="1"/>
  <c r="N1175" i="2"/>
  <c r="L1176" i="2"/>
  <c r="M1176" i="2" l="1"/>
  <c r="N1176" i="2"/>
  <c r="L1177" i="2"/>
  <c r="M1177" i="2" l="1"/>
  <c r="N1177" i="2"/>
  <c r="L1178" i="2"/>
  <c r="M1178" i="2" l="1"/>
  <c r="N1178" i="2"/>
  <c r="L1179" i="2"/>
  <c r="M1179" i="2" l="1"/>
  <c r="N1179" i="2"/>
  <c r="L1180" i="2"/>
  <c r="M1180" i="2" l="1"/>
  <c r="N1180" i="2"/>
  <c r="L1181" i="2"/>
  <c r="M1181" i="2" l="1"/>
  <c r="N1181" i="2"/>
  <c r="L1182" i="2"/>
  <c r="M1182" i="2" l="1"/>
  <c r="N1182" i="2"/>
  <c r="L1183" i="2"/>
  <c r="M1183" i="2" l="1"/>
  <c r="N1183" i="2"/>
  <c r="L1184" i="2"/>
  <c r="M1184" i="2" l="1"/>
  <c r="N1184" i="2"/>
  <c r="L1185" i="2"/>
  <c r="M1185" i="2" l="1"/>
  <c r="N1185" i="2"/>
  <c r="L1186" i="2"/>
  <c r="M1186" i="2" l="1"/>
  <c r="N1186" i="2"/>
  <c r="L1187" i="2"/>
  <c r="M1187" i="2" l="1"/>
  <c r="N1187" i="2"/>
  <c r="L1188" i="2"/>
  <c r="M1188" i="2" l="1"/>
  <c r="N1188" i="2"/>
  <c r="L1189" i="2"/>
  <c r="M1189" i="2" l="1"/>
  <c r="N1189" i="2"/>
  <c r="L1190" i="2"/>
  <c r="M1190" i="2" l="1"/>
  <c r="N1190" i="2"/>
  <c r="L1191" i="2"/>
  <c r="M1191" i="2" l="1"/>
  <c r="N1191" i="2"/>
  <c r="L1192" i="2"/>
  <c r="M1192" i="2" l="1"/>
  <c r="N1192" i="2"/>
  <c r="L1193" i="2"/>
  <c r="M1193" i="2" l="1"/>
  <c r="N1193" i="2"/>
  <c r="L1194" i="2"/>
  <c r="M1194" i="2" l="1"/>
  <c r="N1194" i="2"/>
  <c r="L1195" i="2"/>
  <c r="M1195" i="2" l="1"/>
  <c r="N1195" i="2"/>
  <c r="L1196" i="2"/>
  <c r="M1196" i="2" l="1"/>
  <c r="N1196" i="2"/>
  <c r="L1197" i="2"/>
  <c r="M1197" i="2" l="1"/>
  <c r="N1197" i="2"/>
  <c r="L1198" i="2"/>
  <c r="M1198" i="2" l="1"/>
  <c r="N1198" i="2"/>
  <c r="L1199" i="2"/>
  <c r="M1199" i="2" l="1"/>
  <c r="N1199" i="2"/>
  <c r="L1200" i="2"/>
  <c r="M1200" i="2" l="1"/>
  <c r="N1200" i="2"/>
  <c r="L1201" i="2"/>
  <c r="M1201" i="2" l="1"/>
  <c r="N1201" i="2"/>
  <c r="L1202" i="2"/>
  <c r="M1202" i="2" l="1"/>
  <c r="N1202" i="2"/>
  <c r="L1203" i="2"/>
  <c r="M1203" i="2" l="1"/>
  <c r="N1203" i="2"/>
  <c r="L1204" i="2"/>
  <c r="M1204" i="2" l="1"/>
  <c r="N1204" i="2"/>
  <c r="L1205" i="2"/>
  <c r="M1205" i="2" l="1"/>
  <c r="N1205" i="2"/>
  <c r="L1206" i="2"/>
  <c r="M1206" i="2" l="1"/>
  <c r="N1206" i="2"/>
  <c r="L1207" i="2"/>
  <c r="M1207" i="2" l="1"/>
  <c r="N1207" i="2"/>
  <c r="L1208" i="2"/>
  <c r="M1208" i="2" l="1"/>
  <c r="N1208" i="2"/>
  <c r="L1209" i="2"/>
  <c r="M1209" i="2" l="1"/>
  <c r="N1209" i="2"/>
  <c r="L1210" i="2"/>
  <c r="M1210" i="2" l="1"/>
  <c r="N1210" i="2"/>
  <c r="L1211" i="2"/>
  <c r="M1211" i="2" l="1"/>
  <c r="N1211" i="2"/>
  <c r="L1212" i="2"/>
  <c r="M1212" i="2" l="1"/>
  <c r="N1212" i="2"/>
  <c r="L1213" i="2"/>
  <c r="M1213" i="2" l="1"/>
  <c r="N1213" i="2"/>
  <c r="L1214" i="2"/>
  <c r="M1214" i="2" l="1"/>
  <c r="N1214" i="2"/>
  <c r="L1215" i="2"/>
  <c r="M1215" i="2" l="1"/>
  <c r="N1215" i="2"/>
  <c r="L1216" i="2"/>
  <c r="M1216" i="2" l="1"/>
  <c r="N1216" i="2"/>
  <c r="L1217" i="2"/>
  <c r="M1217" i="2" l="1"/>
  <c r="N1217" i="2"/>
  <c r="L1218" i="2"/>
  <c r="M1218" i="2" l="1"/>
  <c r="N1218" i="2"/>
  <c r="L1219" i="2"/>
  <c r="M1219" i="2" l="1"/>
  <c r="N1219" i="2"/>
  <c r="L1220" i="2"/>
  <c r="M1220" i="2" l="1"/>
  <c r="N1220" i="2"/>
  <c r="L1221" i="2"/>
  <c r="M1221" i="2" l="1"/>
  <c r="N1221" i="2"/>
  <c r="L1222" i="2"/>
  <c r="M1222" i="2" l="1"/>
  <c r="N1222" i="2"/>
  <c r="L1223" i="2"/>
  <c r="M1223" i="2" l="1"/>
  <c r="N1223" i="2"/>
  <c r="L1224" i="2"/>
  <c r="M1224" i="2" l="1"/>
  <c r="N1224" i="2"/>
  <c r="L1225" i="2"/>
  <c r="M1225" i="2" l="1"/>
  <c r="N1225" i="2"/>
  <c r="L1226" i="2"/>
  <c r="M1226" i="2" l="1"/>
  <c r="N1226" i="2"/>
  <c r="L1227" i="2"/>
  <c r="M1227" i="2" l="1"/>
  <c r="N1227" i="2"/>
  <c r="L1228" i="2"/>
  <c r="M1228" i="2" l="1"/>
  <c r="N1228" i="2"/>
  <c r="L1229" i="2"/>
  <c r="M1229" i="2" l="1"/>
  <c r="N1229" i="2"/>
  <c r="L1230" i="2"/>
  <c r="M1230" i="2" l="1"/>
  <c r="N1230" i="2"/>
  <c r="L1231" i="2"/>
  <c r="M1231" i="2" l="1"/>
  <c r="N1231" i="2"/>
  <c r="L1232" i="2"/>
  <c r="M1232" i="2" l="1"/>
  <c r="N1232" i="2"/>
  <c r="L1233" i="2"/>
  <c r="M1233" i="2" l="1"/>
  <c r="N1233" i="2"/>
  <c r="L1234" i="2"/>
  <c r="M1234" i="2" l="1"/>
  <c r="N1234" i="2"/>
  <c r="L1235" i="2"/>
  <c r="M1235" i="2" l="1"/>
  <c r="N1235" i="2"/>
  <c r="L1236" i="2"/>
  <c r="M1236" i="2" l="1"/>
  <c r="N1236" i="2"/>
  <c r="L1237" i="2"/>
  <c r="M1237" i="2" l="1"/>
  <c r="N1237" i="2"/>
  <c r="L1238" i="2"/>
  <c r="M1238" i="2" l="1"/>
  <c r="N1238" i="2"/>
  <c r="L1239" i="2"/>
  <c r="M1239" i="2" l="1"/>
  <c r="N1239" i="2"/>
  <c r="L1240" i="2"/>
  <c r="M1240" i="2" l="1"/>
  <c r="N1240" i="2"/>
  <c r="L1241" i="2"/>
  <c r="M1241" i="2" l="1"/>
  <c r="N1241" i="2"/>
  <c r="L1242" i="2"/>
  <c r="M1242" i="2" l="1"/>
  <c r="N1242" i="2"/>
  <c r="L1243" i="2"/>
  <c r="M1243" i="2" l="1"/>
  <c r="N1243" i="2"/>
  <c r="L1244" i="2"/>
  <c r="M1244" i="2" l="1"/>
  <c r="N1244" i="2"/>
  <c r="L1245" i="2"/>
  <c r="M1245" i="2" l="1"/>
  <c r="N1245" i="2"/>
  <c r="L1246" i="2"/>
  <c r="M1246" i="2" l="1"/>
  <c r="N1246" i="2"/>
  <c r="L1247" i="2"/>
  <c r="M1247" i="2" l="1"/>
  <c r="N1247" i="2"/>
  <c r="L1248" i="2"/>
  <c r="M1248" i="2" l="1"/>
  <c r="N1248" i="2"/>
  <c r="L1249" i="2"/>
  <c r="M1249" i="2" l="1"/>
  <c r="N1249" i="2"/>
  <c r="L1250" i="2"/>
  <c r="M1250" i="2" l="1"/>
  <c r="N1250" i="2"/>
  <c r="L1251" i="2"/>
  <c r="M1251" i="2" l="1"/>
  <c r="N1251" i="2"/>
  <c r="L1252" i="2"/>
  <c r="M1252" i="2" l="1"/>
  <c r="N1252" i="2"/>
  <c r="L1253" i="2"/>
  <c r="M1253" i="2" l="1"/>
  <c r="N1253" i="2"/>
  <c r="L1254" i="2"/>
  <c r="M1254" i="2" l="1"/>
  <c r="N1254" i="2"/>
  <c r="L1255" i="2"/>
  <c r="M1255" i="2" l="1"/>
  <c r="N1255" i="2"/>
  <c r="L1256" i="2"/>
  <c r="M1256" i="2" l="1"/>
  <c r="N1256" i="2"/>
  <c r="L1257" i="2"/>
  <c r="M1257" i="2" l="1"/>
  <c r="N1257" i="2"/>
  <c r="L1258" i="2"/>
  <c r="M1258" i="2" l="1"/>
  <c r="N1258" i="2"/>
  <c r="L1259" i="2"/>
  <c r="M1259" i="2" l="1"/>
  <c r="N1259" i="2"/>
  <c r="L1260" i="2"/>
  <c r="M1260" i="2" l="1"/>
  <c r="N1260" i="2"/>
  <c r="L1261" i="2"/>
  <c r="M1261" i="2" l="1"/>
  <c r="N1261" i="2"/>
  <c r="L1262" i="2"/>
  <c r="M1262" i="2" l="1"/>
  <c r="N1262" i="2"/>
  <c r="L1263" i="2"/>
  <c r="M1263" i="2" l="1"/>
  <c r="N1263" i="2"/>
  <c r="L1264" i="2"/>
  <c r="M1264" i="2" l="1"/>
  <c r="N1264" i="2"/>
  <c r="L1265" i="2"/>
  <c r="M1265" i="2" l="1"/>
  <c r="N1265" i="2"/>
  <c r="L1266" i="2"/>
  <c r="M1266" i="2" l="1"/>
  <c r="N1266" i="2"/>
  <c r="L1267" i="2"/>
  <c r="M1267" i="2" l="1"/>
  <c r="N1267" i="2"/>
  <c r="L1268" i="2"/>
  <c r="M1268" i="2" l="1"/>
  <c r="N1268" i="2"/>
  <c r="L1269" i="2"/>
  <c r="M1269" i="2" l="1"/>
  <c r="N1269" i="2"/>
  <c r="L1270" i="2"/>
  <c r="M1270" i="2" l="1"/>
  <c r="N1270" i="2"/>
  <c r="L1271" i="2"/>
  <c r="M1271" i="2" l="1"/>
  <c r="N1271" i="2"/>
  <c r="L1272" i="2"/>
  <c r="M1272" i="2" l="1"/>
  <c r="N1272" i="2"/>
  <c r="L1273" i="2"/>
  <c r="M1273" i="2" l="1"/>
  <c r="N1273" i="2"/>
  <c r="L1274" i="2"/>
  <c r="M1274" i="2" l="1"/>
  <c r="N1274" i="2"/>
  <c r="L1275" i="2"/>
  <c r="M1275" i="2" l="1"/>
  <c r="N1275" i="2"/>
  <c r="L1276" i="2"/>
  <c r="M1276" i="2" l="1"/>
  <c r="N1276" i="2"/>
  <c r="L1277" i="2"/>
  <c r="M1277" i="2" l="1"/>
  <c r="N1277" i="2"/>
  <c r="L1278" i="2"/>
  <c r="M1278" i="2" l="1"/>
  <c r="N1278" i="2"/>
  <c r="L1279" i="2"/>
  <c r="M1279" i="2" l="1"/>
  <c r="N1279" i="2"/>
  <c r="L1280" i="2"/>
  <c r="M1280" i="2" l="1"/>
  <c r="N1280" i="2"/>
  <c r="L1281" i="2"/>
  <c r="M1281" i="2" l="1"/>
  <c r="N1281" i="2"/>
  <c r="L1282" i="2"/>
  <c r="M1282" i="2" l="1"/>
  <c r="N1282" i="2"/>
  <c r="L1283" i="2"/>
  <c r="M1283" i="2" l="1"/>
  <c r="N1283" i="2"/>
  <c r="L1284" i="2"/>
  <c r="M1284" i="2" l="1"/>
  <c r="N1284" i="2"/>
  <c r="L1285" i="2"/>
  <c r="M1285" i="2" l="1"/>
  <c r="N1285" i="2"/>
  <c r="L1286" i="2"/>
  <c r="M1286" i="2" l="1"/>
  <c r="N1286" i="2"/>
  <c r="L1287" i="2"/>
  <c r="M1287" i="2" l="1"/>
  <c r="N1287" i="2"/>
  <c r="L1288" i="2"/>
  <c r="M1288" i="2" l="1"/>
  <c r="N1288" i="2"/>
  <c r="L1289" i="2"/>
  <c r="M1289" i="2" l="1"/>
  <c r="N1289" i="2"/>
  <c r="L1290" i="2"/>
  <c r="M1290" i="2" l="1"/>
  <c r="N1290" i="2"/>
  <c r="L1291" i="2"/>
  <c r="M1291" i="2" l="1"/>
  <c r="N1291" i="2"/>
  <c r="L1292" i="2"/>
  <c r="M1292" i="2" l="1"/>
  <c r="N1292" i="2"/>
  <c r="L1293" i="2"/>
  <c r="M1293" i="2" l="1"/>
  <c r="N1293" i="2"/>
  <c r="L1294" i="2"/>
  <c r="M1294" i="2" l="1"/>
  <c r="N1294" i="2"/>
  <c r="L1295" i="2"/>
  <c r="M1295" i="2" l="1"/>
  <c r="N1295" i="2"/>
  <c r="L1296" i="2"/>
  <c r="M1296" i="2" l="1"/>
  <c r="N1296" i="2"/>
  <c r="L1297" i="2"/>
  <c r="M1297" i="2" l="1"/>
  <c r="N1297" i="2"/>
  <c r="L1298" i="2"/>
  <c r="M1298" i="2" l="1"/>
  <c r="N1298" i="2"/>
  <c r="L1299" i="2"/>
  <c r="M1299" i="2" l="1"/>
  <c r="N1299" i="2"/>
  <c r="L1300" i="2"/>
  <c r="M1300" i="2" l="1"/>
  <c r="N1300" i="2"/>
  <c r="L1301" i="2"/>
  <c r="M1301" i="2" l="1"/>
  <c r="N1301" i="2"/>
  <c r="L1302" i="2"/>
  <c r="M1302" i="2" l="1"/>
  <c r="N1302" i="2"/>
  <c r="L1303" i="2"/>
  <c r="M1303" i="2" l="1"/>
  <c r="N1303" i="2"/>
  <c r="L1304" i="2"/>
  <c r="M1304" i="2" l="1"/>
  <c r="N1304" i="2"/>
  <c r="L1305" i="2"/>
  <c r="M1305" i="2" l="1"/>
  <c r="N1305" i="2"/>
  <c r="L1306" i="2"/>
  <c r="M1306" i="2" l="1"/>
  <c r="N1306" i="2"/>
  <c r="L1307" i="2"/>
  <c r="M1307" i="2" l="1"/>
  <c r="N1307" i="2"/>
  <c r="L1308" i="2"/>
  <c r="M1308" i="2" l="1"/>
  <c r="N1308" i="2"/>
  <c r="L1309" i="2"/>
  <c r="M1309" i="2" l="1"/>
  <c r="N1309" i="2"/>
  <c r="L1310" i="2"/>
  <c r="M1310" i="2" l="1"/>
  <c r="N1310" i="2"/>
  <c r="L1311" i="2"/>
  <c r="M1311" i="2" l="1"/>
  <c r="N1311" i="2"/>
  <c r="L1312" i="2"/>
  <c r="M1312" i="2" l="1"/>
  <c r="N1312" i="2"/>
  <c r="L1313" i="2"/>
  <c r="M1313" i="2" l="1"/>
  <c r="N1313" i="2"/>
  <c r="L1314" i="2"/>
  <c r="M1314" i="2" l="1"/>
  <c r="N1314" i="2"/>
  <c r="L1315" i="2"/>
  <c r="M1315" i="2" l="1"/>
  <c r="N1315" i="2"/>
  <c r="L1316" i="2"/>
  <c r="M1316" i="2" l="1"/>
  <c r="N1316" i="2"/>
  <c r="L1317" i="2"/>
  <c r="M1317" i="2" l="1"/>
  <c r="N1317" i="2"/>
  <c r="L1318" i="2"/>
  <c r="M1318" i="2" l="1"/>
  <c r="N1318" i="2"/>
  <c r="L1319" i="2"/>
  <c r="M1319" i="2" l="1"/>
  <c r="N1319" i="2"/>
  <c r="L1320" i="2"/>
  <c r="M1320" i="2" l="1"/>
  <c r="N1320" i="2"/>
  <c r="L1321" i="2"/>
  <c r="M1321" i="2" l="1"/>
  <c r="N1321" i="2"/>
  <c r="L1322" i="2"/>
  <c r="M1322" i="2" l="1"/>
  <c r="N1322" i="2"/>
  <c r="L1323" i="2"/>
  <c r="M1323" i="2" l="1"/>
  <c r="N1323" i="2"/>
  <c r="L1324" i="2"/>
  <c r="M1324" i="2" l="1"/>
  <c r="N1324" i="2"/>
  <c r="L1325" i="2"/>
  <c r="M1325" i="2" l="1"/>
  <c r="N1325" i="2"/>
  <c r="L1326" i="2"/>
  <c r="M1326" i="2" l="1"/>
  <c r="N1326" i="2"/>
  <c r="L1327" i="2"/>
  <c r="M1327" i="2" l="1"/>
  <c r="N1327" i="2"/>
  <c r="L1328" i="2"/>
  <c r="M1328" i="2" l="1"/>
  <c r="N1328" i="2"/>
  <c r="L1329" i="2"/>
  <c r="M1329" i="2" l="1"/>
  <c r="N1329" i="2"/>
  <c r="L1330" i="2"/>
  <c r="M1330" i="2" l="1"/>
  <c r="N1330" i="2"/>
  <c r="L1331" i="2"/>
  <c r="M1331" i="2" l="1"/>
  <c r="N1331" i="2"/>
  <c r="L1332" i="2"/>
  <c r="M1332" i="2" l="1"/>
  <c r="N1332" i="2"/>
  <c r="L1333" i="2"/>
  <c r="M1333" i="2" l="1"/>
  <c r="N1333" i="2"/>
  <c r="L1334" i="2"/>
  <c r="M1334" i="2" l="1"/>
  <c r="N1334" i="2"/>
  <c r="L1335" i="2"/>
  <c r="M1335" i="2" l="1"/>
  <c r="N1335" i="2"/>
  <c r="L1336" i="2"/>
  <c r="M1336" i="2" l="1"/>
  <c r="N1336" i="2"/>
  <c r="L1337" i="2"/>
  <c r="M1337" i="2" l="1"/>
  <c r="N1337" i="2"/>
  <c r="L1338" i="2"/>
  <c r="M1338" i="2" l="1"/>
  <c r="N1338" i="2"/>
  <c r="L1339" i="2"/>
  <c r="M1339" i="2" l="1"/>
  <c r="N1339" i="2"/>
  <c r="L1340" i="2"/>
  <c r="M1340" i="2" l="1"/>
  <c r="N1340" i="2"/>
  <c r="L1341" i="2"/>
  <c r="M1341" i="2" l="1"/>
  <c r="N1341" i="2"/>
  <c r="L1342" i="2"/>
  <c r="M1342" i="2" l="1"/>
  <c r="N1342" i="2"/>
  <c r="L1343" i="2"/>
  <c r="M1343" i="2" l="1"/>
  <c r="N1343" i="2"/>
  <c r="L1344" i="2"/>
  <c r="M1344" i="2" l="1"/>
  <c r="N1344" i="2"/>
  <c r="L1345" i="2"/>
  <c r="M1345" i="2" l="1"/>
  <c r="N1345" i="2"/>
  <c r="L1346" i="2"/>
  <c r="M1346" i="2" l="1"/>
  <c r="N1346" i="2"/>
  <c r="L1347" i="2"/>
  <c r="M1347" i="2" l="1"/>
  <c r="N1347" i="2"/>
  <c r="L1348" i="2"/>
  <c r="M1348" i="2" l="1"/>
  <c r="N1348" i="2"/>
  <c r="L1349" i="2"/>
  <c r="M1349" i="2" l="1"/>
  <c r="N1349" i="2"/>
  <c r="L1350" i="2"/>
  <c r="M1350" i="2" l="1"/>
  <c r="N1350" i="2"/>
  <c r="L1351" i="2"/>
  <c r="M1351" i="2" l="1"/>
  <c r="N1351" i="2"/>
  <c r="L1352" i="2"/>
  <c r="M1352" i="2" l="1"/>
  <c r="N1352" i="2"/>
  <c r="L1353" i="2"/>
  <c r="M1353" i="2" l="1"/>
  <c r="N1353" i="2"/>
  <c r="L1354" i="2"/>
  <c r="M1354" i="2" l="1"/>
  <c r="N1354" i="2"/>
  <c r="L1355" i="2"/>
  <c r="M1355" i="2" l="1"/>
  <c r="N1355" i="2"/>
  <c r="L1356" i="2"/>
  <c r="M1356" i="2" l="1"/>
  <c r="N1356" i="2"/>
  <c r="L1357" i="2"/>
  <c r="M1357" i="2" l="1"/>
  <c r="N1357" i="2"/>
  <c r="L1358" i="2"/>
  <c r="M1358" i="2" l="1"/>
  <c r="N1358" i="2"/>
  <c r="L1359" i="2"/>
  <c r="M1359" i="2" l="1"/>
  <c r="N1359" i="2"/>
  <c r="L1360" i="2"/>
  <c r="M1360" i="2" l="1"/>
  <c r="N1360" i="2"/>
  <c r="L1361" i="2"/>
  <c r="M1361" i="2" l="1"/>
  <c r="N1361" i="2"/>
  <c r="L1362" i="2"/>
  <c r="M1362" i="2" l="1"/>
  <c r="N1362" i="2"/>
  <c r="L1363" i="2"/>
  <c r="M1363" i="2" l="1"/>
  <c r="N1363" i="2"/>
  <c r="L1364" i="2"/>
  <c r="M1364" i="2" l="1"/>
  <c r="N1364" i="2"/>
  <c r="L1365" i="2"/>
  <c r="M1365" i="2" l="1"/>
  <c r="N1365" i="2"/>
  <c r="L1366" i="2"/>
  <c r="M1366" i="2" l="1"/>
  <c r="N1366" i="2"/>
  <c r="L1367" i="2"/>
  <c r="M1367" i="2" l="1"/>
  <c r="N1367" i="2"/>
  <c r="L1368" i="2"/>
  <c r="M1368" i="2" l="1"/>
  <c r="N1368" i="2"/>
  <c r="L1369" i="2"/>
  <c r="M1369" i="2" l="1"/>
  <c r="N1369" i="2"/>
  <c r="L1370" i="2"/>
  <c r="M1370" i="2" l="1"/>
  <c r="N1370" i="2"/>
  <c r="L1371" i="2"/>
  <c r="M1371" i="2" l="1"/>
  <c r="N1371" i="2"/>
  <c r="L1372" i="2"/>
  <c r="M1372" i="2" l="1"/>
  <c r="N1372" i="2"/>
  <c r="L1373" i="2"/>
  <c r="M1373" i="2" l="1"/>
  <c r="N1373" i="2"/>
  <c r="L1374" i="2"/>
  <c r="M1374" i="2" l="1"/>
  <c r="N1374" i="2"/>
  <c r="L1375" i="2"/>
  <c r="M1375" i="2" l="1"/>
  <c r="N1375" i="2"/>
  <c r="L1376" i="2"/>
  <c r="M1376" i="2" l="1"/>
  <c r="N1376" i="2"/>
  <c r="L1377" i="2"/>
  <c r="M1377" i="2" l="1"/>
  <c r="N1377" i="2"/>
  <c r="L1378" i="2"/>
  <c r="M1378" i="2" l="1"/>
  <c r="N1378" i="2"/>
  <c r="L1379" i="2"/>
  <c r="M1379" i="2" l="1"/>
  <c r="N1379" i="2"/>
  <c r="L1380" i="2"/>
  <c r="M1380" i="2" l="1"/>
  <c r="N1380" i="2"/>
  <c r="L1381" i="2"/>
  <c r="M1381" i="2" l="1"/>
  <c r="N1381" i="2"/>
  <c r="L1382" i="2"/>
  <c r="M1382" i="2" l="1"/>
  <c r="N1382" i="2"/>
  <c r="L1383" i="2"/>
  <c r="M1383" i="2" l="1"/>
  <c r="N1383" i="2"/>
  <c r="L1384" i="2"/>
  <c r="M1384" i="2" l="1"/>
  <c r="N1384" i="2"/>
  <c r="L1385" i="2"/>
  <c r="M1385" i="2" l="1"/>
  <c r="N1385" i="2"/>
  <c r="L1386" i="2"/>
  <c r="M1386" i="2" l="1"/>
  <c r="N1386" i="2"/>
  <c r="L1387" i="2"/>
  <c r="M1387" i="2" l="1"/>
  <c r="N1387" i="2"/>
  <c r="L1388" i="2"/>
  <c r="M1388" i="2" l="1"/>
  <c r="N1388" i="2"/>
  <c r="L1389" i="2"/>
  <c r="M1389" i="2" l="1"/>
  <c r="N1389" i="2"/>
  <c r="L1390" i="2"/>
  <c r="M1390" i="2" l="1"/>
  <c r="N1390" i="2"/>
  <c r="L1391" i="2"/>
  <c r="M1391" i="2" l="1"/>
  <c r="N1391" i="2"/>
  <c r="L1392" i="2"/>
  <c r="M1392" i="2" l="1"/>
  <c r="N1392" i="2"/>
  <c r="L1393" i="2"/>
  <c r="M1393" i="2" l="1"/>
  <c r="N1393" i="2"/>
  <c r="L1394" i="2"/>
  <c r="M1394" i="2" l="1"/>
  <c r="N1394" i="2"/>
  <c r="L1395" i="2"/>
  <c r="M1395" i="2" l="1"/>
  <c r="N1395" i="2"/>
  <c r="L1396" i="2"/>
  <c r="M1396" i="2" l="1"/>
  <c r="N1396" i="2"/>
  <c r="L1397" i="2"/>
  <c r="M1397" i="2" l="1"/>
  <c r="N1397" i="2"/>
  <c r="L1398" i="2"/>
  <c r="M1398" i="2" l="1"/>
  <c r="N1398" i="2"/>
  <c r="L1399" i="2"/>
  <c r="M1399" i="2" l="1"/>
  <c r="N1399" i="2"/>
  <c r="L1400" i="2"/>
  <c r="M1400" i="2" l="1"/>
  <c r="N1400" i="2"/>
  <c r="L1401" i="2"/>
  <c r="M1401" i="2" l="1"/>
  <c r="N1401" i="2"/>
  <c r="L1402" i="2"/>
  <c r="M1402" i="2" l="1"/>
  <c r="N1402" i="2"/>
  <c r="L1403" i="2"/>
  <c r="M1403" i="2" l="1"/>
  <c r="N1403" i="2"/>
  <c r="L1404" i="2"/>
  <c r="M1404" i="2" l="1"/>
  <c r="N1404" i="2"/>
  <c r="L1405" i="2"/>
  <c r="M1405" i="2" l="1"/>
  <c r="N1405" i="2"/>
  <c r="L1406" i="2"/>
  <c r="M1406" i="2" l="1"/>
  <c r="N1406" i="2"/>
  <c r="L1407" i="2"/>
  <c r="M1407" i="2" l="1"/>
  <c r="N1407" i="2"/>
  <c r="L1408" i="2"/>
  <c r="M1408" i="2" l="1"/>
  <c r="N1408" i="2"/>
  <c r="L1409" i="2"/>
  <c r="M1409" i="2" l="1"/>
  <c r="N1409" i="2"/>
  <c r="L1410" i="2"/>
  <c r="M1410" i="2" l="1"/>
  <c r="N1410" i="2"/>
  <c r="L1411" i="2"/>
  <c r="M1411" i="2" l="1"/>
  <c r="N1411" i="2"/>
  <c r="L1412" i="2"/>
  <c r="M1412" i="2" l="1"/>
  <c r="N1412" i="2"/>
  <c r="L1413" i="2"/>
  <c r="M1413" i="2" l="1"/>
  <c r="N1413" i="2"/>
  <c r="L1414" i="2"/>
  <c r="M1414" i="2" l="1"/>
  <c r="N1414" i="2"/>
  <c r="L1415" i="2"/>
  <c r="M1415" i="2" l="1"/>
  <c r="N1415" i="2"/>
  <c r="L1416" i="2"/>
  <c r="M1416" i="2" l="1"/>
  <c r="N1416" i="2"/>
  <c r="L1417" i="2"/>
  <c r="M1417" i="2" l="1"/>
  <c r="N1417" i="2"/>
  <c r="L1418" i="2"/>
  <c r="M1418" i="2" l="1"/>
  <c r="N1418" i="2"/>
  <c r="L1419" i="2"/>
  <c r="M1419" i="2" l="1"/>
  <c r="N1419" i="2"/>
  <c r="L1420" i="2"/>
  <c r="M1420" i="2" l="1"/>
  <c r="N1420" i="2"/>
  <c r="L1421" i="2"/>
  <c r="M1421" i="2" l="1"/>
  <c r="N1421" i="2"/>
  <c r="L1422" i="2"/>
  <c r="M1422" i="2" l="1"/>
  <c r="N1422" i="2"/>
  <c r="L1423" i="2"/>
  <c r="M1423" i="2" l="1"/>
  <c r="N1423" i="2"/>
  <c r="L1424" i="2"/>
  <c r="M1424" i="2" l="1"/>
  <c r="N1424" i="2"/>
  <c r="L1425" i="2"/>
  <c r="M1425" i="2" l="1"/>
  <c r="N1425" i="2"/>
  <c r="L1426" i="2"/>
  <c r="M1426" i="2" l="1"/>
  <c r="N1426" i="2"/>
  <c r="L1427" i="2"/>
  <c r="M1427" i="2" l="1"/>
  <c r="N1427" i="2"/>
  <c r="L1428" i="2"/>
  <c r="M1428" i="2" l="1"/>
  <c r="N1428" i="2"/>
  <c r="L1429" i="2"/>
  <c r="M1429" i="2" l="1"/>
  <c r="N1429" i="2"/>
  <c r="L1430" i="2"/>
  <c r="M1430" i="2" l="1"/>
  <c r="N1430" i="2"/>
  <c r="L1431" i="2"/>
  <c r="M1431" i="2" l="1"/>
  <c r="N1431" i="2"/>
  <c r="L1432" i="2"/>
  <c r="M1432" i="2" l="1"/>
  <c r="N1432" i="2"/>
  <c r="L1433" i="2"/>
  <c r="M1433" i="2" l="1"/>
  <c r="N1433" i="2"/>
  <c r="L1434" i="2"/>
  <c r="M1434" i="2" l="1"/>
  <c r="N1434" i="2"/>
  <c r="L1435" i="2"/>
  <c r="M1435" i="2" l="1"/>
  <c r="N1435" i="2"/>
  <c r="L1436" i="2"/>
  <c r="M1436" i="2" l="1"/>
  <c r="N1436" i="2"/>
  <c r="L1437" i="2"/>
  <c r="M1437" i="2" l="1"/>
  <c r="N1437" i="2"/>
  <c r="L1438" i="2"/>
  <c r="M1438" i="2" l="1"/>
  <c r="N1438" i="2"/>
  <c r="L1439" i="2"/>
  <c r="M1439" i="2" l="1"/>
  <c r="N1439" i="2"/>
  <c r="L1440" i="2"/>
  <c r="M1440" i="2" l="1"/>
  <c r="N1440" i="2"/>
  <c r="L1441" i="2"/>
  <c r="M1441" i="2" l="1"/>
  <c r="N1441" i="2"/>
  <c r="L1442" i="2"/>
  <c r="M1442" i="2" l="1"/>
  <c r="N1442" i="2"/>
  <c r="L1443" i="2"/>
  <c r="M1443" i="2" l="1"/>
  <c r="N1443" i="2"/>
  <c r="L1444" i="2"/>
  <c r="M1444" i="2" l="1"/>
  <c r="N1444" i="2"/>
  <c r="L1445" i="2"/>
  <c r="M1445" i="2" l="1"/>
  <c r="N1445" i="2"/>
  <c r="L1446" i="2"/>
  <c r="M1446" i="2" l="1"/>
  <c r="N1446" i="2"/>
  <c r="L1447" i="2"/>
  <c r="M1447" i="2" l="1"/>
  <c r="N1447" i="2"/>
  <c r="L1448" i="2"/>
  <c r="M1448" i="2" l="1"/>
  <c r="N1448" i="2"/>
  <c r="L1449" i="2"/>
  <c r="M1449" i="2" l="1"/>
  <c r="N1449" i="2"/>
  <c r="L1450" i="2"/>
  <c r="M1450" i="2" l="1"/>
  <c r="N1450" i="2"/>
  <c r="L1451" i="2"/>
  <c r="M1451" i="2" l="1"/>
  <c r="N1451" i="2"/>
  <c r="L1452" i="2"/>
  <c r="M1452" i="2" l="1"/>
  <c r="N1452" i="2"/>
  <c r="L1453" i="2"/>
  <c r="M1453" i="2" l="1"/>
  <c r="N1453" i="2"/>
  <c r="L1454" i="2"/>
  <c r="M1454" i="2" l="1"/>
  <c r="N1454" i="2"/>
  <c r="L1455" i="2"/>
  <c r="M1455" i="2" l="1"/>
  <c r="N1455" i="2"/>
  <c r="L1456" i="2"/>
  <c r="M1456" i="2" l="1"/>
  <c r="N1456" i="2"/>
  <c r="L1457" i="2"/>
  <c r="M1457" i="2" l="1"/>
  <c r="N1457" i="2"/>
  <c r="L1458" i="2"/>
  <c r="M1458" i="2" l="1"/>
  <c r="N1458" i="2"/>
  <c r="L1459" i="2"/>
  <c r="M1459" i="2" l="1"/>
  <c r="N1459" i="2"/>
  <c r="L1460" i="2"/>
  <c r="M1460" i="2" l="1"/>
  <c r="N1460" i="2"/>
  <c r="L1461" i="2"/>
  <c r="M1461" i="2" l="1"/>
  <c r="N1461" i="2"/>
  <c r="L1462" i="2"/>
  <c r="M1462" i="2" l="1"/>
  <c r="N1462" i="2"/>
  <c r="L1463" i="2"/>
  <c r="M1463" i="2" l="1"/>
  <c r="N1463" i="2"/>
  <c r="L1464" i="2"/>
  <c r="M1464" i="2" l="1"/>
  <c r="N1464" i="2"/>
  <c r="L1465" i="2"/>
  <c r="M1465" i="2" l="1"/>
  <c r="N1465" i="2"/>
  <c r="L1466" i="2"/>
  <c r="M1466" i="2" l="1"/>
  <c r="N1466" i="2"/>
  <c r="L1467" i="2"/>
  <c r="M1467" i="2" l="1"/>
  <c r="N1467" i="2"/>
  <c r="L1468" i="2"/>
  <c r="M1468" i="2" l="1"/>
  <c r="N1468" i="2"/>
  <c r="L1469" i="2"/>
  <c r="M1469" i="2" l="1"/>
  <c r="N1469" i="2"/>
  <c r="L1470" i="2"/>
  <c r="M1470" i="2" l="1"/>
  <c r="N1470" i="2"/>
  <c r="L1471" i="2"/>
  <c r="M1471" i="2" l="1"/>
  <c r="N1471" i="2"/>
  <c r="L1472" i="2"/>
  <c r="M1472" i="2" l="1"/>
  <c r="N1472" i="2"/>
  <c r="L1473" i="2"/>
  <c r="M1473" i="2" l="1"/>
  <c r="N1473" i="2"/>
  <c r="L1474" i="2"/>
  <c r="M1474" i="2" l="1"/>
  <c r="N1474" i="2"/>
  <c r="L1475" i="2"/>
  <c r="M1475" i="2" l="1"/>
  <c r="N1475" i="2"/>
  <c r="L1476" i="2"/>
  <c r="M1476" i="2" l="1"/>
  <c r="N1476" i="2"/>
  <c r="L1477" i="2"/>
  <c r="M1477" i="2" l="1"/>
  <c r="N1477" i="2"/>
  <c r="L1478" i="2"/>
  <c r="M1478" i="2" l="1"/>
  <c r="N1478" i="2"/>
  <c r="L1479" i="2"/>
  <c r="M1479" i="2" l="1"/>
  <c r="N1479" i="2"/>
  <c r="L1480" i="2"/>
  <c r="M1480" i="2" l="1"/>
  <c r="N1480" i="2"/>
  <c r="L1481" i="2"/>
  <c r="M1481" i="2" l="1"/>
  <c r="N1481" i="2"/>
  <c r="L1482" i="2"/>
  <c r="M1482" i="2" l="1"/>
  <c r="N1482" i="2"/>
  <c r="L1483" i="2"/>
  <c r="M1483" i="2" l="1"/>
  <c r="N1483" i="2"/>
  <c r="L1484" i="2"/>
  <c r="M1484" i="2" l="1"/>
  <c r="N1484" i="2"/>
  <c r="L1485" i="2"/>
  <c r="M1485" i="2" l="1"/>
  <c r="N1485" i="2"/>
  <c r="L1486" i="2"/>
  <c r="M1486" i="2" l="1"/>
  <c r="N1486" i="2"/>
  <c r="L1487" i="2"/>
  <c r="M1487" i="2" l="1"/>
  <c r="N1487" i="2"/>
  <c r="L1488" i="2"/>
  <c r="M1488" i="2" l="1"/>
  <c r="N1488" i="2"/>
  <c r="L1489" i="2"/>
  <c r="M1489" i="2" l="1"/>
  <c r="N1489" i="2"/>
  <c r="L1490" i="2"/>
  <c r="M1490" i="2" l="1"/>
  <c r="N1490" i="2"/>
  <c r="L1491" i="2"/>
  <c r="M1491" i="2" l="1"/>
  <c r="N1491" i="2"/>
  <c r="L1492" i="2"/>
  <c r="M1492" i="2" l="1"/>
  <c r="N1492" i="2"/>
  <c r="L1493" i="2"/>
  <c r="M1493" i="2" l="1"/>
  <c r="N1493" i="2"/>
  <c r="L1494" i="2"/>
  <c r="M1494" i="2" l="1"/>
  <c r="N1494" i="2"/>
  <c r="L1495" i="2"/>
  <c r="M1495" i="2" l="1"/>
  <c r="N1495" i="2"/>
  <c r="L1496" i="2"/>
  <c r="M1496" i="2" l="1"/>
  <c r="N1496" i="2"/>
  <c r="L1497" i="2"/>
  <c r="M1497" i="2" l="1"/>
  <c r="N1497" i="2"/>
  <c r="L1498" i="2"/>
  <c r="M1498" i="2" l="1"/>
  <c r="N1498" i="2"/>
  <c r="L1499" i="2"/>
  <c r="M1499" i="2" l="1"/>
  <c r="N1499" i="2"/>
  <c r="L1500" i="2"/>
  <c r="M1500" i="2" l="1"/>
  <c r="N1500" i="2"/>
  <c r="L1501" i="2"/>
  <c r="M1501" i="2" l="1"/>
  <c r="N1501" i="2"/>
  <c r="L1502" i="2"/>
  <c r="M1502" i="2" l="1"/>
  <c r="N1502" i="2"/>
  <c r="L1503" i="2"/>
  <c r="M1503" i="2" l="1"/>
  <c r="N1503" i="2"/>
  <c r="L1504" i="2"/>
  <c r="M1504" i="2" l="1"/>
  <c r="N1504" i="2"/>
  <c r="L1505" i="2"/>
  <c r="M1505" i="2" l="1"/>
  <c r="N1505" i="2"/>
  <c r="L1506" i="2"/>
  <c r="M1506" i="2" l="1"/>
  <c r="N1506" i="2"/>
  <c r="L1507" i="2"/>
  <c r="M1507" i="2" l="1"/>
  <c r="N1507" i="2"/>
  <c r="L1508" i="2"/>
  <c r="M1508" i="2" l="1"/>
  <c r="N1508" i="2"/>
  <c r="L1509" i="2"/>
  <c r="M1509" i="2" l="1"/>
  <c r="N1509" i="2"/>
  <c r="L1510" i="2"/>
  <c r="M1510" i="2" l="1"/>
  <c r="N1510" i="2"/>
  <c r="L1511" i="2"/>
  <c r="M1511" i="2" l="1"/>
  <c r="N1511" i="2"/>
  <c r="L1512" i="2"/>
  <c r="M1512" i="2" l="1"/>
  <c r="N1512" i="2"/>
  <c r="L1513" i="2"/>
  <c r="M1513" i="2" l="1"/>
  <c r="N1513" i="2"/>
  <c r="L1514" i="2"/>
  <c r="M1514" i="2" l="1"/>
  <c r="N1514" i="2"/>
  <c r="L1515" i="2"/>
  <c r="M1515" i="2" l="1"/>
  <c r="N1515" i="2"/>
  <c r="L1516" i="2"/>
  <c r="M1516" i="2" l="1"/>
  <c r="N1516" i="2"/>
  <c r="L1517" i="2"/>
  <c r="M1517" i="2" l="1"/>
  <c r="N1517" i="2"/>
  <c r="L1518" i="2"/>
  <c r="M1518" i="2" l="1"/>
  <c r="N1518" i="2"/>
  <c r="L1519" i="2"/>
  <c r="M1519" i="2" l="1"/>
  <c r="N1519" i="2"/>
  <c r="L1520" i="2"/>
  <c r="M1520" i="2" l="1"/>
  <c r="N1520" i="2"/>
  <c r="L1521" i="2"/>
  <c r="M1521" i="2" l="1"/>
  <c r="N1521" i="2"/>
  <c r="L1522" i="2"/>
  <c r="M1522" i="2" l="1"/>
  <c r="N1522" i="2"/>
  <c r="L1523" i="2"/>
  <c r="M1523" i="2" l="1"/>
  <c r="N1523" i="2"/>
  <c r="L1524" i="2"/>
  <c r="D4" i="5" l="1"/>
  <c r="E4" i="5" s="1"/>
  <c r="M1524" i="2"/>
  <c r="N1524" i="2"/>
  <c r="L1525" i="2"/>
  <c r="M1525" i="2" l="1"/>
  <c r="N1525" i="2"/>
  <c r="L1526" i="2"/>
  <c r="M1526" i="2" l="1"/>
  <c r="N1526" i="2"/>
  <c r="L1527" i="2"/>
  <c r="M1527" i="2" l="1"/>
  <c r="N1527" i="2"/>
  <c r="L1528" i="2"/>
  <c r="M1528" i="2" l="1"/>
  <c r="N1528" i="2"/>
  <c r="L1529" i="2"/>
  <c r="M1529" i="2" l="1"/>
  <c r="N1529" i="2"/>
  <c r="L1530" i="2"/>
  <c r="M1530" i="2" l="1"/>
  <c r="N1530" i="2"/>
  <c r="L1531" i="2"/>
  <c r="M1531" i="2" l="1"/>
  <c r="N1531" i="2"/>
  <c r="L1532" i="2"/>
  <c r="M1532" i="2" l="1"/>
  <c r="N1532" i="2"/>
  <c r="L1533" i="2"/>
  <c r="M1533" i="2" l="1"/>
  <c r="N1533" i="2"/>
  <c r="L1534" i="2"/>
  <c r="M1534" i="2" l="1"/>
  <c r="N1534" i="2"/>
  <c r="L1535" i="2"/>
  <c r="M1535" i="2" l="1"/>
  <c r="N1535" i="2"/>
  <c r="L1536" i="2"/>
  <c r="M1536" i="2" l="1"/>
  <c r="N1536" i="2"/>
  <c r="L1537" i="2"/>
  <c r="M1537" i="2" l="1"/>
  <c r="N1537" i="2"/>
  <c r="L1538" i="2"/>
  <c r="M1538" i="2" l="1"/>
  <c r="N1538" i="2"/>
  <c r="L1539" i="2"/>
  <c r="M1539" i="2" l="1"/>
  <c r="N1539" i="2"/>
  <c r="L1540" i="2"/>
  <c r="M1540" i="2" l="1"/>
  <c r="N1540" i="2"/>
  <c r="L1541" i="2"/>
  <c r="M1541" i="2" l="1"/>
  <c r="N1541" i="2"/>
  <c r="L1542" i="2"/>
  <c r="M1542" i="2" l="1"/>
  <c r="N1542" i="2"/>
  <c r="L1543" i="2"/>
  <c r="M1543" i="2" l="1"/>
  <c r="N1543" i="2"/>
  <c r="L1544" i="2"/>
  <c r="M1544" i="2" l="1"/>
  <c r="N1544" i="2"/>
  <c r="L1545" i="2"/>
  <c r="M1545" i="2" l="1"/>
  <c r="N1545" i="2"/>
  <c r="L1546" i="2"/>
  <c r="M1546" i="2" l="1"/>
  <c r="N1546" i="2"/>
  <c r="L1547" i="2"/>
  <c r="M1547" i="2" l="1"/>
  <c r="N1547" i="2"/>
  <c r="L1548" i="2"/>
  <c r="M1548" i="2" l="1"/>
  <c r="N1548" i="2"/>
  <c r="L1549" i="2"/>
  <c r="M1549" i="2" l="1"/>
  <c r="N1549" i="2"/>
  <c r="L1550" i="2"/>
  <c r="M1550" i="2" l="1"/>
  <c r="N1550" i="2"/>
  <c r="L1551" i="2"/>
  <c r="M1551" i="2" l="1"/>
  <c r="N1551" i="2"/>
  <c r="L1552" i="2"/>
  <c r="M1552" i="2" l="1"/>
  <c r="N1552" i="2"/>
  <c r="L1553" i="2"/>
  <c r="M1553" i="2" l="1"/>
  <c r="N1553" i="2"/>
  <c r="L1554" i="2"/>
  <c r="M1554" i="2" l="1"/>
  <c r="N1554" i="2"/>
  <c r="L1555" i="2"/>
  <c r="M1555" i="2" l="1"/>
  <c r="N1555" i="2"/>
  <c r="L1556" i="2"/>
  <c r="M1556" i="2" l="1"/>
  <c r="N1556" i="2"/>
  <c r="L1557" i="2"/>
  <c r="M1557" i="2" l="1"/>
  <c r="N1557" i="2"/>
  <c r="L1558" i="2"/>
  <c r="M1558" i="2" l="1"/>
  <c r="N1558" i="2"/>
  <c r="L1559" i="2"/>
  <c r="M1559" i="2" l="1"/>
  <c r="N1559" i="2"/>
  <c r="L1560" i="2"/>
  <c r="M1560" i="2" l="1"/>
  <c r="N1560" i="2"/>
  <c r="L1561" i="2"/>
  <c r="M1561" i="2" l="1"/>
  <c r="N1561" i="2"/>
  <c r="L1562" i="2"/>
  <c r="M1562" i="2" l="1"/>
  <c r="N1562" i="2"/>
  <c r="L1563" i="2"/>
  <c r="M1563" i="2" l="1"/>
  <c r="N1563" i="2"/>
  <c r="L1564" i="2"/>
  <c r="M1564" i="2" l="1"/>
  <c r="N1564" i="2"/>
  <c r="L1565" i="2"/>
  <c r="M1565" i="2" l="1"/>
  <c r="N1565" i="2"/>
  <c r="L1566" i="2"/>
  <c r="M1566" i="2" l="1"/>
  <c r="N1566" i="2"/>
  <c r="L1567" i="2"/>
  <c r="M1567" i="2" l="1"/>
  <c r="N1567" i="2"/>
  <c r="L1568" i="2"/>
  <c r="M1568" i="2" l="1"/>
  <c r="N1568" i="2"/>
  <c r="L1569" i="2"/>
  <c r="M1569" i="2" l="1"/>
  <c r="N1569" i="2"/>
  <c r="L1570" i="2"/>
  <c r="M1570" i="2" l="1"/>
  <c r="N1570" i="2"/>
  <c r="L1571" i="2"/>
  <c r="M1571" i="2" l="1"/>
  <c r="N1571" i="2"/>
  <c r="L1572" i="2"/>
  <c r="M1572" i="2" l="1"/>
  <c r="N1572" i="2"/>
  <c r="L1573" i="2"/>
  <c r="M1573" i="2" l="1"/>
  <c r="N1573" i="2"/>
  <c r="L1574" i="2"/>
  <c r="M1574" i="2" l="1"/>
  <c r="N1574" i="2"/>
  <c r="L1575" i="2"/>
  <c r="M1575" i="2" l="1"/>
  <c r="N1575" i="2"/>
  <c r="L1576" i="2"/>
  <c r="M1576" i="2" l="1"/>
  <c r="N1576" i="2"/>
  <c r="L1577" i="2"/>
  <c r="M1577" i="2" l="1"/>
  <c r="N1577" i="2"/>
  <c r="L1578" i="2"/>
  <c r="M1578" i="2" l="1"/>
  <c r="N1578" i="2"/>
  <c r="L1579" i="2"/>
  <c r="M1579" i="2" l="1"/>
  <c r="N1579" i="2"/>
  <c r="L1580" i="2"/>
  <c r="M1580" i="2" l="1"/>
  <c r="N1580" i="2"/>
  <c r="L1581" i="2"/>
  <c r="M1581" i="2" l="1"/>
  <c r="N1581" i="2"/>
  <c r="L1582" i="2"/>
  <c r="M1582" i="2" l="1"/>
  <c r="N1582" i="2"/>
  <c r="L1583" i="2"/>
  <c r="M1583" i="2" l="1"/>
  <c r="N1583" i="2"/>
  <c r="L1584" i="2"/>
  <c r="M1584" i="2" l="1"/>
  <c r="N1584" i="2"/>
  <c r="L1585" i="2"/>
  <c r="M1585" i="2" l="1"/>
  <c r="N1585" i="2"/>
  <c r="L1586" i="2"/>
  <c r="M1586" i="2" l="1"/>
  <c r="N1586" i="2"/>
  <c r="L1587" i="2"/>
  <c r="M1587" i="2" l="1"/>
  <c r="N1587" i="2"/>
  <c r="L1588" i="2"/>
  <c r="M1588" i="2" l="1"/>
  <c r="N1588" i="2"/>
  <c r="L1589" i="2"/>
  <c r="M1589" i="2" l="1"/>
  <c r="N1589" i="2"/>
  <c r="L1590" i="2"/>
  <c r="M1590" i="2" l="1"/>
  <c r="N1590" i="2"/>
  <c r="L1591" i="2"/>
  <c r="M1591" i="2" l="1"/>
  <c r="N1591" i="2"/>
  <c r="L1592" i="2"/>
  <c r="M1592" i="2" l="1"/>
  <c r="N1592" i="2"/>
  <c r="L1593" i="2"/>
  <c r="M1593" i="2" l="1"/>
  <c r="N1593" i="2"/>
  <c r="L1594" i="2"/>
  <c r="M1594" i="2" l="1"/>
  <c r="N1594" i="2"/>
  <c r="L1595" i="2"/>
  <c r="M1595" i="2" l="1"/>
  <c r="N1595" i="2"/>
  <c r="L1596" i="2"/>
  <c r="M1596" i="2" l="1"/>
  <c r="N1596" i="2"/>
  <c r="L1597" i="2"/>
  <c r="M1597" i="2" l="1"/>
  <c r="N1597" i="2"/>
  <c r="L1598" i="2"/>
  <c r="M1598" i="2" l="1"/>
  <c r="N1598" i="2"/>
  <c r="L1599" i="2"/>
  <c r="M1599" i="2" l="1"/>
  <c r="N1599" i="2"/>
  <c r="L1600" i="2"/>
  <c r="M1600" i="2" l="1"/>
  <c r="N1600" i="2"/>
  <c r="L1601" i="2"/>
  <c r="M1601" i="2" l="1"/>
  <c r="N1601" i="2"/>
  <c r="L1602" i="2"/>
  <c r="M1602" i="2" l="1"/>
  <c r="N1602" i="2"/>
  <c r="L1603" i="2"/>
  <c r="M1603" i="2" l="1"/>
  <c r="N1603" i="2"/>
  <c r="L1604" i="2"/>
  <c r="M1604" i="2" l="1"/>
  <c r="N1604" i="2"/>
  <c r="L1605" i="2"/>
  <c r="M1605" i="2" l="1"/>
  <c r="N1605" i="2"/>
  <c r="L1606" i="2"/>
  <c r="M1606" i="2" l="1"/>
  <c r="N1606" i="2"/>
  <c r="L1607" i="2"/>
  <c r="M1607" i="2" l="1"/>
  <c r="N1607" i="2"/>
  <c r="L1608" i="2"/>
  <c r="M1608" i="2" l="1"/>
  <c r="N1608" i="2"/>
  <c r="L1609" i="2"/>
  <c r="M1609" i="2" l="1"/>
  <c r="N1609" i="2"/>
  <c r="L1610" i="2"/>
  <c r="M1610" i="2" l="1"/>
  <c r="N1610" i="2"/>
  <c r="L1611" i="2"/>
  <c r="M1611" i="2" l="1"/>
  <c r="N1611" i="2"/>
  <c r="L1612" i="2"/>
  <c r="M1612" i="2" l="1"/>
  <c r="N1612" i="2"/>
  <c r="L1613" i="2"/>
  <c r="M1613" i="2" l="1"/>
  <c r="N1613" i="2"/>
  <c r="L1614" i="2"/>
  <c r="M1614" i="2" l="1"/>
  <c r="N1614" i="2"/>
  <c r="L1615" i="2"/>
  <c r="M1615" i="2" l="1"/>
  <c r="N1615" i="2"/>
  <c r="L1616" i="2"/>
  <c r="M1616" i="2" l="1"/>
  <c r="N1616" i="2"/>
  <c r="L1617" i="2"/>
  <c r="M1617" i="2" l="1"/>
  <c r="N1617" i="2"/>
  <c r="L1618" i="2"/>
  <c r="M1618" i="2" l="1"/>
  <c r="N1618" i="2"/>
  <c r="L1619" i="2"/>
  <c r="M1619" i="2" l="1"/>
  <c r="N1619" i="2"/>
  <c r="L1620" i="2"/>
  <c r="M1620" i="2" l="1"/>
  <c r="N1620" i="2"/>
  <c r="L1621" i="2"/>
  <c r="M1621" i="2" l="1"/>
  <c r="N1621" i="2"/>
  <c r="L1622" i="2"/>
  <c r="M1622" i="2" l="1"/>
  <c r="N1622" i="2"/>
  <c r="L1623" i="2"/>
  <c r="M1623" i="2" l="1"/>
  <c r="N1623" i="2"/>
  <c r="L1624" i="2"/>
  <c r="M1624" i="2" l="1"/>
  <c r="N1624" i="2"/>
  <c r="L1625" i="2"/>
  <c r="M1625" i="2" l="1"/>
  <c r="N1625" i="2"/>
  <c r="L1626" i="2"/>
  <c r="M1626" i="2" l="1"/>
  <c r="N1626" i="2"/>
  <c r="L1627" i="2"/>
  <c r="M1627" i="2" l="1"/>
  <c r="N1627" i="2"/>
  <c r="L1628" i="2"/>
  <c r="M1628" i="2" l="1"/>
  <c r="N1628" i="2"/>
  <c r="L1629" i="2"/>
  <c r="M1629" i="2" l="1"/>
  <c r="N1629" i="2"/>
  <c r="L1630" i="2"/>
  <c r="M1630" i="2" l="1"/>
  <c r="N1630" i="2"/>
  <c r="L1631" i="2"/>
  <c r="M1631" i="2" l="1"/>
  <c r="N1631" i="2"/>
  <c r="L1632" i="2"/>
  <c r="M1632" i="2" l="1"/>
  <c r="N1632" i="2"/>
  <c r="L1633" i="2"/>
  <c r="M1633" i="2" l="1"/>
  <c r="N1633" i="2"/>
  <c r="L1634" i="2"/>
  <c r="M1634" i="2" l="1"/>
  <c r="N1634" i="2"/>
  <c r="L1635" i="2"/>
  <c r="M1635" i="2" l="1"/>
  <c r="N1635" i="2"/>
  <c r="L1636" i="2"/>
  <c r="M1636" i="2" l="1"/>
  <c r="N1636" i="2"/>
  <c r="L1637" i="2"/>
  <c r="M1637" i="2" l="1"/>
  <c r="N1637" i="2"/>
  <c r="L1638" i="2"/>
  <c r="M1638" i="2" l="1"/>
  <c r="N1638" i="2"/>
  <c r="L1639" i="2"/>
  <c r="M1639" i="2" l="1"/>
  <c r="N1639" i="2"/>
  <c r="L1640" i="2"/>
  <c r="M1640" i="2" l="1"/>
  <c r="N1640" i="2"/>
  <c r="L1641" i="2"/>
  <c r="M1641" i="2" l="1"/>
  <c r="N1641" i="2"/>
  <c r="L1642" i="2"/>
  <c r="M1642" i="2" l="1"/>
  <c r="N1642" i="2"/>
  <c r="L1643" i="2"/>
  <c r="M1643" i="2" l="1"/>
  <c r="N1643" i="2"/>
  <c r="L1644" i="2"/>
  <c r="M1644" i="2" l="1"/>
  <c r="N1644" i="2"/>
  <c r="L1645" i="2"/>
  <c r="M1645" i="2" l="1"/>
  <c r="N1645" i="2"/>
  <c r="L1646" i="2"/>
  <c r="M1646" i="2" l="1"/>
  <c r="N1646" i="2"/>
  <c r="L1647" i="2"/>
  <c r="M1647" i="2" l="1"/>
  <c r="N1647" i="2"/>
  <c r="L1648" i="2"/>
  <c r="M1648" i="2" l="1"/>
  <c r="N1648" i="2"/>
  <c r="L1649" i="2"/>
  <c r="M1649" i="2" l="1"/>
  <c r="N1649" i="2"/>
  <c r="L1650" i="2"/>
  <c r="M1650" i="2" l="1"/>
  <c r="N1650" i="2"/>
  <c r="L1651" i="2"/>
  <c r="M1651" i="2" l="1"/>
  <c r="N1651" i="2"/>
  <c r="L1652" i="2"/>
  <c r="M1652" i="2" l="1"/>
  <c r="N1652" i="2"/>
  <c r="L1653" i="2"/>
  <c r="M1653" i="2" l="1"/>
  <c r="N1653" i="2"/>
  <c r="L1654" i="2"/>
  <c r="M1654" i="2" l="1"/>
  <c r="N1654" i="2"/>
  <c r="L1655" i="2"/>
  <c r="M1655" i="2" l="1"/>
  <c r="N1655" i="2"/>
  <c r="L1656" i="2"/>
  <c r="M1656" i="2" l="1"/>
  <c r="N1656" i="2"/>
  <c r="L1657" i="2"/>
  <c r="M1657" i="2" l="1"/>
  <c r="N1657" i="2"/>
  <c r="L1658" i="2"/>
  <c r="M1658" i="2" l="1"/>
  <c r="N1658" i="2"/>
  <c r="L1659" i="2"/>
  <c r="M1659" i="2" l="1"/>
  <c r="N1659" i="2"/>
  <c r="L1660" i="2"/>
  <c r="M1660" i="2" l="1"/>
  <c r="N1660" i="2"/>
  <c r="L1661" i="2"/>
  <c r="M1661" i="2" l="1"/>
  <c r="N1661" i="2"/>
  <c r="L1662" i="2"/>
  <c r="M1662" i="2" l="1"/>
  <c r="N1662" i="2"/>
  <c r="L1663" i="2"/>
  <c r="M1663" i="2" l="1"/>
  <c r="N1663" i="2"/>
  <c r="L1664" i="2"/>
  <c r="M1664" i="2" l="1"/>
  <c r="N1664" i="2"/>
  <c r="L1665" i="2"/>
  <c r="M1665" i="2" l="1"/>
  <c r="N1665" i="2"/>
  <c r="L1666" i="2"/>
  <c r="M1666" i="2" l="1"/>
  <c r="N1666" i="2"/>
  <c r="L1667" i="2"/>
  <c r="M1667" i="2" l="1"/>
  <c r="N1667" i="2"/>
  <c r="L1668" i="2"/>
  <c r="M1668" i="2" l="1"/>
  <c r="N1668" i="2"/>
  <c r="L1669" i="2"/>
  <c r="M1669" i="2" l="1"/>
  <c r="N1669" i="2"/>
  <c r="L1670" i="2"/>
  <c r="M1670" i="2" l="1"/>
  <c r="N1670" i="2"/>
  <c r="L1671" i="2"/>
  <c r="M1671" i="2" l="1"/>
  <c r="N1671" i="2"/>
  <c r="L1672" i="2"/>
  <c r="M1672" i="2" l="1"/>
  <c r="N1672" i="2"/>
  <c r="L1673" i="2"/>
  <c r="M1673" i="2" l="1"/>
  <c r="N1673" i="2"/>
  <c r="L1674" i="2"/>
  <c r="M1674" i="2" l="1"/>
  <c r="N1674" i="2"/>
  <c r="L1675" i="2"/>
  <c r="M1675" i="2" l="1"/>
  <c r="N1675" i="2"/>
  <c r="L1676" i="2"/>
  <c r="M1676" i="2" l="1"/>
  <c r="N1676" i="2"/>
  <c r="L1677" i="2"/>
  <c r="M1677" i="2" l="1"/>
  <c r="N1677" i="2"/>
  <c r="L1678" i="2"/>
  <c r="M1678" i="2" l="1"/>
  <c r="N1678" i="2"/>
  <c r="L1679" i="2"/>
  <c r="M1679" i="2" l="1"/>
  <c r="N1679" i="2"/>
  <c r="L1680" i="2"/>
  <c r="M1680" i="2" l="1"/>
  <c r="N1680" i="2"/>
  <c r="L1681" i="2"/>
  <c r="M1681" i="2" l="1"/>
  <c r="N1681" i="2"/>
  <c r="L1682" i="2"/>
  <c r="M1682" i="2" l="1"/>
  <c r="N1682" i="2"/>
  <c r="L1683" i="2"/>
  <c r="M1683" i="2" l="1"/>
  <c r="N1683" i="2"/>
  <c r="L1684" i="2"/>
  <c r="M1684" i="2" l="1"/>
  <c r="N1684" i="2"/>
  <c r="L1685" i="2"/>
  <c r="M1685" i="2" l="1"/>
  <c r="N1685" i="2"/>
  <c r="L1686" i="2"/>
  <c r="M1686" i="2" l="1"/>
  <c r="N1686" i="2"/>
  <c r="L1687" i="2"/>
  <c r="M1687" i="2" l="1"/>
  <c r="N1687" i="2"/>
  <c r="L1688" i="2"/>
  <c r="M1688" i="2" l="1"/>
  <c r="N1688" i="2"/>
  <c r="L1689" i="2"/>
  <c r="M1689" i="2" l="1"/>
  <c r="N1689" i="2"/>
  <c r="L1690" i="2"/>
  <c r="M1690" i="2" l="1"/>
  <c r="N1690" i="2"/>
  <c r="L1691" i="2"/>
  <c r="M1691" i="2" l="1"/>
  <c r="N1691" i="2"/>
  <c r="L1692" i="2"/>
  <c r="M1692" i="2" l="1"/>
  <c r="N1692" i="2"/>
  <c r="L1693" i="2"/>
  <c r="M1693" i="2" l="1"/>
  <c r="N1693" i="2"/>
  <c r="L1694" i="2"/>
  <c r="M1694" i="2" l="1"/>
  <c r="N1694" i="2"/>
  <c r="L1695" i="2"/>
  <c r="M1695" i="2" l="1"/>
  <c r="N1695" i="2"/>
  <c r="L1696" i="2"/>
  <c r="M1696" i="2" l="1"/>
  <c r="N1696" i="2"/>
  <c r="L1697" i="2"/>
  <c r="M1697" i="2" l="1"/>
  <c r="N1697" i="2"/>
  <c r="L1698" i="2"/>
  <c r="M1698" i="2" l="1"/>
  <c r="N1698" i="2"/>
  <c r="L1699" i="2"/>
  <c r="M1699" i="2" l="1"/>
  <c r="N1699" i="2"/>
  <c r="L1700" i="2"/>
  <c r="M1700" i="2" l="1"/>
  <c r="N1700" i="2"/>
  <c r="L1701" i="2"/>
  <c r="M1701" i="2" l="1"/>
  <c r="N1701" i="2"/>
  <c r="L1702" i="2"/>
  <c r="M1702" i="2" l="1"/>
  <c r="N1702" i="2"/>
  <c r="L1703" i="2"/>
  <c r="M1703" i="2" l="1"/>
  <c r="N1703" i="2"/>
  <c r="L1704" i="2"/>
  <c r="M1704" i="2" l="1"/>
  <c r="N1704" i="2"/>
  <c r="L1705" i="2"/>
  <c r="M1705" i="2" l="1"/>
  <c r="N1705" i="2"/>
  <c r="L1706" i="2"/>
  <c r="M1706" i="2" l="1"/>
  <c r="N1706" i="2"/>
  <c r="L1707" i="2"/>
  <c r="M1707" i="2" l="1"/>
  <c r="N1707" i="2"/>
  <c r="L1708" i="2"/>
  <c r="M1708" i="2" l="1"/>
  <c r="N1708" i="2"/>
  <c r="L1709" i="2"/>
  <c r="M1709" i="2" l="1"/>
  <c r="N1709" i="2"/>
  <c r="L1710" i="2"/>
  <c r="M1710" i="2" l="1"/>
  <c r="N1710" i="2"/>
  <c r="L1711" i="2"/>
  <c r="M1711" i="2" l="1"/>
  <c r="N1711" i="2"/>
  <c r="L1712" i="2"/>
  <c r="M1712" i="2" l="1"/>
  <c r="N1712" i="2"/>
  <c r="L1713" i="2"/>
  <c r="M1713" i="2" l="1"/>
  <c r="N1713" i="2"/>
  <c r="L1714" i="2"/>
  <c r="M1714" i="2" l="1"/>
  <c r="N1714" i="2"/>
  <c r="L1715" i="2"/>
  <c r="M1715" i="2" l="1"/>
  <c r="N1715" i="2"/>
  <c r="L1716" i="2"/>
  <c r="M1716" i="2" l="1"/>
  <c r="N1716" i="2"/>
  <c r="L1717" i="2"/>
  <c r="M1717" i="2" l="1"/>
  <c r="N1717" i="2"/>
  <c r="L1718" i="2"/>
  <c r="M1718" i="2" l="1"/>
  <c r="N1718" i="2"/>
  <c r="L1719" i="2"/>
  <c r="M1719" i="2" l="1"/>
  <c r="N1719" i="2"/>
  <c r="L1720" i="2"/>
  <c r="M1720" i="2" l="1"/>
  <c r="N1720" i="2"/>
  <c r="L1721" i="2"/>
  <c r="M1721" i="2" l="1"/>
  <c r="N1721" i="2"/>
  <c r="L1722" i="2"/>
  <c r="M1722" i="2" l="1"/>
  <c r="N1722" i="2"/>
  <c r="L1723" i="2"/>
  <c r="M1723" i="2" l="1"/>
  <c r="N1723" i="2"/>
  <c r="L1724" i="2"/>
  <c r="M1724" i="2" l="1"/>
  <c r="N1724" i="2"/>
  <c r="L1725" i="2"/>
  <c r="M1725" i="2" l="1"/>
  <c r="N1725" i="2"/>
  <c r="L1726" i="2"/>
  <c r="M1726" i="2" l="1"/>
  <c r="N1726" i="2"/>
  <c r="L1727" i="2"/>
  <c r="M1727" i="2" l="1"/>
  <c r="N1727" i="2"/>
  <c r="L1728" i="2"/>
  <c r="M1728" i="2" l="1"/>
  <c r="N1728" i="2"/>
  <c r="L1729" i="2"/>
  <c r="M1729" i="2" l="1"/>
  <c r="N1729" i="2"/>
  <c r="L1730" i="2"/>
  <c r="M1730" i="2" l="1"/>
  <c r="N1730" i="2"/>
  <c r="L1731" i="2"/>
  <c r="M1731" i="2" l="1"/>
  <c r="N1731" i="2"/>
  <c r="L1732" i="2"/>
  <c r="M1732" i="2" l="1"/>
  <c r="N1732" i="2"/>
  <c r="L1733" i="2"/>
  <c r="M1733" i="2" l="1"/>
  <c r="N1733" i="2"/>
  <c r="L1734" i="2"/>
  <c r="M1734" i="2" l="1"/>
  <c r="N1734" i="2"/>
  <c r="L1735" i="2"/>
  <c r="M1735" i="2" l="1"/>
  <c r="N1735" i="2"/>
  <c r="L1736" i="2"/>
  <c r="M1736" i="2" l="1"/>
  <c r="N1736" i="2"/>
  <c r="L1737" i="2"/>
  <c r="M1737" i="2" l="1"/>
  <c r="N1737" i="2"/>
  <c r="L1738" i="2"/>
  <c r="M1738" i="2" l="1"/>
  <c r="N1738" i="2"/>
  <c r="L1739" i="2"/>
  <c r="M1739" i="2" l="1"/>
  <c r="N1739" i="2"/>
  <c r="L1740" i="2"/>
  <c r="M1740" i="2" l="1"/>
  <c r="N1740" i="2"/>
  <c r="L1741" i="2"/>
  <c r="M1741" i="2" l="1"/>
  <c r="N1741" i="2"/>
  <c r="L1742" i="2"/>
  <c r="M1742" i="2" l="1"/>
  <c r="N1742" i="2"/>
  <c r="L1743" i="2"/>
  <c r="M1743" i="2" l="1"/>
  <c r="N1743" i="2"/>
  <c r="L1744" i="2"/>
  <c r="M1744" i="2" l="1"/>
  <c r="N1744" i="2"/>
  <c r="L1745" i="2"/>
  <c r="M1745" i="2" l="1"/>
  <c r="N1745" i="2"/>
  <c r="L1746" i="2"/>
  <c r="M1746" i="2" l="1"/>
  <c r="N1746" i="2"/>
  <c r="L1747" i="2"/>
  <c r="M1747" i="2" l="1"/>
  <c r="N1747" i="2"/>
  <c r="L1748" i="2"/>
  <c r="M1748" i="2" l="1"/>
  <c r="N1748" i="2"/>
  <c r="L1749" i="2"/>
  <c r="M1749" i="2" l="1"/>
  <c r="N1749" i="2"/>
  <c r="L1750" i="2"/>
  <c r="M1750" i="2" l="1"/>
  <c r="N1750" i="2"/>
  <c r="L1751" i="2"/>
  <c r="M1751" i="2" l="1"/>
  <c r="N1751" i="2"/>
  <c r="L1752" i="2"/>
  <c r="M1752" i="2" l="1"/>
  <c r="N1752" i="2"/>
  <c r="L1753" i="2"/>
  <c r="M1753" i="2" l="1"/>
  <c r="N1753" i="2"/>
  <c r="L1754" i="2"/>
  <c r="M1754" i="2" l="1"/>
  <c r="N1754" i="2"/>
  <c r="L1755" i="2"/>
  <c r="M1755" i="2" l="1"/>
  <c r="N1755" i="2"/>
  <c r="L1756" i="2"/>
  <c r="M1756" i="2" l="1"/>
  <c r="N1756" i="2"/>
  <c r="L1757" i="2"/>
  <c r="M1757" i="2" l="1"/>
  <c r="N1757" i="2"/>
  <c r="L1758" i="2"/>
  <c r="M1758" i="2" l="1"/>
  <c r="N1758" i="2"/>
  <c r="L1759" i="2"/>
  <c r="M1759" i="2" l="1"/>
  <c r="N1759" i="2"/>
  <c r="L1760" i="2"/>
  <c r="M1760" i="2" l="1"/>
  <c r="N1760" i="2"/>
  <c r="L1761" i="2"/>
  <c r="M1761" i="2" l="1"/>
  <c r="N1761" i="2"/>
  <c r="L1762" i="2"/>
  <c r="M1762" i="2" l="1"/>
  <c r="N1762" i="2"/>
  <c r="L1763" i="2"/>
  <c r="M1763" i="2" l="1"/>
  <c r="N1763" i="2"/>
  <c r="L1764" i="2"/>
  <c r="M1764" i="2" l="1"/>
  <c r="N1764" i="2"/>
  <c r="L1765" i="2"/>
  <c r="M1765" i="2" l="1"/>
  <c r="N1765" i="2"/>
  <c r="L1766" i="2"/>
  <c r="M1766" i="2" l="1"/>
  <c r="N1766" i="2"/>
  <c r="L1767" i="2"/>
  <c r="M1767" i="2" l="1"/>
  <c r="N1767" i="2"/>
  <c r="L1768" i="2"/>
  <c r="M1768" i="2" l="1"/>
  <c r="N1768" i="2"/>
  <c r="L1769" i="2"/>
  <c r="M1769" i="2" l="1"/>
  <c r="N1769" i="2"/>
  <c r="L1770" i="2"/>
  <c r="M1770" i="2" l="1"/>
  <c r="N1770" i="2"/>
  <c r="L1771" i="2"/>
  <c r="M1771" i="2" l="1"/>
  <c r="N1771" i="2"/>
  <c r="L1772" i="2"/>
  <c r="M1772" i="2" l="1"/>
  <c r="N1772" i="2"/>
  <c r="L1773" i="2"/>
  <c r="M1773" i="2" l="1"/>
  <c r="N1773" i="2"/>
  <c r="L1774" i="2"/>
  <c r="M1774" i="2" l="1"/>
  <c r="N1774" i="2"/>
  <c r="L1775" i="2"/>
  <c r="M1775" i="2" l="1"/>
  <c r="N1775" i="2"/>
  <c r="L1776" i="2"/>
  <c r="M1776" i="2" l="1"/>
  <c r="N1776" i="2"/>
  <c r="L1777" i="2"/>
  <c r="M1777" i="2" l="1"/>
  <c r="N1777" i="2"/>
  <c r="L1778" i="2"/>
  <c r="M1778" i="2" l="1"/>
  <c r="N1778" i="2"/>
  <c r="L1779" i="2"/>
  <c r="M1779" i="2" l="1"/>
  <c r="N1779" i="2"/>
  <c r="L1780" i="2"/>
  <c r="M1780" i="2" l="1"/>
  <c r="N1780" i="2"/>
  <c r="L1781" i="2"/>
  <c r="M1781" i="2" l="1"/>
  <c r="N1781" i="2"/>
  <c r="L1782" i="2"/>
  <c r="M1782" i="2" l="1"/>
  <c r="N1782" i="2"/>
  <c r="L1783" i="2"/>
  <c r="M1783" i="2" l="1"/>
  <c r="N1783" i="2"/>
  <c r="L1784" i="2"/>
  <c r="M1784" i="2" l="1"/>
  <c r="N1784" i="2"/>
  <c r="L1785" i="2"/>
  <c r="M1785" i="2" l="1"/>
  <c r="N1785" i="2"/>
  <c r="L1786" i="2"/>
  <c r="M1786" i="2" l="1"/>
  <c r="N1786" i="2"/>
  <c r="L1787" i="2"/>
  <c r="M1787" i="2" l="1"/>
  <c r="N1787" i="2"/>
  <c r="L1788" i="2"/>
  <c r="M1788" i="2" l="1"/>
  <c r="N1788" i="2"/>
  <c r="L1789" i="2"/>
  <c r="M1789" i="2" l="1"/>
  <c r="N1789" i="2"/>
  <c r="L1790" i="2"/>
  <c r="M1790" i="2" l="1"/>
  <c r="N1790" i="2"/>
  <c r="L1791" i="2"/>
  <c r="M1791" i="2" l="1"/>
  <c r="N1791" i="2"/>
  <c r="L1792" i="2"/>
  <c r="M1792" i="2" l="1"/>
  <c r="N1792" i="2"/>
  <c r="L1793" i="2"/>
  <c r="M1793" i="2" l="1"/>
  <c r="N1793" i="2"/>
  <c r="L1794" i="2"/>
  <c r="M1794" i="2" l="1"/>
  <c r="N1794" i="2"/>
  <c r="L1795" i="2"/>
  <c r="M1795" i="2" l="1"/>
  <c r="N1795" i="2"/>
  <c r="L1796" i="2"/>
  <c r="M1796" i="2" l="1"/>
  <c r="N1796" i="2"/>
  <c r="L1797" i="2"/>
  <c r="M1797" i="2" l="1"/>
  <c r="N1797" i="2"/>
  <c r="L1798" i="2"/>
  <c r="M1798" i="2" l="1"/>
  <c r="N1798" i="2"/>
  <c r="L1799" i="2"/>
  <c r="M1799" i="2" l="1"/>
  <c r="N1799" i="2"/>
  <c r="L1800" i="2"/>
  <c r="M1800" i="2" l="1"/>
  <c r="N1800" i="2"/>
  <c r="L1801" i="2"/>
  <c r="M1801" i="2" l="1"/>
  <c r="N1801" i="2"/>
  <c r="L1802" i="2"/>
  <c r="M1802" i="2" l="1"/>
  <c r="N1802" i="2"/>
  <c r="L1803" i="2"/>
  <c r="M1803" i="2" l="1"/>
  <c r="N1803" i="2"/>
  <c r="L1804" i="2"/>
  <c r="M1804" i="2" l="1"/>
  <c r="N1804" i="2"/>
  <c r="L1805" i="2"/>
  <c r="M1805" i="2" l="1"/>
  <c r="N1805" i="2"/>
  <c r="L1806" i="2"/>
  <c r="M1806" i="2" l="1"/>
  <c r="N1806" i="2"/>
  <c r="L1807" i="2"/>
  <c r="M1807" i="2" l="1"/>
  <c r="N1807" i="2"/>
  <c r="L1808" i="2"/>
  <c r="M1808" i="2" l="1"/>
  <c r="N1808" i="2"/>
  <c r="L1809" i="2"/>
  <c r="M1809" i="2" l="1"/>
  <c r="N1809" i="2"/>
  <c r="L1810" i="2"/>
  <c r="M1810" i="2" l="1"/>
  <c r="N1810" i="2"/>
  <c r="L1811" i="2"/>
  <c r="M1811" i="2" l="1"/>
  <c r="N1811" i="2"/>
  <c r="L1812" i="2"/>
  <c r="M1812" i="2" l="1"/>
  <c r="N1812" i="2"/>
  <c r="L1813" i="2"/>
  <c r="M1813" i="2" l="1"/>
  <c r="N1813" i="2"/>
  <c r="L1814" i="2"/>
  <c r="M1814" i="2" l="1"/>
  <c r="N1814" i="2"/>
  <c r="L1815" i="2"/>
  <c r="M1815" i="2" l="1"/>
  <c r="N1815" i="2"/>
  <c r="L1816" i="2"/>
  <c r="M1816" i="2" l="1"/>
  <c r="N1816" i="2"/>
  <c r="L1817" i="2"/>
  <c r="M1817" i="2" l="1"/>
  <c r="N1817" i="2"/>
  <c r="L1818" i="2"/>
  <c r="M1818" i="2" l="1"/>
  <c r="N1818" i="2"/>
  <c r="L1819" i="2"/>
  <c r="M1819" i="2" l="1"/>
  <c r="N1819" i="2"/>
  <c r="L1820" i="2"/>
  <c r="M1820" i="2" l="1"/>
  <c r="N1820" i="2"/>
  <c r="L1821" i="2"/>
  <c r="M1821" i="2" l="1"/>
  <c r="N1821" i="2"/>
  <c r="L1822" i="2"/>
  <c r="M1822" i="2" l="1"/>
  <c r="N1822" i="2"/>
  <c r="L1823" i="2"/>
  <c r="M1823" i="2" l="1"/>
  <c r="N1823" i="2"/>
  <c r="L1824" i="2"/>
  <c r="M1824" i="2" l="1"/>
  <c r="N1824" i="2"/>
  <c r="L1825" i="2"/>
  <c r="M1825" i="2" l="1"/>
  <c r="N1825" i="2"/>
  <c r="L1826" i="2"/>
  <c r="M1826" i="2" l="1"/>
  <c r="N1826" i="2"/>
  <c r="L1827" i="2"/>
  <c r="M1827" i="2" l="1"/>
  <c r="N1827" i="2"/>
  <c r="L1828" i="2"/>
  <c r="M1828" i="2" l="1"/>
  <c r="N1828" i="2"/>
  <c r="L1829" i="2"/>
  <c r="M1829" i="2" l="1"/>
  <c r="N1829" i="2"/>
  <c r="L1830" i="2"/>
  <c r="M1830" i="2" l="1"/>
  <c r="N1830" i="2"/>
  <c r="L1831" i="2"/>
  <c r="M1831" i="2" l="1"/>
  <c r="N1831" i="2"/>
  <c r="L1832" i="2"/>
  <c r="M1832" i="2" l="1"/>
  <c r="N1832" i="2"/>
  <c r="L1833" i="2"/>
  <c r="M1833" i="2" l="1"/>
  <c r="N1833" i="2"/>
  <c r="L1834" i="2"/>
  <c r="M1834" i="2" l="1"/>
  <c r="N1834" i="2"/>
  <c r="L1835" i="2"/>
  <c r="M1835" i="2" l="1"/>
  <c r="N1835" i="2"/>
  <c r="L1836" i="2"/>
  <c r="M1836" i="2" l="1"/>
  <c r="N1836" i="2"/>
  <c r="L1837" i="2"/>
  <c r="M1837" i="2" l="1"/>
  <c r="N1837" i="2"/>
  <c r="L1838" i="2"/>
  <c r="M1838" i="2" l="1"/>
  <c r="N1838" i="2"/>
  <c r="L1839" i="2"/>
  <c r="M1839" i="2" l="1"/>
  <c r="N1839" i="2"/>
  <c r="L1840" i="2"/>
  <c r="M1840" i="2" l="1"/>
  <c r="N1840" i="2"/>
  <c r="L1841" i="2"/>
  <c r="M1841" i="2" l="1"/>
  <c r="N1841" i="2"/>
  <c r="L1842" i="2"/>
  <c r="M1842" i="2" l="1"/>
  <c r="N1842" i="2"/>
  <c r="L1843" i="2"/>
  <c r="M1843" i="2" l="1"/>
  <c r="N1843" i="2"/>
  <c r="L1844" i="2"/>
  <c r="M1844" i="2" l="1"/>
  <c r="N1844" i="2"/>
  <c r="L1845" i="2"/>
  <c r="M1845" i="2" l="1"/>
  <c r="N1845" i="2"/>
  <c r="L1846" i="2"/>
  <c r="M1846" i="2" l="1"/>
  <c r="N1846" i="2"/>
  <c r="L1847" i="2"/>
  <c r="M1847" i="2" l="1"/>
  <c r="N1847" i="2"/>
  <c r="L1848" i="2"/>
  <c r="M1848" i="2" l="1"/>
  <c r="N1848" i="2"/>
  <c r="L1849" i="2"/>
  <c r="M1849" i="2" l="1"/>
  <c r="N1849" i="2"/>
  <c r="L1850" i="2"/>
  <c r="M1850" i="2" l="1"/>
  <c r="N1850" i="2"/>
  <c r="L1851" i="2"/>
  <c r="M1851" i="2" l="1"/>
  <c r="N1851" i="2"/>
  <c r="L1852" i="2"/>
  <c r="M1852" i="2" l="1"/>
  <c r="N1852" i="2"/>
  <c r="L1853" i="2"/>
  <c r="M1853" i="2" l="1"/>
  <c r="N1853" i="2"/>
  <c r="L1854" i="2"/>
  <c r="M1854" i="2" l="1"/>
  <c r="N1854" i="2"/>
  <c r="L1855" i="2"/>
  <c r="M1855" i="2" l="1"/>
  <c r="N1855" i="2"/>
  <c r="L1856" i="2"/>
  <c r="M1856" i="2" l="1"/>
  <c r="N1856" i="2"/>
  <c r="L1857" i="2"/>
  <c r="M1857" i="2" l="1"/>
  <c r="N1857" i="2"/>
  <c r="L1858" i="2"/>
  <c r="M1858" i="2" l="1"/>
  <c r="N1858" i="2"/>
  <c r="L1859" i="2"/>
  <c r="M1859" i="2" l="1"/>
  <c r="N1859" i="2"/>
  <c r="L1860" i="2"/>
  <c r="M1860" i="2" l="1"/>
  <c r="N1860" i="2"/>
  <c r="L1861" i="2"/>
  <c r="M1861" i="2" l="1"/>
  <c r="N1861" i="2"/>
  <c r="L1862" i="2"/>
  <c r="M1862" i="2" l="1"/>
  <c r="N1862" i="2"/>
  <c r="L1863" i="2"/>
  <c r="M1863" i="2" l="1"/>
  <c r="N1863" i="2"/>
  <c r="L1864" i="2"/>
  <c r="M1864" i="2" l="1"/>
  <c r="N1864" i="2"/>
  <c r="L1865" i="2"/>
  <c r="M1865" i="2" l="1"/>
  <c r="N1865" i="2"/>
  <c r="L1866" i="2"/>
  <c r="M1866" i="2" l="1"/>
  <c r="N1866" i="2"/>
  <c r="L1867" i="2"/>
  <c r="M1867" i="2" l="1"/>
  <c r="N1867" i="2"/>
  <c r="L1868" i="2"/>
  <c r="M1868" i="2" l="1"/>
  <c r="N1868" i="2"/>
  <c r="L1869" i="2"/>
  <c r="M1869" i="2" l="1"/>
  <c r="N1869" i="2"/>
  <c r="L1870" i="2"/>
  <c r="M1870" i="2" l="1"/>
  <c r="N1870" i="2"/>
  <c r="L1871" i="2"/>
  <c r="M1871" i="2" l="1"/>
  <c r="N1871" i="2"/>
  <c r="L1872" i="2"/>
  <c r="M1872" i="2" l="1"/>
  <c r="N1872" i="2"/>
  <c r="L1873" i="2"/>
  <c r="M1873" i="2" l="1"/>
  <c r="N1873" i="2"/>
  <c r="L1874" i="2"/>
  <c r="M1874" i="2" l="1"/>
  <c r="N1874" i="2"/>
  <c r="L1875" i="2"/>
  <c r="M1875" i="2" l="1"/>
  <c r="N1875" i="2"/>
  <c r="L1876" i="2"/>
  <c r="M1876" i="2" l="1"/>
  <c r="N1876" i="2"/>
  <c r="L1877" i="2"/>
  <c r="M1877" i="2" l="1"/>
  <c r="N1877" i="2"/>
  <c r="L1878" i="2"/>
  <c r="M1878" i="2" l="1"/>
  <c r="N1878" i="2"/>
  <c r="L1879" i="2"/>
  <c r="M1879" i="2" l="1"/>
  <c r="N1879" i="2"/>
  <c r="L1880" i="2"/>
  <c r="M1880" i="2" l="1"/>
  <c r="N1880" i="2"/>
  <c r="L1881" i="2"/>
  <c r="M1881" i="2" l="1"/>
  <c r="N1881" i="2"/>
  <c r="L1882" i="2"/>
  <c r="M1882" i="2" l="1"/>
  <c r="N1882" i="2"/>
  <c r="L1883" i="2"/>
  <c r="M1883" i="2" l="1"/>
  <c r="N1883" i="2"/>
  <c r="L1884" i="2"/>
  <c r="M1884" i="2" l="1"/>
  <c r="N1884" i="2"/>
  <c r="L1885" i="2"/>
  <c r="M1885" i="2" l="1"/>
  <c r="N1885" i="2"/>
  <c r="L1886" i="2"/>
  <c r="M1886" i="2" l="1"/>
  <c r="N1886" i="2"/>
  <c r="L1887" i="2"/>
  <c r="M1887" i="2" l="1"/>
  <c r="N1887" i="2"/>
  <c r="L1888" i="2"/>
  <c r="M1888" i="2" l="1"/>
  <c r="N1888" i="2"/>
  <c r="L1889" i="2"/>
  <c r="M1889" i="2" l="1"/>
  <c r="N1889" i="2"/>
  <c r="L1890" i="2"/>
  <c r="M1890" i="2" l="1"/>
  <c r="N1890" i="2"/>
  <c r="L1891" i="2"/>
  <c r="M1891" i="2" l="1"/>
  <c r="N1891" i="2"/>
  <c r="L1892" i="2"/>
  <c r="M1892" i="2" l="1"/>
  <c r="N1892" i="2"/>
  <c r="L1893" i="2"/>
  <c r="M1893" i="2" l="1"/>
  <c r="N1893" i="2"/>
  <c r="L1894" i="2"/>
  <c r="M1894" i="2" l="1"/>
  <c r="N1894" i="2"/>
  <c r="L1895" i="2"/>
  <c r="M1895" i="2" l="1"/>
  <c r="N1895" i="2"/>
  <c r="L1896" i="2"/>
  <c r="M1896" i="2" l="1"/>
  <c r="N1896" i="2"/>
  <c r="L1897" i="2"/>
  <c r="M1897" i="2" l="1"/>
  <c r="N1897" i="2"/>
  <c r="L1898" i="2"/>
  <c r="M1898" i="2" l="1"/>
  <c r="N1898" i="2"/>
  <c r="L1899" i="2"/>
  <c r="M1899" i="2" l="1"/>
  <c r="N1899" i="2"/>
  <c r="L1900" i="2"/>
  <c r="M1900" i="2" l="1"/>
  <c r="N1900" i="2"/>
  <c r="L1901" i="2"/>
  <c r="M1901" i="2" l="1"/>
  <c r="N1901" i="2"/>
  <c r="L1902" i="2"/>
  <c r="M1902" i="2" l="1"/>
  <c r="N1902" i="2"/>
  <c r="L1903" i="2"/>
  <c r="M1903" i="2" l="1"/>
  <c r="N1903" i="2"/>
  <c r="L1904" i="2"/>
  <c r="M1904" i="2" l="1"/>
  <c r="N1904" i="2"/>
  <c r="L1905" i="2"/>
  <c r="M1905" i="2" l="1"/>
  <c r="N1905" i="2"/>
  <c r="L1906" i="2"/>
  <c r="M1906" i="2" l="1"/>
  <c r="N1906" i="2"/>
  <c r="L1907" i="2"/>
  <c r="M1907" i="2" l="1"/>
  <c r="N1907" i="2"/>
  <c r="L1908" i="2"/>
  <c r="M1908" i="2" l="1"/>
  <c r="N1908" i="2"/>
  <c r="L1909" i="2"/>
  <c r="M1909" i="2" l="1"/>
  <c r="N1909" i="2"/>
  <c r="L1910" i="2"/>
  <c r="M1910" i="2" l="1"/>
  <c r="N1910" i="2"/>
  <c r="L1911" i="2"/>
  <c r="M1911" i="2" l="1"/>
  <c r="N1911" i="2"/>
  <c r="L1912" i="2"/>
  <c r="M1912" i="2" l="1"/>
  <c r="N1912" i="2"/>
  <c r="L1913" i="2"/>
  <c r="M1913" i="2" l="1"/>
  <c r="N1913" i="2"/>
  <c r="L1914" i="2"/>
  <c r="M1914" i="2" l="1"/>
  <c r="N1914" i="2"/>
  <c r="L1915" i="2"/>
  <c r="M1915" i="2" l="1"/>
  <c r="N1915" i="2"/>
  <c r="L1916" i="2"/>
  <c r="M1916" i="2" l="1"/>
  <c r="N1916" i="2"/>
  <c r="L1917" i="2"/>
  <c r="M1917" i="2" l="1"/>
  <c r="N1917" i="2"/>
  <c r="L1918" i="2"/>
  <c r="M1918" i="2" l="1"/>
  <c r="N1918" i="2"/>
  <c r="L1919" i="2"/>
  <c r="M1919" i="2" l="1"/>
  <c r="N1919" i="2"/>
  <c r="L1920" i="2"/>
  <c r="M1920" i="2" l="1"/>
  <c r="N1920" i="2"/>
  <c r="L1921" i="2"/>
  <c r="M1921" i="2" l="1"/>
  <c r="N1921" i="2"/>
  <c r="L1922" i="2"/>
  <c r="M1922" i="2" l="1"/>
  <c r="N1922" i="2"/>
  <c r="L1923" i="2"/>
  <c r="M1923" i="2" l="1"/>
  <c r="B14" i="4" s="1"/>
  <c r="N1923" i="2"/>
  <c r="B1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<sst xmlns="http://schemas.openxmlformats.org/spreadsheetml/2006/main" count="88" uniqueCount="54">
  <si>
    <t>Date</t>
  </si>
  <si>
    <t>Reliance</t>
  </si>
  <si>
    <t>TCS</t>
  </si>
  <si>
    <t>HDFC Bank</t>
  </si>
  <si>
    <t>Infosys</t>
  </si>
  <si>
    <t>ITC</t>
  </si>
  <si>
    <t>Maruti Suzuki</t>
  </si>
  <si>
    <t>Sun Pharma</t>
  </si>
  <si>
    <t>L&amp;T</t>
  </si>
  <si>
    <t>Nifty 50</t>
  </si>
  <si>
    <t>Metric</t>
  </si>
  <si>
    <t>Quantity</t>
  </si>
  <si>
    <t>Latest Price</t>
  </si>
  <si>
    <t>Value</t>
  </si>
  <si>
    <t>Weight</t>
  </si>
  <si>
    <t>Beta vs Nifty</t>
  </si>
  <si>
    <t>Risk contribution</t>
  </si>
  <si>
    <t xml:space="preserve">Portfolio Return </t>
  </si>
  <si>
    <t>Portfolio Index</t>
  </si>
  <si>
    <t>Drawdown</t>
  </si>
  <si>
    <t>21-day return</t>
  </si>
  <si>
    <t>Portfolio value (Rs)</t>
  </si>
  <si>
    <t>Metric </t>
  </si>
  <si>
    <t>Daily volatility</t>
  </si>
  <si>
    <t>Annualized volatility</t>
  </si>
  <si>
    <t>Historical VaR 95%, 1 day (Rs)</t>
  </si>
  <si>
    <t>Historical VaR 99%, 1 day (%)</t>
  </si>
  <si>
    <t>Historical VaR 99%, 1 day (Rs)</t>
  </si>
  <si>
    <t>Parametric VaR 95%, 1 day (%)</t>
  </si>
  <si>
    <t>Expected shortfall (CVaR) 95% (%)</t>
  </si>
  <si>
    <t>Expected shortfall (CVaR) 95% (Rs)</t>
  </si>
  <si>
    <t>10-day VaR 95% (Rs)</t>
  </si>
  <si>
    <t>Backtest: share of days worse than VaR</t>
  </si>
  <si>
    <t>Maximum drawdown</t>
  </si>
  <si>
    <t>Worst 1-month return</t>
  </si>
  <si>
    <t>Historical VaR 95%, 1 day (%)</t>
  </si>
  <si>
    <t>Scenario</t>
  </si>
  <si>
    <t>Start</t>
  </si>
  <si>
    <t>End</t>
  </si>
  <si>
    <t>Portfolio Return</t>
  </si>
  <si>
    <t>Loss</t>
  </si>
  <si>
    <t>Nifty Return</t>
  </si>
  <si>
    <t>COVID crash</t>
  </si>
  <si>
    <t>2022 rate-hike sell-off</t>
  </si>
  <si>
    <t>2024-25 correction</t>
  </si>
  <si>
    <t>IT sector -15%</t>
  </si>
  <si>
    <t>Banking -25%</t>
  </si>
  <si>
    <t>Hypothetical Shocks</t>
  </si>
  <si>
    <t>Portfolio Impact</t>
  </si>
  <si>
    <t>Market falls 10%</t>
  </si>
  <si>
    <t>Banking Sector -25%</t>
  </si>
  <si>
    <t>Stock</t>
  </si>
  <si>
    <t xml:space="preserve">Risk Contribution 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</si>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</sst>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>
    <font>
      <sz val="11"/>
      <color theme="1"/>
      <name val="Calibri "/>
      <family val="2"/>
    </font>
    <font>
      <sz val="11"/>
      <color theme="1"/>
      <name val="Calibri "/>
      <family val="2"/>
    </font>
    <font>
      <sz val="10"/>
      <color theme="1"/>
      <name val="Arial Unicode MS"/>
    </font>
    <font>
      <sz val="8"/>
      <name val="Calibri "/>
      <family val="2"/>
    </font>
    <font>
      <sz val="11"/>
      <color rgb="FF000000"/>
      <name val="Google Sans Text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/>
    <xf numFmtId="0" fontId="2" fillId="0" borderId="0" xfId="0" applyFont="1"/>
    <xf numFmtId="9" fontId="2" fillId="0" borderId="0" xfId="2" applyFont="1"/>
    <xf numFmtId="0" fontId="0" fillId="0" borderId="0" xfId="0" applyAlignment="1">
      <alignment vertical="center" wrapText="1"/>
    </xf>
    <xf numFmtId="2" fontId="2" fillId="0" borderId="0" xfId="2" applyNumberFormat="1" applyFont="1"/>
    <xf numFmtId="9" fontId="0" fillId="0" borderId="0" xfId="2" applyFont="1"/>
    <xf numFmtId="9" fontId="0" fillId="0" borderId="0" xfId="0" applyNumberFormat="1"/>
    <xf numFmtId="0" fontId="4" fillId="0" borderId="0" xfId="0" applyFont="1"/>
    <xf numFmtId="15" fontId="0" fillId="0" borderId="0" xfId="0" applyNumberFormat="1" applyAlignment="1">
      <alignment vertical="center" wrapText="1"/>
    </xf>
    <xf numFmtId="14" fontId="5" fillId="0" borderId="0" xfId="0" applyNumberFormat="1" applyFont="1"/>
    <xf numFmtId="14" fontId="6" fillId="0" borderId="0" xfId="0" applyNumberFormat="1" applyFont="1"/>
    <xf numFmtId="43" fontId="2" fillId="0" borderId="0" xfId="1" applyFont="1"/>
    <xf numFmtId="0" fontId="2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1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Portfolio drawdown from peak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returns!$M$1</c:f>
              <c:strCache>
                <c:ptCount val="1"/>
                <c:pt idx="0">
                  <c:v>Drawdown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returns!$A$2:$A$1924</c:f>
              <c:numCache>
                <c:formatCode>m/d/yyyy</c:formatCode>
                <c:ptCount val="1923"/>
                <c:pt idx="0">
                  <c:v>43468</c:v>
                </c:pt>
                <c:pt idx="1">
                  <c:v>43469</c:v>
                </c:pt>
                <c:pt idx="2">
                  <c:v>43472</c:v>
                </c:pt>
                <c:pt idx="3">
                  <c:v>43473</c:v>
                </c:pt>
                <c:pt idx="4">
                  <c:v>43474</c:v>
                </c:pt>
                <c:pt idx="5">
                  <c:v>43475</c:v>
                </c:pt>
                <c:pt idx="6">
                  <c:v>43476</c:v>
                </c:pt>
                <c:pt idx="7">
                  <c:v>43479</c:v>
                </c:pt>
                <c:pt idx="8">
                  <c:v>43480</c:v>
                </c:pt>
                <c:pt idx="9">
                  <c:v>43481</c:v>
                </c:pt>
                <c:pt idx="10">
                  <c:v>43482</c:v>
                </c:pt>
                <c:pt idx="11">
                  <c:v>43483</c:v>
                </c:pt>
                <c:pt idx="12">
                  <c:v>43486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43510</c:v>
                </c:pt>
                <c:pt idx="30">
                  <c:v>43511</c:v>
                </c:pt>
                <c:pt idx="31">
                  <c:v>43514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43529</c:v>
                </c:pt>
                <c:pt idx="42">
                  <c:v>43530</c:v>
                </c:pt>
                <c:pt idx="43">
                  <c:v>43531</c:v>
                </c:pt>
                <c:pt idx="44">
                  <c:v>43532</c:v>
                </c:pt>
                <c:pt idx="45">
                  <c:v>43535</c:v>
                </c:pt>
                <c:pt idx="46">
                  <c:v>43536</c:v>
                </c:pt>
                <c:pt idx="47">
                  <c:v>43537</c:v>
                </c:pt>
                <c:pt idx="48">
                  <c:v>43538</c:v>
                </c:pt>
                <c:pt idx="49">
                  <c:v>43539</c:v>
                </c:pt>
                <c:pt idx="50">
                  <c:v>43542</c:v>
                </c:pt>
                <c:pt idx="51">
                  <c:v>43543</c:v>
                </c:pt>
                <c:pt idx="52">
                  <c:v>43544</c:v>
                </c:pt>
                <c:pt idx="53">
                  <c:v>43546</c:v>
                </c:pt>
                <c:pt idx="54">
                  <c:v>43549</c:v>
                </c:pt>
                <c:pt idx="55">
                  <c:v>43550</c:v>
                </c:pt>
                <c:pt idx="56">
                  <c:v>43551</c:v>
                </c:pt>
                <c:pt idx="57">
                  <c:v>43552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43560</c:v>
                </c:pt>
                <c:pt idx="63">
                  <c:v>43563</c:v>
                </c:pt>
                <c:pt idx="64">
                  <c:v>43564</c:v>
                </c:pt>
                <c:pt idx="65">
                  <c:v>43565</c:v>
                </c:pt>
                <c:pt idx="66">
                  <c:v>43566</c:v>
                </c:pt>
                <c:pt idx="67">
                  <c:v>43567</c:v>
                </c:pt>
                <c:pt idx="68">
                  <c:v>43570</c:v>
                </c:pt>
                <c:pt idx="69">
                  <c:v>43571</c:v>
                </c:pt>
                <c:pt idx="70">
                  <c:v>43573</c:v>
                </c:pt>
                <c:pt idx="71">
                  <c:v>43577</c:v>
                </c:pt>
                <c:pt idx="72">
                  <c:v>43578</c:v>
                </c:pt>
                <c:pt idx="73">
                  <c:v>43579</c:v>
                </c:pt>
                <c:pt idx="74">
                  <c:v>43580</c:v>
                </c:pt>
                <c:pt idx="75">
                  <c:v>43581</c:v>
                </c:pt>
                <c:pt idx="76">
                  <c:v>43585</c:v>
                </c:pt>
                <c:pt idx="77">
                  <c:v>43587</c:v>
                </c:pt>
                <c:pt idx="78">
                  <c:v>43588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43622</c:v>
                </c:pt>
                <c:pt idx="102">
                  <c:v>43623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43690</c:v>
                </c:pt>
                <c:pt idx="149">
                  <c:v>43691</c:v>
                </c:pt>
                <c:pt idx="150">
                  <c:v>43693</c:v>
                </c:pt>
                <c:pt idx="151">
                  <c:v>43696</c:v>
                </c:pt>
                <c:pt idx="152">
                  <c:v>43697</c:v>
                </c:pt>
                <c:pt idx="153">
                  <c:v>43698</c:v>
                </c:pt>
                <c:pt idx="154">
                  <c:v>43699</c:v>
                </c:pt>
                <c:pt idx="155">
                  <c:v>43700</c:v>
                </c:pt>
                <c:pt idx="156">
                  <c:v>43703</c:v>
                </c:pt>
                <c:pt idx="157">
                  <c:v>43704</c:v>
                </c:pt>
                <c:pt idx="158">
                  <c:v>43705</c:v>
                </c:pt>
                <c:pt idx="159">
                  <c:v>43706</c:v>
                </c:pt>
                <c:pt idx="160">
                  <c:v>43707</c:v>
                </c:pt>
                <c:pt idx="161">
                  <c:v>43711</c:v>
                </c:pt>
                <c:pt idx="162">
                  <c:v>43712</c:v>
                </c:pt>
                <c:pt idx="163">
                  <c:v>43713</c:v>
                </c:pt>
                <c:pt idx="164">
                  <c:v>43714</c:v>
                </c:pt>
                <c:pt idx="165">
                  <c:v>43717</c:v>
                </c:pt>
                <c:pt idx="166">
                  <c:v>43719</c:v>
                </c:pt>
                <c:pt idx="167">
                  <c:v>43720</c:v>
                </c:pt>
                <c:pt idx="168">
                  <c:v>43721</c:v>
                </c:pt>
                <c:pt idx="169">
                  <c:v>43724</c:v>
                </c:pt>
                <c:pt idx="170">
                  <c:v>43725</c:v>
                </c:pt>
                <c:pt idx="171">
                  <c:v>43726</c:v>
                </c:pt>
                <c:pt idx="172">
                  <c:v>43727</c:v>
                </c:pt>
                <c:pt idx="173">
                  <c:v>43728</c:v>
                </c:pt>
                <c:pt idx="174">
                  <c:v>43731</c:v>
                </c:pt>
                <c:pt idx="175">
                  <c:v>43732</c:v>
                </c:pt>
                <c:pt idx="176">
                  <c:v>43733</c:v>
                </c:pt>
                <c:pt idx="177">
                  <c:v>43734</c:v>
                </c:pt>
                <c:pt idx="178">
                  <c:v>43735</c:v>
                </c:pt>
                <c:pt idx="179">
                  <c:v>43738</c:v>
                </c:pt>
                <c:pt idx="180">
                  <c:v>43739</c:v>
                </c:pt>
                <c:pt idx="181">
                  <c:v>43741</c:v>
                </c:pt>
                <c:pt idx="182">
                  <c:v>43742</c:v>
                </c:pt>
                <c:pt idx="183">
                  <c:v>43745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43760</c:v>
                </c:pt>
                <c:pt idx="193">
                  <c:v>43761</c:v>
                </c:pt>
                <c:pt idx="194">
                  <c:v>43762</c:v>
                </c:pt>
                <c:pt idx="195">
                  <c:v>43763</c:v>
                </c:pt>
                <c:pt idx="196">
                  <c:v>43765</c:v>
                </c:pt>
                <c:pt idx="197">
                  <c:v>43767</c:v>
                </c:pt>
                <c:pt idx="198">
                  <c:v>43768</c:v>
                </c:pt>
                <c:pt idx="199">
                  <c:v>43769</c:v>
                </c:pt>
                <c:pt idx="200">
                  <c:v>43770</c:v>
                </c:pt>
                <c:pt idx="201">
                  <c:v>43773</c:v>
                </c:pt>
                <c:pt idx="202">
                  <c:v>43774</c:v>
                </c:pt>
                <c:pt idx="203">
                  <c:v>43775</c:v>
                </c:pt>
                <c:pt idx="204">
                  <c:v>43776</c:v>
                </c:pt>
                <c:pt idx="205">
                  <c:v>43777</c:v>
                </c:pt>
                <c:pt idx="206">
                  <c:v>43780</c:v>
                </c:pt>
                <c:pt idx="207">
                  <c:v>43782</c:v>
                </c:pt>
                <c:pt idx="208">
                  <c:v>43783</c:v>
                </c:pt>
                <c:pt idx="209">
                  <c:v>43784</c:v>
                </c:pt>
                <c:pt idx="210">
                  <c:v>43787</c:v>
                </c:pt>
                <c:pt idx="211">
                  <c:v>43788</c:v>
                </c:pt>
                <c:pt idx="212">
                  <c:v>43789</c:v>
                </c:pt>
                <c:pt idx="213">
                  <c:v>43790</c:v>
                </c:pt>
                <c:pt idx="214">
                  <c:v>43791</c:v>
                </c:pt>
                <c:pt idx="215">
                  <c:v>43794</c:v>
                </c:pt>
                <c:pt idx="216">
                  <c:v>43795</c:v>
                </c:pt>
                <c:pt idx="217">
                  <c:v>43796</c:v>
                </c:pt>
                <c:pt idx="218">
                  <c:v>43797</c:v>
                </c:pt>
                <c:pt idx="219">
                  <c:v>43798</c:v>
                </c:pt>
                <c:pt idx="220">
                  <c:v>43801</c:v>
                </c:pt>
                <c:pt idx="221">
                  <c:v>43802</c:v>
                </c:pt>
                <c:pt idx="222">
                  <c:v>43803</c:v>
                </c:pt>
                <c:pt idx="223">
                  <c:v>43804</c:v>
                </c:pt>
                <c:pt idx="224">
                  <c:v>43805</c:v>
                </c:pt>
                <c:pt idx="225">
                  <c:v>43808</c:v>
                </c:pt>
                <c:pt idx="226">
                  <c:v>43809</c:v>
                </c:pt>
                <c:pt idx="227">
                  <c:v>43810</c:v>
                </c:pt>
                <c:pt idx="228">
                  <c:v>43811</c:v>
                </c:pt>
                <c:pt idx="229">
                  <c:v>43812</c:v>
                </c:pt>
                <c:pt idx="230">
                  <c:v>43815</c:v>
                </c:pt>
                <c:pt idx="231">
                  <c:v>43816</c:v>
                </c:pt>
                <c:pt idx="232">
                  <c:v>43817</c:v>
                </c:pt>
                <c:pt idx="233">
                  <c:v>43818</c:v>
                </c:pt>
                <c:pt idx="234">
                  <c:v>43819</c:v>
                </c:pt>
                <c:pt idx="235">
                  <c:v>43822</c:v>
                </c:pt>
                <c:pt idx="236">
                  <c:v>43823</c:v>
                </c:pt>
                <c:pt idx="237">
                  <c:v>43825</c:v>
                </c:pt>
                <c:pt idx="238">
                  <c:v>43826</c:v>
                </c:pt>
                <c:pt idx="239">
                  <c:v>43829</c:v>
                </c:pt>
                <c:pt idx="240">
                  <c:v>43830</c:v>
                </c:pt>
                <c:pt idx="241">
                  <c:v>43831</c:v>
                </c:pt>
                <c:pt idx="242">
                  <c:v>43832</c:v>
                </c:pt>
                <c:pt idx="243">
                  <c:v>43833</c:v>
                </c:pt>
                <c:pt idx="244">
                  <c:v>43836</c:v>
                </c:pt>
                <c:pt idx="245">
                  <c:v>43837</c:v>
                </c:pt>
                <c:pt idx="246">
                  <c:v>43838</c:v>
                </c:pt>
                <c:pt idx="247">
                  <c:v>43839</c:v>
                </c:pt>
                <c:pt idx="248">
                  <c:v>43840</c:v>
                </c:pt>
                <c:pt idx="249">
                  <c:v>43843</c:v>
                </c:pt>
                <c:pt idx="250">
                  <c:v>43844</c:v>
                </c:pt>
                <c:pt idx="251">
                  <c:v>43845</c:v>
                </c:pt>
                <c:pt idx="252">
                  <c:v>43846</c:v>
                </c:pt>
                <c:pt idx="253">
                  <c:v>43847</c:v>
                </c:pt>
                <c:pt idx="254">
                  <c:v>43850</c:v>
                </c:pt>
                <c:pt idx="255">
                  <c:v>43851</c:v>
                </c:pt>
                <c:pt idx="256">
                  <c:v>43852</c:v>
                </c:pt>
                <c:pt idx="257">
                  <c:v>43853</c:v>
                </c:pt>
                <c:pt idx="258">
                  <c:v>43854</c:v>
                </c:pt>
                <c:pt idx="259">
                  <c:v>43857</c:v>
                </c:pt>
                <c:pt idx="260">
                  <c:v>43858</c:v>
                </c:pt>
                <c:pt idx="261">
                  <c:v>43859</c:v>
                </c:pt>
                <c:pt idx="262">
                  <c:v>43860</c:v>
                </c:pt>
                <c:pt idx="263">
                  <c:v>43861</c:v>
                </c:pt>
                <c:pt idx="264">
                  <c:v>43864</c:v>
                </c:pt>
                <c:pt idx="265">
                  <c:v>43865</c:v>
                </c:pt>
                <c:pt idx="266">
                  <c:v>43866</c:v>
                </c:pt>
                <c:pt idx="267">
                  <c:v>43867</c:v>
                </c:pt>
                <c:pt idx="268">
                  <c:v>43868</c:v>
                </c:pt>
                <c:pt idx="269">
                  <c:v>43871</c:v>
                </c:pt>
                <c:pt idx="270">
                  <c:v>43872</c:v>
                </c:pt>
                <c:pt idx="271">
                  <c:v>43873</c:v>
                </c:pt>
                <c:pt idx="272">
                  <c:v>43874</c:v>
                </c:pt>
                <c:pt idx="273">
                  <c:v>43875</c:v>
                </c:pt>
                <c:pt idx="274">
                  <c:v>43878</c:v>
                </c:pt>
                <c:pt idx="275">
                  <c:v>43879</c:v>
                </c:pt>
                <c:pt idx="276">
                  <c:v>43880</c:v>
                </c:pt>
                <c:pt idx="277">
                  <c:v>43881</c:v>
                </c:pt>
                <c:pt idx="278">
                  <c:v>43885</c:v>
                </c:pt>
                <c:pt idx="279">
                  <c:v>43886</c:v>
                </c:pt>
                <c:pt idx="280">
                  <c:v>43887</c:v>
                </c:pt>
                <c:pt idx="281">
                  <c:v>43888</c:v>
                </c:pt>
                <c:pt idx="282">
                  <c:v>43889</c:v>
                </c:pt>
                <c:pt idx="283">
                  <c:v>43892</c:v>
                </c:pt>
                <c:pt idx="284">
                  <c:v>43893</c:v>
                </c:pt>
                <c:pt idx="285">
                  <c:v>43894</c:v>
                </c:pt>
                <c:pt idx="286">
                  <c:v>43895</c:v>
                </c:pt>
                <c:pt idx="287">
                  <c:v>43896</c:v>
                </c:pt>
                <c:pt idx="288">
                  <c:v>43899</c:v>
                </c:pt>
                <c:pt idx="289">
                  <c:v>43901</c:v>
                </c:pt>
                <c:pt idx="290">
                  <c:v>43902</c:v>
                </c:pt>
                <c:pt idx="291">
                  <c:v>43903</c:v>
                </c:pt>
                <c:pt idx="292">
                  <c:v>43906</c:v>
                </c:pt>
                <c:pt idx="293">
                  <c:v>43907</c:v>
                </c:pt>
                <c:pt idx="294">
                  <c:v>43908</c:v>
                </c:pt>
                <c:pt idx="295">
                  <c:v>43909</c:v>
                </c:pt>
                <c:pt idx="296">
                  <c:v>43910</c:v>
                </c:pt>
                <c:pt idx="297">
                  <c:v>43913</c:v>
                </c:pt>
                <c:pt idx="298">
                  <c:v>43914</c:v>
                </c:pt>
                <c:pt idx="299">
                  <c:v>43915</c:v>
                </c:pt>
                <c:pt idx="300">
                  <c:v>43916</c:v>
                </c:pt>
                <c:pt idx="301">
                  <c:v>43917</c:v>
                </c:pt>
                <c:pt idx="302">
                  <c:v>43920</c:v>
                </c:pt>
                <c:pt idx="303">
                  <c:v>43921</c:v>
                </c:pt>
                <c:pt idx="304">
                  <c:v>43922</c:v>
                </c:pt>
                <c:pt idx="305">
                  <c:v>43924</c:v>
                </c:pt>
                <c:pt idx="306">
                  <c:v>43928</c:v>
                </c:pt>
                <c:pt idx="307">
                  <c:v>43929</c:v>
                </c:pt>
                <c:pt idx="308">
                  <c:v>43930</c:v>
                </c:pt>
                <c:pt idx="309">
                  <c:v>43934</c:v>
                </c:pt>
                <c:pt idx="310">
                  <c:v>43936</c:v>
                </c:pt>
                <c:pt idx="311">
                  <c:v>43937</c:v>
                </c:pt>
                <c:pt idx="312">
                  <c:v>43938</c:v>
                </c:pt>
                <c:pt idx="313">
                  <c:v>43941</c:v>
                </c:pt>
                <c:pt idx="314">
                  <c:v>43942</c:v>
                </c:pt>
                <c:pt idx="315">
                  <c:v>43943</c:v>
                </c:pt>
                <c:pt idx="316">
                  <c:v>43944</c:v>
                </c:pt>
                <c:pt idx="317">
                  <c:v>43945</c:v>
                </c:pt>
                <c:pt idx="318">
                  <c:v>43948</c:v>
                </c:pt>
                <c:pt idx="319">
                  <c:v>43949</c:v>
                </c:pt>
                <c:pt idx="320">
                  <c:v>43950</c:v>
                </c:pt>
                <c:pt idx="321">
                  <c:v>43951</c:v>
                </c:pt>
                <c:pt idx="322">
                  <c:v>43955</c:v>
                </c:pt>
                <c:pt idx="323">
                  <c:v>43956</c:v>
                </c:pt>
                <c:pt idx="324">
                  <c:v>43957</c:v>
                </c:pt>
                <c:pt idx="325">
                  <c:v>43958</c:v>
                </c:pt>
                <c:pt idx="326">
                  <c:v>43959</c:v>
                </c:pt>
                <c:pt idx="327">
                  <c:v>43962</c:v>
                </c:pt>
                <c:pt idx="328">
                  <c:v>43963</c:v>
                </c:pt>
                <c:pt idx="329">
                  <c:v>43964</c:v>
                </c:pt>
                <c:pt idx="330">
                  <c:v>43965</c:v>
                </c:pt>
                <c:pt idx="331">
                  <c:v>43966</c:v>
                </c:pt>
                <c:pt idx="332">
                  <c:v>43969</c:v>
                </c:pt>
                <c:pt idx="333">
                  <c:v>43970</c:v>
                </c:pt>
                <c:pt idx="334">
                  <c:v>43971</c:v>
                </c:pt>
                <c:pt idx="335">
                  <c:v>43972</c:v>
                </c:pt>
                <c:pt idx="336">
                  <c:v>43973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44007</c:v>
                </c:pt>
                <c:pt idx="360">
                  <c:v>44008</c:v>
                </c:pt>
                <c:pt idx="361">
                  <c:v>44011</c:v>
                </c:pt>
                <c:pt idx="362">
                  <c:v>44012</c:v>
                </c:pt>
                <c:pt idx="363">
                  <c:v>44013</c:v>
                </c:pt>
                <c:pt idx="364">
                  <c:v>44014</c:v>
                </c:pt>
                <c:pt idx="365">
                  <c:v>44015</c:v>
                </c:pt>
                <c:pt idx="366">
                  <c:v>44018</c:v>
                </c:pt>
                <c:pt idx="367">
                  <c:v>44019</c:v>
                </c:pt>
                <c:pt idx="368">
                  <c:v>44020</c:v>
                </c:pt>
                <c:pt idx="369">
                  <c:v>44021</c:v>
                </c:pt>
                <c:pt idx="370">
                  <c:v>44022</c:v>
                </c:pt>
                <c:pt idx="371">
                  <c:v>44025</c:v>
                </c:pt>
                <c:pt idx="372">
                  <c:v>44026</c:v>
                </c:pt>
                <c:pt idx="373">
                  <c:v>44027</c:v>
                </c:pt>
                <c:pt idx="374">
                  <c:v>44028</c:v>
                </c:pt>
                <c:pt idx="375">
                  <c:v>44029</c:v>
                </c:pt>
                <c:pt idx="376">
                  <c:v>44032</c:v>
                </c:pt>
                <c:pt idx="377">
                  <c:v>44033</c:v>
                </c:pt>
                <c:pt idx="378">
                  <c:v>44034</c:v>
                </c:pt>
                <c:pt idx="379">
                  <c:v>44035</c:v>
                </c:pt>
                <c:pt idx="380">
                  <c:v>44036</c:v>
                </c:pt>
                <c:pt idx="381">
                  <c:v>44039</c:v>
                </c:pt>
                <c:pt idx="382">
                  <c:v>44040</c:v>
                </c:pt>
                <c:pt idx="383">
                  <c:v>44041</c:v>
                </c:pt>
                <c:pt idx="384">
                  <c:v>44042</c:v>
                </c:pt>
                <c:pt idx="385">
                  <c:v>44043</c:v>
                </c:pt>
                <c:pt idx="386">
                  <c:v>44046</c:v>
                </c:pt>
                <c:pt idx="387">
                  <c:v>44047</c:v>
                </c:pt>
                <c:pt idx="388">
                  <c:v>44048</c:v>
                </c:pt>
                <c:pt idx="389">
                  <c:v>44049</c:v>
                </c:pt>
                <c:pt idx="390">
                  <c:v>44050</c:v>
                </c:pt>
                <c:pt idx="391">
                  <c:v>44053</c:v>
                </c:pt>
                <c:pt idx="392">
                  <c:v>44054</c:v>
                </c:pt>
                <c:pt idx="393">
                  <c:v>44055</c:v>
                </c:pt>
                <c:pt idx="394">
                  <c:v>44056</c:v>
                </c:pt>
                <c:pt idx="395">
                  <c:v>44057</c:v>
                </c:pt>
                <c:pt idx="396">
                  <c:v>44060</c:v>
                </c:pt>
                <c:pt idx="397">
                  <c:v>44061</c:v>
                </c:pt>
                <c:pt idx="398">
                  <c:v>44062</c:v>
                </c:pt>
                <c:pt idx="399">
                  <c:v>44063</c:v>
                </c:pt>
                <c:pt idx="400">
                  <c:v>44064</c:v>
                </c:pt>
                <c:pt idx="401">
                  <c:v>44067</c:v>
                </c:pt>
                <c:pt idx="402">
                  <c:v>44068</c:v>
                </c:pt>
                <c:pt idx="403">
                  <c:v>44069</c:v>
                </c:pt>
                <c:pt idx="404">
                  <c:v>44070</c:v>
                </c:pt>
                <c:pt idx="405">
                  <c:v>44071</c:v>
                </c:pt>
                <c:pt idx="406">
                  <c:v>44074</c:v>
                </c:pt>
                <c:pt idx="407">
                  <c:v>44075</c:v>
                </c:pt>
                <c:pt idx="408">
                  <c:v>44076</c:v>
                </c:pt>
                <c:pt idx="409">
                  <c:v>44077</c:v>
                </c:pt>
                <c:pt idx="410">
                  <c:v>44078</c:v>
                </c:pt>
                <c:pt idx="411">
                  <c:v>44081</c:v>
                </c:pt>
                <c:pt idx="412">
                  <c:v>44082</c:v>
                </c:pt>
                <c:pt idx="413">
                  <c:v>44083</c:v>
                </c:pt>
                <c:pt idx="414">
                  <c:v>44084</c:v>
                </c:pt>
                <c:pt idx="415">
                  <c:v>44085</c:v>
                </c:pt>
                <c:pt idx="416">
                  <c:v>44088</c:v>
                </c:pt>
                <c:pt idx="417">
                  <c:v>44089</c:v>
                </c:pt>
                <c:pt idx="418">
                  <c:v>44090</c:v>
                </c:pt>
                <c:pt idx="419">
                  <c:v>44091</c:v>
                </c:pt>
                <c:pt idx="420">
                  <c:v>44092</c:v>
                </c:pt>
                <c:pt idx="421">
                  <c:v>44095</c:v>
                </c:pt>
                <c:pt idx="422">
                  <c:v>44096</c:v>
                </c:pt>
                <c:pt idx="423">
                  <c:v>44097</c:v>
                </c:pt>
                <c:pt idx="424">
                  <c:v>44098</c:v>
                </c:pt>
                <c:pt idx="425">
                  <c:v>44099</c:v>
                </c:pt>
                <c:pt idx="426">
                  <c:v>44102</c:v>
                </c:pt>
                <c:pt idx="427">
                  <c:v>44103</c:v>
                </c:pt>
                <c:pt idx="428">
                  <c:v>44104</c:v>
                </c:pt>
                <c:pt idx="429">
                  <c:v>44105</c:v>
                </c:pt>
                <c:pt idx="430">
                  <c:v>44109</c:v>
                </c:pt>
                <c:pt idx="431">
                  <c:v>44110</c:v>
                </c:pt>
                <c:pt idx="432">
                  <c:v>44111</c:v>
                </c:pt>
                <c:pt idx="433">
                  <c:v>44112</c:v>
                </c:pt>
                <c:pt idx="434">
                  <c:v>44113</c:v>
                </c:pt>
                <c:pt idx="435">
                  <c:v>44116</c:v>
                </c:pt>
                <c:pt idx="436">
                  <c:v>44117</c:v>
                </c:pt>
                <c:pt idx="437">
                  <c:v>44118</c:v>
                </c:pt>
                <c:pt idx="438">
                  <c:v>44119</c:v>
                </c:pt>
                <c:pt idx="439">
                  <c:v>44120</c:v>
                </c:pt>
                <c:pt idx="440">
                  <c:v>44123</c:v>
                </c:pt>
                <c:pt idx="441">
                  <c:v>44124</c:v>
                </c:pt>
                <c:pt idx="442">
                  <c:v>44125</c:v>
                </c:pt>
                <c:pt idx="443">
                  <c:v>44126</c:v>
                </c:pt>
                <c:pt idx="444">
                  <c:v>44127</c:v>
                </c:pt>
                <c:pt idx="445">
                  <c:v>44130</c:v>
                </c:pt>
                <c:pt idx="446">
                  <c:v>44131</c:v>
                </c:pt>
                <c:pt idx="447">
                  <c:v>44132</c:v>
                </c:pt>
                <c:pt idx="448">
                  <c:v>44133</c:v>
                </c:pt>
                <c:pt idx="449">
                  <c:v>44134</c:v>
                </c:pt>
                <c:pt idx="450">
                  <c:v>44137</c:v>
                </c:pt>
                <c:pt idx="451">
                  <c:v>44138</c:v>
                </c:pt>
                <c:pt idx="452">
                  <c:v>44139</c:v>
                </c:pt>
                <c:pt idx="453">
                  <c:v>44140</c:v>
                </c:pt>
                <c:pt idx="454">
                  <c:v>44141</c:v>
                </c:pt>
                <c:pt idx="455">
                  <c:v>44144</c:v>
                </c:pt>
                <c:pt idx="456">
                  <c:v>44145</c:v>
                </c:pt>
                <c:pt idx="457">
                  <c:v>44146</c:v>
                </c:pt>
                <c:pt idx="458">
                  <c:v>44147</c:v>
                </c:pt>
                <c:pt idx="459">
                  <c:v>44148</c:v>
                </c:pt>
                <c:pt idx="460">
                  <c:v>44149</c:v>
                </c:pt>
                <c:pt idx="461">
                  <c:v>44152</c:v>
                </c:pt>
                <c:pt idx="462">
                  <c:v>44153</c:v>
                </c:pt>
                <c:pt idx="463">
                  <c:v>44154</c:v>
                </c:pt>
                <c:pt idx="464">
                  <c:v>44155</c:v>
                </c:pt>
                <c:pt idx="465">
                  <c:v>44158</c:v>
                </c:pt>
                <c:pt idx="466">
                  <c:v>44159</c:v>
                </c:pt>
                <c:pt idx="467">
                  <c:v>44160</c:v>
                </c:pt>
                <c:pt idx="468">
                  <c:v>44161</c:v>
                </c:pt>
                <c:pt idx="469">
                  <c:v>44162</c:v>
                </c:pt>
                <c:pt idx="470">
                  <c:v>44166</c:v>
                </c:pt>
                <c:pt idx="471">
                  <c:v>44167</c:v>
                </c:pt>
                <c:pt idx="472">
                  <c:v>44168</c:v>
                </c:pt>
                <c:pt idx="473">
                  <c:v>44169</c:v>
                </c:pt>
                <c:pt idx="474">
                  <c:v>44172</c:v>
                </c:pt>
                <c:pt idx="475">
                  <c:v>44173</c:v>
                </c:pt>
                <c:pt idx="476">
                  <c:v>44174</c:v>
                </c:pt>
                <c:pt idx="477">
                  <c:v>44175</c:v>
                </c:pt>
                <c:pt idx="478">
                  <c:v>44176</c:v>
                </c:pt>
                <c:pt idx="479">
                  <c:v>44179</c:v>
                </c:pt>
                <c:pt idx="480">
                  <c:v>44180</c:v>
                </c:pt>
                <c:pt idx="481">
                  <c:v>44181</c:v>
                </c:pt>
                <c:pt idx="482">
                  <c:v>44182</c:v>
                </c:pt>
                <c:pt idx="483">
                  <c:v>44183</c:v>
                </c:pt>
                <c:pt idx="484">
                  <c:v>44186</c:v>
                </c:pt>
                <c:pt idx="485">
                  <c:v>44187</c:v>
                </c:pt>
                <c:pt idx="486">
                  <c:v>44188</c:v>
                </c:pt>
                <c:pt idx="487">
                  <c:v>44189</c:v>
                </c:pt>
                <c:pt idx="488">
                  <c:v>44193</c:v>
                </c:pt>
                <c:pt idx="489">
                  <c:v>44194</c:v>
                </c:pt>
                <c:pt idx="490">
                  <c:v>44195</c:v>
                </c:pt>
                <c:pt idx="491">
                  <c:v>44196</c:v>
                </c:pt>
                <c:pt idx="492">
                  <c:v>44197</c:v>
                </c:pt>
                <c:pt idx="493">
                  <c:v>44200</c:v>
                </c:pt>
                <c:pt idx="494">
                  <c:v>44201</c:v>
                </c:pt>
                <c:pt idx="495">
                  <c:v>44202</c:v>
                </c:pt>
                <c:pt idx="496">
                  <c:v>44203</c:v>
                </c:pt>
                <c:pt idx="497">
                  <c:v>44204</c:v>
                </c:pt>
                <c:pt idx="498">
                  <c:v>44207</c:v>
                </c:pt>
                <c:pt idx="499">
                  <c:v>44208</c:v>
                </c:pt>
                <c:pt idx="500">
                  <c:v>44209</c:v>
                </c:pt>
                <c:pt idx="501">
                  <c:v>44210</c:v>
                </c:pt>
                <c:pt idx="502">
                  <c:v>44211</c:v>
                </c:pt>
                <c:pt idx="503">
                  <c:v>44214</c:v>
                </c:pt>
                <c:pt idx="504">
                  <c:v>44215</c:v>
                </c:pt>
                <c:pt idx="505">
                  <c:v>44216</c:v>
                </c:pt>
                <c:pt idx="506">
                  <c:v>44217</c:v>
                </c:pt>
                <c:pt idx="507">
                  <c:v>44218</c:v>
                </c:pt>
                <c:pt idx="508">
                  <c:v>44221</c:v>
                </c:pt>
                <c:pt idx="509">
                  <c:v>44223</c:v>
                </c:pt>
                <c:pt idx="510">
                  <c:v>44224</c:v>
                </c:pt>
                <c:pt idx="511">
                  <c:v>44225</c:v>
                </c:pt>
                <c:pt idx="512">
                  <c:v>44228</c:v>
                </c:pt>
                <c:pt idx="513">
                  <c:v>44229</c:v>
                </c:pt>
                <c:pt idx="514">
                  <c:v>44230</c:v>
                </c:pt>
                <c:pt idx="515">
                  <c:v>44231</c:v>
                </c:pt>
                <c:pt idx="516">
                  <c:v>44232</c:v>
                </c:pt>
                <c:pt idx="517">
                  <c:v>44235</c:v>
                </c:pt>
                <c:pt idx="518">
                  <c:v>44236</c:v>
                </c:pt>
                <c:pt idx="519">
                  <c:v>44237</c:v>
                </c:pt>
                <c:pt idx="520">
                  <c:v>44238</c:v>
                </c:pt>
                <c:pt idx="521">
                  <c:v>44239</c:v>
                </c:pt>
                <c:pt idx="522">
                  <c:v>44242</c:v>
                </c:pt>
                <c:pt idx="523">
                  <c:v>44243</c:v>
                </c:pt>
                <c:pt idx="524">
                  <c:v>44244</c:v>
                </c:pt>
                <c:pt idx="525">
                  <c:v>44245</c:v>
                </c:pt>
                <c:pt idx="526">
                  <c:v>44246</c:v>
                </c:pt>
                <c:pt idx="527">
                  <c:v>44249</c:v>
                </c:pt>
                <c:pt idx="528">
                  <c:v>44250</c:v>
                </c:pt>
                <c:pt idx="529">
                  <c:v>44251</c:v>
                </c:pt>
                <c:pt idx="530">
                  <c:v>44252</c:v>
                </c:pt>
                <c:pt idx="531">
                  <c:v>44253</c:v>
                </c:pt>
                <c:pt idx="532">
                  <c:v>44256</c:v>
                </c:pt>
                <c:pt idx="533">
                  <c:v>44257</c:v>
                </c:pt>
                <c:pt idx="534">
                  <c:v>44258</c:v>
                </c:pt>
                <c:pt idx="535">
                  <c:v>44259</c:v>
                </c:pt>
                <c:pt idx="536">
                  <c:v>44260</c:v>
                </c:pt>
                <c:pt idx="537">
                  <c:v>44263</c:v>
                </c:pt>
                <c:pt idx="538">
                  <c:v>44264</c:v>
                </c:pt>
                <c:pt idx="539">
                  <c:v>44265</c:v>
                </c:pt>
                <c:pt idx="540">
                  <c:v>44267</c:v>
                </c:pt>
                <c:pt idx="541">
                  <c:v>44270</c:v>
                </c:pt>
                <c:pt idx="542">
                  <c:v>44271</c:v>
                </c:pt>
                <c:pt idx="543">
                  <c:v>44272</c:v>
                </c:pt>
                <c:pt idx="544">
                  <c:v>44273</c:v>
                </c:pt>
                <c:pt idx="545">
                  <c:v>44274</c:v>
                </c:pt>
                <c:pt idx="546">
                  <c:v>44277</c:v>
                </c:pt>
                <c:pt idx="547">
                  <c:v>44278</c:v>
                </c:pt>
                <c:pt idx="548">
                  <c:v>44279</c:v>
                </c:pt>
                <c:pt idx="549">
                  <c:v>44280</c:v>
                </c:pt>
                <c:pt idx="550">
                  <c:v>44281</c:v>
                </c:pt>
                <c:pt idx="551">
                  <c:v>44285</c:v>
                </c:pt>
                <c:pt idx="552">
                  <c:v>44286</c:v>
                </c:pt>
                <c:pt idx="553">
                  <c:v>44287</c:v>
                </c:pt>
                <c:pt idx="554">
                  <c:v>44291</c:v>
                </c:pt>
                <c:pt idx="555">
                  <c:v>44292</c:v>
                </c:pt>
                <c:pt idx="556">
                  <c:v>44293</c:v>
                </c:pt>
                <c:pt idx="557">
                  <c:v>44294</c:v>
                </c:pt>
                <c:pt idx="558">
                  <c:v>44295</c:v>
                </c:pt>
                <c:pt idx="559">
                  <c:v>44298</c:v>
                </c:pt>
                <c:pt idx="560">
                  <c:v>44299</c:v>
                </c:pt>
                <c:pt idx="561">
                  <c:v>44301</c:v>
                </c:pt>
                <c:pt idx="562">
                  <c:v>44302</c:v>
                </c:pt>
                <c:pt idx="563">
                  <c:v>44305</c:v>
                </c:pt>
                <c:pt idx="564">
                  <c:v>44306</c:v>
                </c:pt>
                <c:pt idx="565">
                  <c:v>44308</c:v>
                </c:pt>
                <c:pt idx="566">
                  <c:v>44309</c:v>
                </c:pt>
                <c:pt idx="567">
                  <c:v>44312</c:v>
                </c:pt>
                <c:pt idx="568">
                  <c:v>44313</c:v>
                </c:pt>
                <c:pt idx="569">
                  <c:v>44314</c:v>
                </c:pt>
                <c:pt idx="570">
                  <c:v>44315</c:v>
                </c:pt>
                <c:pt idx="571">
                  <c:v>44316</c:v>
                </c:pt>
                <c:pt idx="572">
                  <c:v>44319</c:v>
                </c:pt>
                <c:pt idx="573">
                  <c:v>44320</c:v>
                </c:pt>
                <c:pt idx="574">
                  <c:v>44321</c:v>
                </c:pt>
                <c:pt idx="575">
                  <c:v>44322</c:v>
                </c:pt>
                <c:pt idx="576">
                  <c:v>44323</c:v>
                </c:pt>
                <c:pt idx="577">
                  <c:v>44326</c:v>
                </c:pt>
                <c:pt idx="578">
                  <c:v>44327</c:v>
                </c:pt>
                <c:pt idx="579">
                  <c:v>44328</c:v>
                </c:pt>
                <c:pt idx="580">
                  <c:v>44330</c:v>
                </c:pt>
                <c:pt idx="581">
                  <c:v>44333</c:v>
                </c:pt>
                <c:pt idx="582">
                  <c:v>44334</c:v>
                </c:pt>
                <c:pt idx="583">
                  <c:v>44335</c:v>
                </c:pt>
                <c:pt idx="584">
                  <c:v>44336</c:v>
                </c:pt>
                <c:pt idx="585">
                  <c:v>44337</c:v>
                </c:pt>
                <c:pt idx="586">
                  <c:v>44340</c:v>
                </c:pt>
                <c:pt idx="587">
                  <c:v>44341</c:v>
                </c:pt>
                <c:pt idx="588">
                  <c:v>44342</c:v>
                </c:pt>
                <c:pt idx="589">
                  <c:v>44343</c:v>
                </c:pt>
                <c:pt idx="590">
                  <c:v>44344</c:v>
                </c:pt>
                <c:pt idx="591">
                  <c:v>44347</c:v>
                </c:pt>
                <c:pt idx="592">
                  <c:v>44348</c:v>
                </c:pt>
                <c:pt idx="593">
                  <c:v>44349</c:v>
                </c:pt>
                <c:pt idx="594">
                  <c:v>44350</c:v>
                </c:pt>
                <c:pt idx="595">
                  <c:v>44351</c:v>
                </c:pt>
                <c:pt idx="596">
                  <c:v>44354</c:v>
                </c:pt>
                <c:pt idx="597">
                  <c:v>44355</c:v>
                </c:pt>
                <c:pt idx="598">
                  <c:v>44356</c:v>
                </c:pt>
                <c:pt idx="599">
                  <c:v>44357</c:v>
                </c:pt>
                <c:pt idx="600">
                  <c:v>44358</c:v>
                </c:pt>
                <c:pt idx="601">
                  <c:v>44361</c:v>
                </c:pt>
                <c:pt idx="602">
                  <c:v>44362</c:v>
                </c:pt>
                <c:pt idx="603">
                  <c:v>44363</c:v>
                </c:pt>
                <c:pt idx="604">
                  <c:v>44364</c:v>
                </c:pt>
                <c:pt idx="605">
                  <c:v>44365</c:v>
                </c:pt>
                <c:pt idx="606">
                  <c:v>44368</c:v>
                </c:pt>
                <c:pt idx="607">
                  <c:v>44369</c:v>
                </c:pt>
                <c:pt idx="608">
                  <c:v>44370</c:v>
                </c:pt>
                <c:pt idx="609">
                  <c:v>44371</c:v>
                </c:pt>
                <c:pt idx="610">
                  <c:v>44372</c:v>
                </c:pt>
                <c:pt idx="611">
                  <c:v>44375</c:v>
                </c:pt>
                <c:pt idx="612">
                  <c:v>44376</c:v>
                </c:pt>
                <c:pt idx="613">
                  <c:v>44377</c:v>
                </c:pt>
                <c:pt idx="614">
                  <c:v>44378</c:v>
                </c:pt>
                <c:pt idx="615">
                  <c:v>44379</c:v>
                </c:pt>
                <c:pt idx="616">
                  <c:v>44382</c:v>
                </c:pt>
                <c:pt idx="617">
                  <c:v>44383</c:v>
                </c:pt>
                <c:pt idx="618">
                  <c:v>44384</c:v>
                </c:pt>
                <c:pt idx="619">
                  <c:v>44385</c:v>
                </c:pt>
                <c:pt idx="620">
                  <c:v>44386</c:v>
                </c:pt>
                <c:pt idx="621">
                  <c:v>44389</c:v>
                </c:pt>
                <c:pt idx="622">
                  <c:v>44390</c:v>
                </c:pt>
                <c:pt idx="623">
                  <c:v>44391</c:v>
                </c:pt>
                <c:pt idx="624">
                  <c:v>44392</c:v>
                </c:pt>
                <c:pt idx="625">
                  <c:v>44393</c:v>
                </c:pt>
                <c:pt idx="626">
                  <c:v>44396</c:v>
                </c:pt>
                <c:pt idx="627">
                  <c:v>44397</c:v>
                </c:pt>
                <c:pt idx="628">
                  <c:v>44399</c:v>
                </c:pt>
                <c:pt idx="629">
                  <c:v>44400</c:v>
                </c:pt>
                <c:pt idx="630">
                  <c:v>44403</c:v>
                </c:pt>
                <c:pt idx="631">
                  <c:v>44404</c:v>
                </c:pt>
                <c:pt idx="632">
                  <c:v>44405</c:v>
                </c:pt>
                <c:pt idx="633">
                  <c:v>44406</c:v>
                </c:pt>
                <c:pt idx="634">
                  <c:v>44407</c:v>
                </c:pt>
                <c:pt idx="635">
                  <c:v>44410</c:v>
                </c:pt>
                <c:pt idx="636">
                  <c:v>44411</c:v>
                </c:pt>
                <c:pt idx="637">
                  <c:v>44412</c:v>
                </c:pt>
                <c:pt idx="638">
                  <c:v>44413</c:v>
                </c:pt>
                <c:pt idx="639">
                  <c:v>44414</c:v>
                </c:pt>
                <c:pt idx="640">
                  <c:v>44417</c:v>
                </c:pt>
                <c:pt idx="641">
                  <c:v>44418</c:v>
                </c:pt>
                <c:pt idx="642">
                  <c:v>44419</c:v>
                </c:pt>
                <c:pt idx="643">
                  <c:v>44420</c:v>
                </c:pt>
                <c:pt idx="644">
                  <c:v>44421</c:v>
                </c:pt>
                <c:pt idx="645">
                  <c:v>44424</c:v>
                </c:pt>
                <c:pt idx="646">
                  <c:v>44425</c:v>
                </c:pt>
                <c:pt idx="647">
                  <c:v>44426</c:v>
                </c:pt>
                <c:pt idx="648">
                  <c:v>44428</c:v>
                </c:pt>
                <c:pt idx="649">
                  <c:v>44431</c:v>
                </c:pt>
                <c:pt idx="650">
                  <c:v>44432</c:v>
                </c:pt>
                <c:pt idx="651">
                  <c:v>44433</c:v>
                </c:pt>
                <c:pt idx="652">
                  <c:v>44434</c:v>
                </c:pt>
                <c:pt idx="653">
                  <c:v>44435</c:v>
                </c:pt>
                <c:pt idx="654">
                  <c:v>44438</c:v>
                </c:pt>
                <c:pt idx="655">
                  <c:v>44439</c:v>
                </c:pt>
                <c:pt idx="656">
                  <c:v>44440</c:v>
                </c:pt>
                <c:pt idx="657">
                  <c:v>44441</c:v>
                </c:pt>
                <c:pt idx="658">
                  <c:v>44442</c:v>
                </c:pt>
                <c:pt idx="659">
                  <c:v>44445</c:v>
                </c:pt>
                <c:pt idx="660">
                  <c:v>44446</c:v>
                </c:pt>
                <c:pt idx="661">
                  <c:v>44447</c:v>
                </c:pt>
                <c:pt idx="662">
                  <c:v>44448</c:v>
                </c:pt>
                <c:pt idx="663">
                  <c:v>44452</c:v>
                </c:pt>
                <c:pt idx="664">
                  <c:v>44453</c:v>
                </c:pt>
                <c:pt idx="665">
                  <c:v>44454</c:v>
                </c:pt>
                <c:pt idx="666">
                  <c:v>44455</c:v>
                </c:pt>
                <c:pt idx="667">
                  <c:v>44456</c:v>
                </c:pt>
                <c:pt idx="668">
                  <c:v>44459</c:v>
                </c:pt>
                <c:pt idx="669">
                  <c:v>44460</c:v>
                </c:pt>
                <c:pt idx="670">
                  <c:v>44461</c:v>
                </c:pt>
                <c:pt idx="671">
                  <c:v>44462</c:v>
                </c:pt>
                <c:pt idx="672">
                  <c:v>44463</c:v>
                </c:pt>
                <c:pt idx="673">
                  <c:v>44466</c:v>
                </c:pt>
                <c:pt idx="674">
                  <c:v>44467</c:v>
                </c:pt>
                <c:pt idx="675">
                  <c:v>44468</c:v>
                </c:pt>
                <c:pt idx="676">
                  <c:v>44469</c:v>
                </c:pt>
                <c:pt idx="677">
                  <c:v>44470</c:v>
                </c:pt>
                <c:pt idx="678">
                  <c:v>44473</c:v>
                </c:pt>
                <c:pt idx="679">
                  <c:v>44474</c:v>
                </c:pt>
                <c:pt idx="680">
                  <c:v>44475</c:v>
                </c:pt>
                <c:pt idx="681">
                  <c:v>44476</c:v>
                </c:pt>
                <c:pt idx="682">
                  <c:v>44477</c:v>
                </c:pt>
                <c:pt idx="683">
                  <c:v>44480</c:v>
                </c:pt>
                <c:pt idx="684">
                  <c:v>44481</c:v>
                </c:pt>
                <c:pt idx="685">
                  <c:v>44482</c:v>
                </c:pt>
                <c:pt idx="686">
                  <c:v>44483</c:v>
                </c:pt>
                <c:pt idx="687">
                  <c:v>44487</c:v>
                </c:pt>
                <c:pt idx="688">
                  <c:v>44488</c:v>
                </c:pt>
                <c:pt idx="689">
                  <c:v>44489</c:v>
                </c:pt>
                <c:pt idx="690">
                  <c:v>44490</c:v>
                </c:pt>
                <c:pt idx="691">
                  <c:v>44491</c:v>
                </c:pt>
                <c:pt idx="692">
                  <c:v>44494</c:v>
                </c:pt>
                <c:pt idx="693">
                  <c:v>44495</c:v>
                </c:pt>
                <c:pt idx="694">
                  <c:v>44496</c:v>
                </c:pt>
                <c:pt idx="695">
                  <c:v>44497</c:v>
                </c:pt>
                <c:pt idx="696">
                  <c:v>44498</c:v>
                </c:pt>
                <c:pt idx="697">
                  <c:v>44501</c:v>
                </c:pt>
                <c:pt idx="698">
                  <c:v>44502</c:v>
                </c:pt>
                <c:pt idx="699">
                  <c:v>44503</c:v>
                </c:pt>
                <c:pt idx="700">
                  <c:v>44504</c:v>
                </c:pt>
                <c:pt idx="701">
                  <c:v>44508</c:v>
                </c:pt>
                <c:pt idx="702">
                  <c:v>44509</c:v>
                </c:pt>
                <c:pt idx="703">
                  <c:v>44510</c:v>
                </c:pt>
                <c:pt idx="704">
                  <c:v>44511</c:v>
                </c:pt>
                <c:pt idx="705">
                  <c:v>44512</c:v>
                </c:pt>
                <c:pt idx="706">
                  <c:v>44515</c:v>
                </c:pt>
                <c:pt idx="707">
                  <c:v>44516</c:v>
                </c:pt>
                <c:pt idx="708">
                  <c:v>44517</c:v>
                </c:pt>
                <c:pt idx="709">
                  <c:v>44518</c:v>
                </c:pt>
                <c:pt idx="710">
                  <c:v>44522</c:v>
                </c:pt>
                <c:pt idx="711">
                  <c:v>44523</c:v>
                </c:pt>
                <c:pt idx="712">
                  <c:v>44524</c:v>
                </c:pt>
                <c:pt idx="713">
                  <c:v>44525</c:v>
                </c:pt>
                <c:pt idx="714">
                  <c:v>44526</c:v>
                </c:pt>
                <c:pt idx="715">
                  <c:v>44529</c:v>
                </c:pt>
                <c:pt idx="716">
                  <c:v>44530</c:v>
                </c:pt>
                <c:pt idx="717">
                  <c:v>44531</c:v>
                </c:pt>
                <c:pt idx="718">
                  <c:v>44532</c:v>
                </c:pt>
                <c:pt idx="719">
                  <c:v>44533</c:v>
                </c:pt>
                <c:pt idx="720">
                  <c:v>44536</c:v>
                </c:pt>
                <c:pt idx="721">
                  <c:v>44537</c:v>
                </c:pt>
                <c:pt idx="722">
                  <c:v>44538</c:v>
                </c:pt>
                <c:pt idx="723">
                  <c:v>44539</c:v>
                </c:pt>
                <c:pt idx="724">
                  <c:v>44540</c:v>
                </c:pt>
                <c:pt idx="725">
                  <c:v>44543</c:v>
                </c:pt>
                <c:pt idx="726">
                  <c:v>44544</c:v>
                </c:pt>
                <c:pt idx="727">
                  <c:v>44545</c:v>
                </c:pt>
                <c:pt idx="728">
                  <c:v>44546</c:v>
                </c:pt>
                <c:pt idx="729">
                  <c:v>44547</c:v>
                </c:pt>
                <c:pt idx="730">
                  <c:v>44550</c:v>
                </c:pt>
                <c:pt idx="731">
                  <c:v>44551</c:v>
                </c:pt>
                <c:pt idx="732">
                  <c:v>44552</c:v>
                </c:pt>
                <c:pt idx="733">
                  <c:v>44553</c:v>
                </c:pt>
                <c:pt idx="734">
                  <c:v>44554</c:v>
                </c:pt>
                <c:pt idx="735">
                  <c:v>44557</c:v>
                </c:pt>
                <c:pt idx="736">
                  <c:v>44558</c:v>
                </c:pt>
                <c:pt idx="737">
                  <c:v>44559</c:v>
                </c:pt>
                <c:pt idx="738">
                  <c:v>44560</c:v>
                </c:pt>
                <c:pt idx="739">
                  <c:v>44561</c:v>
                </c:pt>
                <c:pt idx="740">
                  <c:v>44564</c:v>
                </c:pt>
                <c:pt idx="741">
                  <c:v>44565</c:v>
                </c:pt>
                <c:pt idx="742">
                  <c:v>44566</c:v>
                </c:pt>
                <c:pt idx="743">
                  <c:v>44567</c:v>
                </c:pt>
                <c:pt idx="744">
                  <c:v>44568</c:v>
                </c:pt>
                <c:pt idx="745">
                  <c:v>44571</c:v>
                </c:pt>
                <c:pt idx="746">
                  <c:v>44572</c:v>
                </c:pt>
                <c:pt idx="747">
                  <c:v>44573</c:v>
                </c:pt>
                <c:pt idx="748">
                  <c:v>44574</c:v>
                </c:pt>
                <c:pt idx="749">
                  <c:v>44575</c:v>
                </c:pt>
                <c:pt idx="750">
                  <c:v>44578</c:v>
                </c:pt>
                <c:pt idx="751">
                  <c:v>44579</c:v>
                </c:pt>
                <c:pt idx="752">
                  <c:v>44580</c:v>
                </c:pt>
                <c:pt idx="753">
                  <c:v>44581</c:v>
                </c:pt>
                <c:pt idx="754">
                  <c:v>44582</c:v>
                </c:pt>
                <c:pt idx="755">
                  <c:v>44585</c:v>
                </c:pt>
                <c:pt idx="756">
                  <c:v>44586</c:v>
                </c:pt>
                <c:pt idx="757">
                  <c:v>44588</c:v>
                </c:pt>
                <c:pt idx="758">
                  <c:v>44589</c:v>
                </c:pt>
                <c:pt idx="759">
                  <c:v>44592</c:v>
                </c:pt>
                <c:pt idx="760">
                  <c:v>44593</c:v>
                </c:pt>
                <c:pt idx="761">
                  <c:v>44594</c:v>
                </c:pt>
                <c:pt idx="762">
                  <c:v>44595</c:v>
                </c:pt>
                <c:pt idx="763">
                  <c:v>44596</c:v>
                </c:pt>
                <c:pt idx="764">
                  <c:v>44599</c:v>
                </c:pt>
                <c:pt idx="765">
                  <c:v>44600</c:v>
                </c:pt>
                <c:pt idx="766">
                  <c:v>44601</c:v>
                </c:pt>
                <c:pt idx="767">
                  <c:v>44602</c:v>
                </c:pt>
                <c:pt idx="768">
                  <c:v>44603</c:v>
                </c:pt>
                <c:pt idx="769">
                  <c:v>44606</c:v>
                </c:pt>
                <c:pt idx="770">
                  <c:v>44607</c:v>
                </c:pt>
                <c:pt idx="771">
                  <c:v>44608</c:v>
                </c:pt>
                <c:pt idx="772">
                  <c:v>44609</c:v>
                </c:pt>
                <c:pt idx="773">
                  <c:v>44610</c:v>
                </c:pt>
                <c:pt idx="774">
                  <c:v>44613</c:v>
                </c:pt>
                <c:pt idx="775">
                  <c:v>44614</c:v>
                </c:pt>
                <c:pt idx="776">
                  <c:v>44615</c:v>
                </c:pt>
                <c:pt idx="777">
                  <c:v>44616</c:v>
                </c:pt>
                <c:pt idx="778">
                  <c:v>44617</c:v>
                </c:pt>
                <c:pt idx="779">
                  <c:v>44620</c:v>
                </c:pt>
                <c:pt idx="780">
                  <c:v>44622</c:v>
                </c:pt>
                <c:pt idx="781">
                  <c:v>44623</c:v>
                </c:pt>
                <c:pt idx="782">
                  <c:v>44624</c:v>
                </c:pt>
                <c:pt idx="783">
                  <c:v>44627</c:v>
                </c:pt>
                <c:pt idx="784">
                  <c:v>44628</c:v>
                </c:pt>
                <c:pt idx="785">
                  <c:v>44629</c:v>
                </c:pt>
                <c:pt idx="786">
                  <c:v>44630</c:v>
                </c:pt>
                <c:pt idx="787">
                  <c:v>44631</c:v>
                </c:pt>
                <c:pt idx="788">
                  <c:v>44634</c:v>
                </c:pt>
                <c:pt idx="789">
                  <c:v>44635</c:v>
                </c:pt>
                <c:pt idx="790">
                  <c:v>44636</c:v>
                </c:pt>
                <c:pt idx="791">
                  <c:v>44637</c:v>
                </c:pt>
                <c:pt idx="792">
                  <c:v>44641</c:v>
                </c:pt>
                <c:pt idx="793">
                  <c:v>44642</c:v>
                </c:pt>
                <c:pt idx="794">
                  <c:v>44643</c:v>
                </c:pt>
                <c:pt idx="795">
                  <c:v>44644</c:v>
                </c:pt>
                <c:pt idx="796">
                  <c:v>44645</c:v>
                </c:pt>
                <c:pt idx="797">
                  <c:v>44648</c:v>
                </c:pt>
                <c:pt idx="798">
                  <c:v>44649</c:v>
                </c:pt>
                <c:pt idx="799">
                  <c:v>44650</c:v>
                </c:pt>
                <c:pt idx="800">
                  <c:v>44651</c:v>
                </c:pt>
                <c:pt idx="801">
                  <c:v>44652</c:v>
                </c:pt>
                <c:pt idx="802">
                  <c:v>44655</c:v>
                </c:pt>
                <c:pt idx="803">
                  <c:v>44656</c:v>
                </c:pt>
                <c:pt idx="804">
                  <c:v>44657</c:v>
                </c:pt>
                <c:pt idx="805">
                  <c:v>44658</c:v>
                </c:pt>
                <c:pt idx="806">
                  <c:v>44659</c:v>
                </c:pt>
                <c:pt idx="807">
                  <c:v>44662</c:v>
                </c:pt>
                <c:pt idx="808">
                  <c:v>44663</c:v>
                </c:pt>
                <c:pt idx="809">
                  <c:v>44664</c:v>
                </c:pt>
                <c:pt idx="810">
                  <c:v>44669</c:v>
                </c:pt>
                <c:pt idx="811">
                  <c:v>44670</c:v>
                </c:pt>
                <c:pt idx="812">
                  <c:v>44671</c:v>
                </c:pt>
                <c:pt idx="813">
                  <c:v>44672</c:v>
                </c:pt>
                <c:pt idx="814">
                  <c:v>44673</c:v>
                </c:pt>
                <c:pt idx="815">
                  <c:v>44676</c:v>
                </c:pt>
                <c:pt idx="816">
                  <c:v>44677</c:v>
                </c:pt>
                <c:pt idx="817">
                  <c:v>44678</c:v>
                </c:pt>
                <c:pt idx="818">
                  <c:v>44679</c:v>
                </c:pt>
                <c:pt idx="819">
                  <c:v>44680</c:v>
                </c:pt>
                <c:pt idx="820">
                  <c:v>44683</c:v>
                </c:pt>
                <c:pt idx="821">
                  <c:v>44685</c:v>
                </c:pt>
                <c:pt idx="822">
                  <c:v>44686</c:v>
                </c:pt>
                <c:pt idx="823">
                  <c:v>44687</c:v>
                </c:pt>
                <c:pt idx="824">
                  <c:v>44690</c:v>
                </c:pt>
                <c:pt idx="825">
                  <c:v>44691</c:v>
                </c:pt>
                <c:pt idx="826">
                  <c:v>44692</c:v>
                </c:pt>
                <c:pt idx="827">
                  <c:v>44693</c:v>
                </c:pt>
                <c:pt idx="828">
                  <c:v>44694</c:v>
                </c:pt>
                <c:pt idx="829">
                  <c:v>44697</c:v>
                </c:pt>
                <c:pt idx="830">
                  <c:v>44698</c:v>
                </c:pt>
                <c:pt idx="831">
                  <c:v>44699</c:v>
                </c:pt>
                <c:pt idx="832">
                  <c:v>44700</c:v>
                </c:pt>
                <c:pt idx="833">
                  <c:v>44701</c:v>
                </c:pt>
                <c:pt idx="834">
                  <c:v>44704</c:v>
                </c:pt>
                <c:pt idx="835">
                  <c:v>44705</c:v>
                </c:pt>
                <c:pt idx="836">
                  <c:v>44706</c:v>
                </c:pt>
                <c:pt idx="837">
                  <c:v>44707</c:v>
                </c:pt>
                <c:pt idx="838">
                  <c:v>44708</c:v>
                </c:pt>
                <c:pt idx="839">
                  <c:v>44711</c:v>
                </c:pt>
                <c:pt idx="840">
                  <c:v>44712</c:v>
                </c:pt>
                <c:pt idx="841">
                  <c:v>44713</c:v>
                </c:pt>
                <c:pt idx="842">
                  <c:v>44714</c:v>
                </c:pt>
                <c:pt idx="843">
                  <c:v>44715</c:v>
                </c:pt>
                <c:pt idx="844">
                  <c:v>44718</c:v>
                </c:pt>
                <c:pt idx="845">
                  <c:v>44719</c:v>
                </c:pt>
                <c:pt idx="846">
                  <c:v>44720</c:v>
                </c:pt>
                <c:pt idx="847">
                  <c:v>44721</c:v>
                </c:pt>
                <c:pt idx="848">
                  <c:v>44722</c:v>
                </c:pt>
                <c:pt idx="849">
                  <c:v>44725</c:v>
                </c:pt>
                <c:pt idx="850">
                  <c:v>44726</c:v>
                </c:pt>
                <c:pt idx="851">
                  <c:v>44727</c:v>
                </c:pt>
                <c:pt idx="852">
                  <c:v>44728</c:v>
                </c:pt>
                <c:pt idx="853">
                  <c:v>44729</c:v>
                </c:pt>
                <c:pt idx="854">
                  <c:v>44732</c:v>
                </c:pt>
                <c:pt idx="855">
                  <c:v>44733</c:v>
                </c:pt>
                <c:pt idx="856">
                  <c:v>44734</c:v>
                </c:pt>
                <c:pt idx="857">
                  <c:v>44735</c:v>
                </c:pt>
                <c:pt idx="858">
                  <c:v>44736</c:v>
                </c:pt>
                <c:pt idx="859">
                  <c:v>44739</c:v>
                </c:pt>
                <c:pt idx="860">
                  <c:v>44740</c:v>
                </c:pt>
                <c:pt idx="861">
                  <c:v>44741</c:v>
                </c:pt>
                <c:pt idx="862">
                  <c:v>44742</c:v>
                </c:pt>
                <c:pt idx="863">
                  <c:v>44743</c:v>
                </c:pt>
                <c:pt idx="864">
                  <c:v>44746</c:v>
                </c:pt>
                <c:pt idx="865">
                  <c:v>44747</c:v>
                </c:pt>
                <c:pt idx="866">
                  <c:v>44748</c:v>
                </c:pt>
                <c:pt idx="867">
                  <c:v>44749</c:v>
                </c:pt>
                <c:pt idx="868">
                  <c:v>44750</c:v>
                </c:pt>
                <c:pt idx="869">
                  <c:v>44753</c:v>
                </c:pt>
                <c:pt idx="870">
                  <c:v>44754</c:v>
                </c:pt>
                <c:pt idx="871">
                  <c:v>44755</c:v>
                </c:pt>
                <c:pt idx="872">
                  <c:v>44756</c:v>
                </c:pt>
                <c:pt idx="873">
                  <c:v>44757</c:v>
                </c:pt>
                <c:pt idx="874">
                  <c:v>44760</c:v>
                </c:pt>
                <c:pt idx="875">
                  <c:v>44761</c:v>
                </c:pt>
                <c:pt idx="876">
                  <c:v>44762</c:v>
                </c:pt>
                <c:pt idx="877">
                  <c:v>44763</c:v>
                </c:pt>
                <c:pt idx="878">
                  <c:v>44764</c:v>
                </c:pt>
                <c:pt idx="879">
                  <c:v>44767</c:v>
                </c:pt>
                <c:pt idx="880">
                  <c:v>44768</c:v>
                </c:pt>
                <c:pt idx="881">
                  <c:v>44769</c:v>
                </c:pt>
                <c:pt idx="882">
                  <c:v>44770</c:v>
                </c:pt>
                <c:pt idx="883">
                  <c:v>44771</c:v>
                </c:pt>
                <c:pt idx="884">
                  <c:v>44774</c:v>
                </c:pt>
                <c:pt idx="885">
                  <c:v>44775</c:v>
                </c:pt>
                <c:pt idx="886">
                  <c:v>44776</c:v>
                </c:pt>
                <c:pt idx="887">
                  <c:v>44777</c:v>
                </c:pt>
                <c:pt idx="888">
                  <c:v>44778</c:v>
                </c:pt>
                <c:pt idx="889">
                  <c:v>44781</c:v>
                </c:pt>
                <c:pt idx="890">
                  <c:v>44783</c:v>
                </c:pt>
                <c:pt idx="891">
                  <c:v>44784</c:v>
                </c:pt>
                <c:pt idx="892">
                  <c:v>44785</c:v>
                </c:pt>
                <c:pt idx="893">
                  <c:v>44789</c:v>
                </c:pt>
                <c:pt idx="894">
                  <c:v>44790</c:v>
                </c:pt>
                <c:pt idx="895">
                  <c:v>44791</c:v>
                </c:pt>
                <c:pt idx="896">
                  <c:v>44792</c:v>
                </c:pt>
                <c:pt idx="897">
                  <c:v>44795</c:v>
                </c:pt>
                <c:pt idx="898">
                  <c:v>44796</c:v>
                </c:pt>
                <c:pt idx="899">
                  <c:v>44797</c:v>
                </c:pt>
                <c:pt idx="900">
                  <c:v>44798</c:v>
                </c:pt>
                <c:pt idx="901">
                  <c:v>44799</c:v>
                </c:pt>
                <c:pt idx="902">
                  <c:v>44802</c:v>
                </c:pt>
                <c:pt idx="903">
                  <c:v>44803</c:v>
                </c:pt>
                <c:pt idx="904">
                  <c:v>44805</c:v>
                </c:pt>
                <c:pt idx="905">
                  <c:v>44806</c:v>
                </c:pt>
                <c:pt idx="906">
                  <c:v>44809</c:v>
                </c:pt>
                <c:pt idx="907">
                  <c:v>44810</c:v>
                </c:pt>
                <c:pt idx="908">
                  <c:v>44811</c:v>
                </c:pt>
                <c:pt idx="909">
                  <c:v>44812</c:v>
                </c:pt>
                <c:pt idx="910">
                  <c:v>44813</c:v>
                </c:pt>
                <c:pt idx="911">
                  <c:v>44816</c:v>
                </c:pt>
                <c:pt idx="912">
                  <c:v>44817</c:v>
                </c:pt>
                <c:pt idx="913">
                  <c:v>44818</c:v>
                </c:pt>
                <c:pt idx="914">
                  <c:v>44819</c:v>
                </c:pt>
                <c:pt idx="915">
                  <c:v>44820</c:v>
                </c:pt>
                <c:pt idx="916">
                  <c:v>44823</c:v>
                </c:pt>
                <c:pt idx="917">
                  <c:v>44824</c:v>
                </c:pt>
                <c:pt idx="918">
                  <c:v>44825</c:v>
                </c:pt>
                <c:pt idx="919">
                  <c:v>44826</c:v>
                </c:pt>
                <c:pt idx="920">
                  <c:v>44827</c:v>
                </c:pt>
                <c:pt idx="921">
                  <c:v>44830</c:v>
                </c:pt>
                <c:pt idx="922">
                  <c:v>44831</c:v>
                </c:pt>
                <c:pt idx="923">
                  <c:v>44832</c:v>
                </c:pt>
                <c:pt idx="924">
                  <c:v>44833</c:v>
                </c:pt>
                <c:pt idx="925">
                  <c:v>44834</c:v>
                </c:pt>
                <c:pt idx="926">
                  <c:v>44837</c:v>
                </c:pt>
                <c:pt idx="927">
                  <c:v>44838</c:v>
                </c:pt>
                <c:pt idx="928">
                  <c:v>44840</c:v>
                </c:pt>
                <c:pt idx="929">
                  <c:v>44841</c:v>
                </c:pt>
                <c:pt idx="930">
                  <c:v>44844</c:v>
                </c:pt>
                <c:pt idx="931">
                  <c:v>44845</c:v>
                </c:pt>
                <c:pt idx="932">
                  <c:v>44846</c:v>
                </c:pt>
                <c:pt idx="933">
                  <c:v>44847</c:v>
                </c:pt>
                <c:pt idx="934">
                  <c:v>44848</c:v>
                </c:pt>
                <c:pt idx="935">
                  <c:v>44851</c:v>
                </c:pt>
                <c:pt idx="936">
                  <c:v>44852</c:v>
                </c:pt>
                <c:pt idx="937">
                  <c:v>44853</c:v>
                </c:pt>
                <c:pt idx="938">
                  <c:v>44854</c:v>
                </c:pt>
                <c:pt idx="939">
                  <c:v>44855</c:v>
                </c:pt>
                <c:pt idx="940">
                  <c:v>44858</c:v>
                </c:pt>
                <c:pt idx="941">
                  <c:v>44859</c:v>
                </c:pt>
                <c:pt idx="942">
                  <c:v>44861</c:v>
                </c:pt>
                <c:pt idx="943">
                  <c:v>44862</c:v>
                </c:pt>
                <c:pt idx="944">
                  <c:v>44865</c:v>
                </c:pt>
                <c:pt idx="945">
                  <c:v>44866</c:v>
                </c:pt>
                <c:pt idx="946">
                  <c:v>44867</c:v>
                </c:pt>
                <c:pt idx="947">
                  <c:v>44868</c:v>
                </c:pt>
                <c:pt idx="948">
                  <c:v>44869</c:v>
                </c:pt>
                <c:pt idx="949">
                  <c:v>44872</c:v>
                </c:pt>
                <c:pt idx="950">
                  <c:v>44874</c:v>
                </c:pt>
                <c:pt idx="951">
                  <c:v>44875</c:v>
                </c:pt>
                <c:pt idx="952">
                  <c:v>44876</c:v>
                </c:pt>
                <c:pt idx="953">
                  <c:v>44879</c:v>
                </c:pt>
                <c:pt idx="954">
                  <c:v>44880</c:v>
                </c:pt>
                <c:pt idx="955">
                  <c:v>44881</c:v>
                </c:pt>
                <c:pt idx="956">
                  <c:v>44882</c:v>
                </c:pt>
                <c:pt idx="957">
                  <c:v>44883</c:v>
                </c:pt>
                <c:pt idx="958">
                  <c:v>44886</c:v>
                </c:pt>
                <c:pt idx="959">
                  <c:v>44887</c:v>
                </c:pt>
                <c:pt idx="960">
                  <c:v>44888</c:v>
                </c:pt>
                <c:pt idx="961">
                  <c:v>44889</c:v>
                </c:pt>
                <c:pt idx="962">
                  <c:v>44890</c:v>
                </c:pt>
                <c:pt idx="963">
                  <c:v>44893</c:v>
                </c:pt>
                <c:pt idx="964">
                  <c:v>44894</c:v>
                </c:pt>
                <c:pt idx="965">
                  <c:v>44895</c:v>
                </c:pt>
                <c:pt idx="966">
                  <c:v>44896</c:v>
                </c:pt>
                <c:pt idx="967">
                  <c:v>44897</c:v>
                </c:pt>
                <c:pt idx="968">
                  <c:v>44900</c:v>
                </c:pt>
                <c:pt idx="969">
                  <c:v>44901</c:v>
                </c:pt>
                <c:pt idx="970">
                  <c:v>44902</c:v>
                </c:pt>
                <c:pt idx="971">
                  <c:v>44903</c:v>
                </c:pt>
                <c:pt idx="972">
                  <c:v>44904</c:v>
                </c:pt>
                <c:pt idx="973">
                  <c:v>44907</c:v>
                </c:pt>
                <c:pt idx="974">
                  <c:v>44908</c:v>
                </c:pt>
                <c:pt idx="975">
                  <c:v>44909</c:v>
                </c:pt>
                <c:pt idx="976">
                  <c:v>44910</c:v>
                </c:pt>
                <c:pt idx="977">
                  <c:v>44911</c:v>
                </c:pt>
                <c:pt idx="978">
                  <c:v>44914</c:v>
                </c:pt>
                <c:pt idx="979">
                  <c:v>44915</c:v>
                </c:pt>
                <c:pt idx="980">
                  <c:v>44916</c:v>
                </c:pt>
                <c:pt idx="981">
                  <c:v>44917</c:v>
                </c:pt>
                <c:pt idx="982">
                  <c:v>44918</c:v>
                </c:pt>
                <c:pt idx="983">
                  <c:v>44921</c:v>
                </c:pt>
                <c:pt idx="984">
                  <c:v>44922</c:v>
                </c:pt>
                <c:pt idx="985">
                  <c:v>44923</c:v>
                </c:pt>
                <c:pt idx="986">
                  <c:v>44924</c:v>
                </c:pt>
                <c:pt idx="987">
                  <c:v>44925</c:v>
                </c:pt>
                <c:pt idx="988">
                  <c:v>44928</c:v>
                </c:pt>
                <c:pt idx="989">
                  <c:v>44929</c:v>
                </c:pt>
                <c:pt idx="990">
                  <c:v>44930</c:v>
                </c:pt>
                <c:pt idx="991">
                  <c:v>44931</c:v>
                </c:pt>
                <c:pt idx="992">
                  <c:v>44932</c:v>
                </c:pt>
                <c:pt idx="993">
                  <c:v>44935</c:v>
                </c:pt>
                <c:pt idx="994">
                  <c:v>44936</c:v>
                </c:pt>
                <c:pt idx="995">
                  <c:v>44937</c:v>
                </c:pt>
                <c:pt idx="996">
                  <c:v>44938</c:v>
                </c:pt>
                <c:pt idx="997">
                  <c:v>44939</c:v>
                </c:pt>
                <c:pt idx="998">
                  <c:v>44942</c:v>
                </c:pt>
                <c:pt idx="999">
                  <c:v>44943</c:v>
                </c:pt>
                <c:pt idx="1000">
                  <c:v>44944</c:v>
                </c:pt>
                <c:pt idx="1001">
                  <c:v>44945</c:v>
                </c:pt>
                <c:pt idx="1002">
                  <c:v>44946</c:v>
                </c:pt>
                <c:pt idx="1003">
                  <c:v>44949</c:v>
                </c:pt>
                <c:pt idx="1004">
                  <c:v>44950</c:v>
                </c:pt>
                <c:pt idx="1005">
                  <c:v>44951</c:v>
                </c:pt>
                <c:pt idx="1006">
                  <c:v>44953</c:v>
                </c:pt>
                <c:pt idx="1007">
                  <c:v>44956</c:v>
                </c:pt>
                <c:pt idx="1008">
                  <c:v>44957</c:v>
                </c:pt>
                <c:pt idx="1009">
                  <c:v>44958</c:v>
                </c:pt>
                <c:pt idx="1010">
                  <c:v>44959</c:v>
                </c:pt>
                <c:pt idx="1011">
                  <c:v>44960</c:v>
                </c:pt>
                <c:pt idx="1012">
                  <c:v>44963</c:v>
                </c:pt>
                <c:pt idx="1013">
                  <c:v>44964</c:v>
                </c:pt>
                <c:pt idx="1014">
                  <c:v>44965</c:v>
                </c:pt>
                <c:pt idx="1015">
                  <c:v>44966</c:v>
                </c:pt>
                <c:pt idx="1016">
                  <c:v>44967</c:v>
                </c:pt>
                <c:pt idx="1017">
                  <c:v>44970</c:v>
                </c:pt>
                <c:pt idx="1018">
                  <c:v>44971</c:v>
                </c:pt>
                <c:pt idx="1019">
                  <c:v>44972</c:v>
                </c:pt>
                <c:pt idx="1020">
                  <c:v>44973</c:v>
                </c:pt>
                <c:pt idx="1021">
                  <c:v>44974</c:v>
                </c:pt>
                <c:pt idx="1022">
                  <c:v>44977</c:v>
                </c:pt>
                <c:pt idx="1023">
                  <c:v>44978</c:v>
                </c:pt>
                <c:pt idx="1024">
                  <c:v>44979</c:v>
                </c:pt>
                <c:pt idx="1025">
                  <c:v>44980</c:v>
                </c:pt>
                <c:pt idx="1026">
                  <c:v>44981</c:v>
                </c:pt>
                <c:pt idx="1027">
                  <c:v>44984</c:v>
                </c:pt>
                <c:pt idx="1028">
                  <c:v>44985</c:v>
                </c:pt>
                <c:pt idx="1029">
                  <c:v>44986</c:v>
                </c:pt>
                <c:pt idx="1030">
                  <c:v>44987</c:v>
                </c:pt>
                <c:pt idx="1031">
                  <c:v>44988</c:v>
                </c:pt>
                <c:pt idx="1032">
                  <c:v>44991</c:v>
                </c:pt>
                <c:pt idx="1033">
                  <c:v>44993</c:v>
                </c:pt>
                <c:pt idx="1034">
                  <c:v>44994</c:v>
                </c:pt>
                <c:pt idx="1035">
                  <c:v>44995</c:v>
                </c:pt>
                <c:pt idx="1036">
                  <c:v>44998</c:v>
                </c:pt>
                <c:pt idx="1037">
                  <c:v>44999</c:v>
                </c:pt>
                <c:pt idx="1038">
                  <c:v>45000</c:v>
                </c:pt>
                <c:pt idx="1039">
                  <c:v>45001</c:v>
                </c:pt>
                <c:pt idx="1040">
                  <c:v>45002</c:v>
                </c:pt>
                <c:pt idx="1041">
                  <c:v>45005</c:v>
                </c:pt>
                <c:pt idx="1042">
                  <c:v>45006</c:v>
                </c:pt>
                <c:pt idx="1043">
                  <c:v>45007</c:v>
                </c:pt>
                <c:pt idx="1044">
                  <c:v>45008</c:v>
                </c:pt>
                <c:pt idx="1045">
                  <c:v>45009</c:v>
                </c:pt>
                <c:pt idx="1046">
                  <c:v>45012</c:v>
                </c:pt>
                <c:pt idx="1047">
                  <c:v>45013</c:v>
                </c:pt>
                <c:pt idx="1048">
                  <c:v>45014</c:v>
                </c:pt>
                <c:pt idx="1049">
                  <c:v>45016</c:v>
                </c:pt>
                <c:pt idx="1050">
                  <c:v>45019</c:v>
                </c:pt>
                <c:pt idx="1051">
                  <c:v>45021</c:v>
                </c:pt>
                <c:pt idx="1052">
                  <c:v>45022</c:v>
                </c:pt>
                <c:pt idx="1053">
                  <c:v>45026</c:v>
                </c:pt>
                <c:pt idx="1054">
                  <c:v>45027</c:v>
                </c:pt>
                <c:pt idx="1055">
                  <c:v>45028</c:v>
                </c:pt>
                <c:pt idx="1056">
                  <c:v>45029</c:v>
                </c:pt>
                <c:pt idx="1057">
                  <c:v>45033</c:v>
                </c:pt>
                <c:pt idx="1058">
                  <c:v>45034</c:v>
                </c:pt>
                <c:pt idx="1059">
                  <c:v>45035</c:v>
                </c:pt>
                <c:pt idx="1060">
                  <c:v>45036</c:v>
                </c:pt>
                <c:pt idx="1061">
                  <c:v>45037</c:v>
                </c:pt>
                <c:pt idx="1062">
                  <c:v>45040</c:v>
                </c:pt>
                <c:pt idx="1063">
                  <c:v>45041</c:v>
                </c:pt>
                <c:pt idx="1064">
                  <c:v>45042</c:v>
                </c:pt>
                <c:pt idx="1065">
                  <c:v>45043</c:v>
                </c:pt>
                <c:pt idx="1066">
                  <c:v>45044</c:v>
                </c:pt>
                <c:pt idx="1067">
                  <c:v>45048</c:v>
                </c:pt>
                <c:pt idx="1068">
                  <c:v>45049</c:v>
                </c:pt>
                <c:pt idx="1069">
                  <c:v>45050</c:v>
                </c:pt>
                <c:pt idx="1070">
                  <c:v>45051</c:v>
                </c:pt>
                <c:pt idx="1071">
                  <c:v>45054</c:v>
                </c:pt>
                <c:pt idx="1072">
                  <c:v>45055</c:v>
                </c:pt>
                <c:pt idx="1073">
                  <c:v>45056</c:v>
                </c:pt>
                <c:pt idx="1074">
                  <c:v>45057</c:v>
                </c:pt>
                <c:pt idx="1075">
                  <c:v>45058</c:v>
                </c:pt>
                <c:pt idx="1076">
                  <c:v>45061</c:v>
                </c:pt>
                <c:pt idx="1077">
                  <c:v>45062</c:v>
                </c:pt>
                <c:pt idx="1078">
                  <c:v>45063</c:v>
                </c:pt>
                <c:pt idx="1079">
                  <c:v>45064</c:v>
                </c:pt>
                <c:pt idx="1080">
                  <c:v>45065</c:v>
                </c:pt>
                <c:pt idx="1081">
                  <c:v>45068</c:v>
                </c:pt>
                <c:pt idx="1082">
                  <c:v>45069</c:v>
                </c:pt>
                <c:pt idx="1083">
                  <c:v>45070</c:v>
                </c:pt>
                <c:pt idx="1084">
                  <c:v>45071</c:v>
                </c:pt>
                <c:pt idx="1085">
                  <c:v>45072</c:v>
                </c:pt>
                <c:pt idx="1086">
                  <c:v>45075</c:v>
                </c:pt>
                <c:pt idx="1087">
                  <c:v>45076</c:v>
                </c:pt>
                <c:pt idx="1088">
                  <c:v>45077</c:v>
                </c:pt>
                <c:pt idx="1089">
                  <c:v>45078</c:v>
                </c:pt>
                <c:pt idx="1090">
                  <c:v>45079</c:v>
                </c:pt>
                <c:pt idx="1091">
                  <c:v>45082</c:v>
                </c:pt>
                <c:pt idx="1092">
                  <c:v>45083</c:v>
                </c:pt>
                <c:pt idx="1093">
                  <c:v>45084</c:v>
                </c:pt>
                <c:pt idx="1094">
                  <c:v>45085</c:v>
                </c:pt>
                <c:pt idx="1095">
                  <c:v>45086</c:v>
                </c:pt>
                <c:pt idx="1096">
                  <c:v>45089</c:v>
                </c:pt>
                <c:pt idx="1097">
                  <c:v>45090</c:v>
                </c:pt>
                <c:pt idx="1098">
                  <c:v>45091</c:v>
                </c:pt>
                <c:pt idx="1099">
                  <c:v>45092</c:v>
                </c:pt>
                <c:pt idx="1100">
                  <c:v>45093</c:v>
                </c:pt>
                <c:pt idx="1101">
                  <c:v>45096</c:v>
                </c:pt>
                <c:pt idx="1102">
                  <c:v>45097</c:v>
                </c:pt>
                <c:pt idx="1103">
                  <c:v>45098</c:v>
                </c:pt>
                <c:pt idx="1104">
                  <c:v>45099</c:v>
                </c:pt>
                <c:pt idx="1105">
                  <c:v>45100</c:v>
                </c:pt>
                <c:pt idx="1106">
                  <c:v>45103</c:v>
                </c:pt>
                <c:pt idx="1107">
                  <c:v>45104</c:v>
                </c:pt>
                <c:pt idx="1108">
                  <c:v>45105</c:v>
                </c:pt>
                <c:pt idx="1109">
                  <c:v>45107</c:v>
                </c:pt>
                <c:pt idx="1110">
                  <c:v>45110</c:v>
                </c:pt>
                <c:pt idx="1111">
                  <c:v>45111</c:v>
                </c:pt>
                <c:pt idx="1112">
                  <c:v>45112</c:v>
                </c:pt>
                <c:pt idx="1113">
                  <c:v>45113</c:v>
                </c:pt>
                <c:pt idx="1114">
                  <c:v>45114</c:v>
                </c:pt>
                <c:pt idx="1115">
                  <c:v>45117</c:v>
                </c:pt>
                <c:pt idx="1116">
                  <c:v>45118</c:v>
                </c:pt>
                <c:pt idx="1117">
                  <c:v>45119</c:v>
                </c:pt>
                <c:pt idx="1118">
                  <c:v>45120</c:v>
                </c:pt>
                <c:pt idx="1119">
                  <c:v>45121</c:v>
                </c:pt>
                <c:pt idx="1120">
                  <c:v>45124</c:v>
                </c:pt>
                <c:pt idx="1121">
                  <c:v>45125</c:v>
                </c:pt>
                <c:pt idx="1122">
                  <c:v>45126</c:v>
                </c:pt>
                <c:pt idx="1123">
                  <c:v>45127</c:v>
                </c:pt>
                <c:pt idx="1124">
                  <c:v>45128</c:v>
                </c:pt>
                <c:pt idx="1125">
                  <c:v>45131</c:v>
                </c:pt>
                <c:pt idx="1126">
                  <c:v>45132</c:v>
                </c:pt>
                <c:pt idx="1127">
                  <c:v>45133</c:v>
                </c:pt>
                <c:pt idx="1128">
                  <c:v>45134</c:v>
                </c:pt>
                <c:pt idx="1129">
                  <c:v>45135</c:v>
                </c:pt>
                <c:pt idx="1130">
                  <c:v>45138</c:v>
                </c:pt>
                <c:pt idx="1131">
                  <c:v>45139</c:v>
                </c:pt>
                <c:pt idx="1132">
                  <c:v>45140</c:v>
                </c:pt>
                <c:pt idx="1133">
                  <c:v>45141</c:v>
                </c:pt>
                <c:pt idx="1134">
                  <c:v>45142</c:v>
                </c:pt>
                <c:pt idx="1135">
                  <c:v>45145</c:v>
                </c:pt>
                <c:pt idx="1136">
                  <c:v>45146</c:v>
                </c:pt>
                <c:pt idx="1137">
                  <c:v>45147</c:v>
                </c:pt>
                <c:pt idx="1138">
                  <c:v>45148</c:v>
                </c:pt>
                <c:pt idx="1139">
                  <c:v>45149</c:v>
                </c:pt>
                <c:pt idx="1140">
                  <c:v>45152</c:v>
                </c:pt>
                <c:pt idx="1141">
                  <c:v>45154</c:v>
                </c:pt>
                <c:pt idx="1142">
                  <c:v>45155</c:v>
                </c:pt>
                <c:pt idx="1143">
                  <c:v>45156</c:v>
                </c:pt>
                <c:pt idx="1144">
                  <c:v>45159</c:v>
                </c:pt>
                <c:pt idx="1145">
                  <c:v>45160</c:v>
                </c:pt>
                <c:pt idx="1146">
                  <c:v>45161</c:v>
                </c:pt>
                <c:pt idx="1147">
                  <c:v>45162</c:v>
                </c:pt>
                <c:pt idx="1148">
                  <c:v>45163</c:v>
                </c:pt>
                <c:pt idx="1149">
                  <c:v>45166</c:v>
                </c:pt>
                <c:pt idx="1150">
                  <c:v>45167</c:v>
                </c:pt>
                <c:pt idx="1151">
                  <c:v>45168</c:v>
                </c:pt>
                <c:pt idx="1152">
                  <c:v>45169</c:v>
                </c:pt>
                <c:pt idx="1153">
                  <c:v>45170</c:v>
                </c:pt>
                <c:pt idx="1154">
                  <c:v>45173</c:v>
                </c:pt>
                <c:pt idx="1155">
                  <c:v>45174</c:v>
                </c:pt>
                <c:pt idx="1156">
                  <c:v>45175</c:v>
                </c:pt>
                <c:pt idx="1157">
                  <c:v>45176</c:v>
                </c:pt>
                <c:pt idx="1158">
                  <c:v>45177</c:v>
                </c:pt>
                <c:pt idx="1159">
                  <c:v>45180</c:v>
                </c:pt>
                <c:pt idx="1160">
                  <c:v>45181</c:v>
                </c:pt>
                <c:pt idx="1161">
                  <c:v>45182</c:v>
                </c:pt>
                <c:pt idx="1162">
                  <c:v>45183</c:v>
                </c:pt>
                <c:pt idx="1163">
                  <c:v>45184</c:v>
                </c:pt>
                <c:pt idx="1164">
                  <c:v>45187</c:v>
                </c:pt>
                <c:pt idx="1165">
                  <c:v>45189</c:v>
                </c:pt>
                <c:pt idx="1166">
                  <c:v>45190</c:v>
                </c:pt>
                <c:pt idx="1167">
                  <c:v>45191</c:v>
                </c:pt>
                <c:pt idx="1168">
                  <c:v>45194</c:v>
                </c:pt>
                <c:pt idx="1169">
                  <c:v>45195</c:v>
                </c:pt>
                <c:pt idx="1170">
                  <c:v>45196</c:v>
                </c:pt>
                <c:pt idx="1171">
                  <c:v>45197</c:v>
                </c:pt>
                <c:pt idx="1172">
                  <c:v>45198</c:v>
                </c:pt>
                <c:pt idx="1173">
                  <c:v>45202</c:v>
                </c:pt>
                <c:pt idx="1174">
                  <c:v>45203</c:v>
                </c:pt>
                <c:pt idx="1175">
                  <c:v>45204</c:v>
                </c:pt>
                <c:pt idx="1176">
                  <c:v>45205</c:v>
                </c:pt>
                <c:pt idx="1177">
                  <c:v>45208</c:v>
                </c:pt>
                <c:pt idx="1178">
                  <c:v>45209</c:v>
                </c:pt>
                <c:pt idx="1179">
                  <c:v>45210</c:v>
                </c:pt>
                <c:pt idx="1180">
                  <c:v>45211</c:v>
                </c:pt>
                <c:pt idx="1181">
                  <c:v>45212</c:v>
                </c:pt>
                <c:pt idx="1182">
                  <c:v>45215</c:v>
                </c:pt>
                <c:pt idx="1183">
                  <c:v>45216</c:v>
                </c:pt>
                <c:pt idx="1184">
                  <c:v>45217</c:v>
                </c:pt>
                <c:pt idx="1185">
                  <c:v>45218</c:v>
                </c:pt>
                <c:pt idx="1186">
                  <c:v>45219</c:v>
                </c:pt>
                <c:pt idx="1187">
                  <c:v>45222</c:v>
                </c:pt>
                <c:pt idx="1188">
                  <c:v>45224</c:v>
                </c:pt>
                <c:pt idx="1189">
                  <c:v>45225</c:v>
                </c:pt>
                <c:pt idx="1190">
                  <c:v>45226</c:v>
                </c:pt>
                <c:pt idx="1191">
                  <c:v>45229</c:v>
                </c:pt>
                <c:pt idx="1192">
                  <c:v>45230</c:v>
                </c:pt>
                <c:pt idx="1193">
                  <c:v>45231</c:v>
                </c:pt>
                <c:pt idx="1194">
                  <c:v>45232</c:v>
                </c:pt>
                <c:pt idx="1195">
                  <c:v>45233</c:v>
                </c:pt>
                <c:pt idx="1196">
                  <c:v>45236</c:v>
                </c:pt>
                <c:pt idx="1197">
                  <c:v>45237</c:v>
                </c:pt>
                <c:pt idx="1198">
                  <c:v>45238</c:v>
                </c:pt>
                <c:pt idx="1199">
                  <c:v>45239</c:v>
                </c:pt>
                <c:pt idx="1200">
                  <c:v>45240</c:v>
                </c:pt>
                <c:pt idx="1201">
                  <c:v>45243</c:v>
                </c:pt>
                <c:pt idx="1202">
                  <c:v>45245</c:v>
                </c:pt>
                <c:pt idx="1203">
                  <c:v>45246</c:v>
                </c:pt>
                <c:pt idx="1204">
                  <c:v>45247</c:v>
                </c:pt>
                <c:pt idx="1205">
                  <c:v>45250</c:v>
                </c:pt>
                <c:pt idx="1206">
                  <c:v>45251</c:v>
                </c:pt>
                <c:pt idx="1207">
                  <c:v>45252</c:v>
                </c:pt>
                <c:pt idx="1208">
                  <c:v>45253</c:v>
                </c:pt>
                <c:pt idx="1209">
                  <c:v>45254</c:v>
                </c:pt>
                <c:pt idx="1210">
                  <c:v>45258</c:v>
                </c:pt>
                <c:pt idx="1211">
                  <c:v>45259</c:v>
                </c:pt>
                <c:pt idx="1212">
                  <c:v>45260</c:v>
                </c:pt>
                <c:pt idx="1213">
                  <c:v>45261</c:v>
                </c:pt>
                <c:pt idx="1214">
                  <c:v>45264</c:v>
                </c:pt>
                <c:pt idx="1215">
                  <c:v>45265</c:v>
                </c:pt>
                <c:pt idx="1216">
                  <c:v>45266</c:v>
                </c:pt>
                <c:pt idx="1217">
                  <c:v>45267</c:v>
                </c:pt>
                <c:pt idx="1218">
                  <c:v>45268</c:v>
                </c:pt>
                <c:pt idx="1219">
                  <c:v>45271</c:v>
                </c:pt>
                <c:pt idx="1220">
                  <c:v>45272</c:v>
                </c:pt>
                <c:pt idx="1221">
                  <c:v>45273</c:v>
                </c:pt>
                <c:pt idx="1222">
                  <c:v>45274</c:v>
                </c:pt>
                <c:pt idx="1223">
                  <c:v>45275</c:v>
                </c:pt>
                <c:pt idx="1224">
                  <c:v>45278</c:v>
                </c:pt>
                <c:pt idx="1225">
                  <c:v>45279</c:v>
                </c:pt>
                <c:pt idx="1226">
                  <c:v>45280</c:v>
                </c:pt>
                <c:pt idx="1227">
                  <c:v>45281</c:v>
                </c:pt>
                <c:pt idx="1228">
                  <c:v>45282</c:v>
                </c:pt>
                <c:pt idx="1229">
                  <c:v>45286</c:v>
                </c:pt>
                <c:pt idx="1230">
                  <c:v>45287</c:v>
                </c:pt>
                <c:pt idx="1231">
                  <c:v>45288</c:v>
                </c:pt>
                <c:pt idx="1232">
                  <c:v>45289</c:v>
                </c:pt>
                <c:pt idx="1233">
                  <c:v>45292</c:v>
                </c:pt>
                <c:pt idx="1234">
                  <c:v>45293</c:v>
                </c:pt>
                <c:pt idx="1235">
                  <c:v>45294</c:v>
                </c:pt>
                <c:pt idx="1236">
                  <c:v>45295</c:v>
                </c:pt>
                <c:pt idx="1237">
                  <c:v>45296</c:v>
                </c:pt>
                <c:pt idx="1238">
                  <c:v>45299</c:v>
                </c:pt>
                <c:pt idx="1239">
                  <c:v>45300</c:v>
                </c:pt>
                <c:pt idx="1240">
                  <c:v>45301</c:v>
                </c:pt>
                <c:pt idx="1241">
                  <c:v>45302</c:v>
                </c:pt>
                <c:pt idx="1242">
                  <c:v>45303</c:v>
                </c:pt>
                <c:pt idx="1243">
                  <c:v>45306</c:v>
                </c:pt>
                <c:pt idx="1244">
                  <c:v>45307</c:v>
                </c:pt>
                <c:pt idx="1245">
                  <c:v>45308</c:v>
                </c:pt>
                <c:pt idx="1246">
                  <c:v>45309</c:v>
                </c:pt>
                <c:pt idx="1247">
                  <c:v>45310</c:v>
                </c:pt>
                <c:pt idx="1248">
                  <c:v>45314</c:v>
                </c:pt>
                <c:pt idx="1249">
                  <c:v>45315</c:v>
                </c:pt>
                <c:pt idx="1250">
                  <c:v>45316</c:v>
                </c:pt>
                <c:pt idx="1251">
                  <c:v>45320</c:v>
                </c:pt>
                <c:pt idx="1252">
                  <c:v>45321</c:v>
                </c:pt>
                <c:pt idx="1253">
                  <c:v>45322</c:v>
                </c:pt>
                <c:pt idx="1254">
                  <c:v>45323</c:v>
                </c:pt>
                <c:pt idx="1255">
                  <c:v>45324</c:v>
                </c:pt>
                <c:pt idx="1256">
                  <c:v>45327</c:v>
                </c:pt>
                <c:pt idx="1257">
                  <c:v>45328</c:v>
                </c:pt>
                <c:pt idx="1258">
                  <c:v>45329</c:v>
                </c:pt>
                <c:pt idx="1259">
                  <c:v>45330</c:v>
                </c:pt>
                <c:pt idx="1260">
                  <c:v>45331</c:v>
                </c:pt>
                <c:pt idx="1261">
                  <c:v>45334</c:v>
                </c:pt>
                <c:pt idx="1262">
                  <c:v>45335</c:v>
                </c:pt>
                <c:pt idx="1263">
                  <c:v>45336</c:v>
                </c:pt>
                <c:pt idx="1264">
                  <c:v>45337</c:v>
                </c:pt>
                <c:pt idx="1265">
                  <c:v>45338</c:v>
                </c:pt>
                <c:pt idx="1266">
                  <c:v>45341</c:v>
                </c:pt>
                <c:pt idx="1267">
                  <c:v>45342</c:v>
                </c:pt>
                <c:pt idx="1268">
                  <c:v>45343</c:v>
                </c:pt>
                <c:pt idx="1269">
                  <c:v>45344</c:v>
                </c:pt>
                <c:pt idx="1270">
                  <c:v>45345</c:v>
                </c:pt>
                <c:pt idx="1271">
                  <c:v>45348</c:v>
                </c:pt>
                <c:pt idx="1272">
                  <c:v>45349</c:v>
                </c:pt>
                <c:pt idx="1273">
                  <c:v>45350</c:v>
                </c:pt>
                <c:pt idx="1274">
                  <c:v>45351</c:v>
                </c:pt>
                <c:pt idx="1275">
                  <c:v>45352</c:v>
                </c:pt>
                <c:pt idx="1276">
                  <c:v>45355</c:v>
                </c:pt>
                <c:pt idx="1277">
                  <c:v>45356</c:v>
                </c:pt>
                <c:pt idx="1278">
                  <c:v>45357</c:v>
                </c:pt>
                <c:pt idx="1279">
                  <c:v>45358</c:v>
                </c:pt>
                <c:pt idx="1280">
                  <c:v>45362</c:v>
                </c:pt>
                <c:pt idx="1281">
                  <c:v>45363</c:v>
                </c:pt>
                <c:pt idx="1282">
                  <c:v>45364</c:v>
                </c:pt>
                <c:pt idx="1283">
                  <c:v>45365</c:v>
                </c:pt>
                <c:pt idx="1284">
                  <c:v>45366</c:v>
                </c:pt>
                <c:pt idx="1285">
                  <c:v>45369</c:v>
                </c:pt>
                <c:pt idx="1286">
                  <c:v>45370</c:v>
                </c:pt>
                <c:pt idx="1287">
                  <c:v>45371</c:v>
                </c:pt>
                <c:pt idx="1288">
                  <c:v>45372</c:v>
                </c:pt>
                <c:pt idx="1289">
                  <c:v>45373</c:v>
                </c:pt>
                <c:pt idx="1290">
                  <c:v>45377</c:v>
                </c:pt>
                <c:pt idx="1291">
                  <c:v>45378</c:v>
                </c:pt>
                <c:pt idx="1292">
                  <c:v>45379</c:v>
                </c:pt>
                <c:pt idx="1293">
                  <c:v>45383</c:v>
                </c:pt>
                <c:pt idx="1294">
                  <c:v>45384</c:v>
                </c:pt>
                <c:pt idx="1295">
                  <c:v>45385</c:v>
                </c:pt>
                <c:pt idx="1296">
                  <c:v>45386</c:v>
                </c:pt>
                <c:pt idx="1297">
                  <c:v>45387</c:v>
                </c:pt>
                <c:pt idx="1298">
                  <c:v>45390</c:v>
                </c:pt>
                <c:pt idx="1299">
                  <c:v>45391</c:v>
                </c:pt>
                <c:pt idx="1300">
                  <c:v>45392</c:v>
                </c:pt>
                <c:pt idx="1301">
                  <c:v>45394</c:v>
                </c:pt>
                <c:pt idx="1302">
                  <c:v>45397</c:v>
                </c:pt>
                <c:pt idx="1303">
                  <c:v>45398</c:v>
                </c:pt>
                <c:pt idx="1304">
                  <c:v>45400</c:v>
                </c:pt>
                <c:pt idx="1305">
                  <c:v>45401</c:v>
                </c:pt>
                <c:pt idx="1306">
                  <c:v>45404</c:v>
                </c:pt>
                <c:pt idx="1307">
                  <c:v>45405</c:v>
                </c:pt>
                <c:pt idx="1308">
                  <c:v>45406</c:v>
                </c:pt>
                <c:pt idx="1309">
                  <c:v>45407</c:v>
                </c:pt>
                <c:pt idx="1310">
                  <c:v>45408</c:v>
                </c:pt>
                <c:pt idx="1311">
                  <c:v>45411</c:v>
                </c:pt>
                <c:pt idx="1312">
                  <c:v>45412</c:v>
                </c:pt>
                <c:pt idx="1313">
                  <c:v>45414</c:v>
                </c:pt>
                <c:pt idx="1314">
                  <c:v>45415</c:v>
                </c:pt>
                <c:pt idx="1315">
                  <c:v>45418</c:v>
                </c:pt>
                <c:pt idx="1316">
                  <c:v>45419</c:v>
                </c:pt>
                <c:pt idx="1317">
                  <c:v>45420</c:v>
                </c:pt>
                <c:pt idx="1318">
                  <c:v>45421</c:v>
                </c:pt>
                <c:pt idx="1319">
                  <c:v>45422</c:v>
                </c:pt>
                <c:pt idx="1320">
                  <c:v>45425</c:v>
                </c:pt>
                <c:pt idx="1321">
                  <c:v>45426</c:v>
                </c:pt>
                <c:pt idx="1322">
                  <c:v>45427</c:v>
                </c:pt>
                <c:pt idx="1323">
                  <c:v>45428</c:v>
                </c:pt>
                <c:pt idx="1324">
                  <c:v>45429</c:v>
                </c:pt>
                <c:pt idx="1325">
                  <c:v>45433</c:v>
                </c:pt>
                <c:pt idx="1326">
                  <c:v>45434</c:v>
                </c:pt>
                <c:pt idx="1327">
                  <c:v>45435</c:v>
                </c:pt>
                <c:pt idx="1328">
                  <c:v>45436</c:v>
                </c:pt>
                <c:pt idx="1329">
                  <c:v>45439</c:v>
                </c:pt>
                <c:pt idx="1330">
                  <c:v>45440</c:v>
                </c:pt>
                <c:pt idx="1331">
                  <c:v>45441</c:v>
                </c:pt>
                <c:pt idx="1332">
                  <c:v>45442</c:v>
                </c:pt>
                <c:pt idx="1333">
                  <c:v>45443</c:v>
                </c:pt>
                <c:pt idx="1334">
                  <c:v>45446</c:v>
                </c:pt>
                <c:pt idx="1335">
                  <c:v>45447</c:v>
                </c:pt>
                <c:pt idx="1336">
                  <c:v>45448</c:v>
                </c:pt>
                <c:pt idx="1337">
                  <c:v>45449</c:v>
                </c:pt>
                <c:pt idx="1338">
                  <c:v>45450</c:v>
                </c:pt>
                <c:pt idx="1339">
                  <c:v>45453</c:v>
                </c:pt>
                <c:pt idx="1340">
                  <c:v>45454</c:v>
                </c:pt>
                <c:pt idx="1341">
                  <c:v>45455</c:v>
                </c:pt>
                <c:pt idx="1342">
                  <c:v>45456</c:v>
                </c:pt>
                <c:pt idx="1343">
                  <c:v>45457</c:v>
                </c:pt>
                <c:pt idx="1344">
                  <c:v>45461</c:v>
                </c:pt>
                <c:pt idx="1345">
                  <c:v>45462</c:v>
                </c:pt>
                <c:pt idx="1346">
                  <c:v>45463</c:v>
                </c:pt>
                <c:pt idx="1347">
                  <c:v>45464</c:v>
                </c:pt>
                <c:pt idx="1348">
                  <c:v>45467</c:v>
                </c:pt>
                <c:pt idx="1349">
                  <c:v>45468</c:v>
                </c:pt>
                <c:pt idx="1350">
                  <c:v>45469</c:v>
                </c:pt>
                <c:pt idx="1351">
                  <c:v>45470</c:v>
                </c:pt>
                <c:pt idx="1352">
                  <c:v>45471</c:v>
                </c:pt>
                <c:pt idx="1353">
                  <c:v>45474</c:v>
                </c:pt>
                <c:pt idx="1354">
                  <c:v>45475</c:v>
                </c:pt>
                <c:pt idx="1355">
                  <c:v>45476</c:v>
                </c:pt>
                <c:pt idx="1356">
                  <c:v>45477</c:v>
                </c:pt>
                <c:pt idx="1357">
                  <c:v>45478</c:v>
                </c:pt>
                <c:pt idx="1358">
                  <c:v>45481</c:v>
                </c:pt>
                <c:pt idx="1359">
                  <c:v>45482</c:v>
                </c:pt>
                <c:pt idx="1360">
                  <c:v>45483</c:v>
                </c:pt>
                <c:pt idx="1361">
                  <c:v>45484</c:v>
                </c:pt>
                <c:pt idx="1362">
                  <c:v>45485</c:v>
                </c:pt>
                <c:pt idx="1363">
                  <c:v>45488</c:v>
                </c:pt>
                <c:pt idx="1364">
                  <c:v>45489</c:v>
                </c:pt>
                <c:pt idx="1365">
                  <c:v>45491</c:v>
                </c:pt>
                <c:pt idx="1366">
                  <c:v>45492</c:v>
                </c:pt>
                <c:pt idx="1367">
                  <c:v>45495</c:v>
                </c:pt>
                <c:pt idx="1368">
                  <c:v>45496</c:v>
                </c:pt>
                <c:pt idx="1369">
                  <c:v>45497</c:v>
                </c:pt>
                <c:pt idx="1370">
                  <c:v>45498</c:v>
                </c:pt>
                <c:pt idx="1371">
                  <c:v>45499</c:v>
                </c:pt>
                <c:pt idx="1372">
                  <c:v>45502</c:v>
                </c:pt>
                <c:pt idx="1373">
                  <c:v>45503</c:v>
                </c:pt>
                <c:pt idx="1374">
                  <c:v>45504</c:v>
                </c:pt>
                <c:pt idx="1375">
                  <c:v>45505</c:v>
                </c:pt>
                <c:pt idx="1376">
                  <c:v>45506</c:v>
                </c:pt>
                <c:pt idx="1377">
                  <c:v>45509</c:v>
                </c:pt>
                <c:pt idx="1378">
                  <c:v>45510</c:v>
                </c:pt>
                <c:pt idx="1379">
                  <c:v>45511</c:v>
                </c:pt>
                <c:pt idx="1380">
                  <c:v>45512</c:v>
                </c:pt>
                <c:pt idx="1381">
                  <c:v>45513</c:v>
                </c:pt>
                <c:pt idx="1382">
                  <c:v>45516</c:v>
                </c:pt>
                <c:pt idx="1383">
                  <c:v>45517</c:v>
                </c:pt>
                <c:pt idx="1384">
                  <c:v>45518</c:v>
                </c:pt>
                <c:pt idx="1385">
                  <c:v>45520</c:v>
                </c:pt>
                <c:pt idx="1386">
                  <c:v>45523</c:v>
                </c:pt>
                <c:pt idx="1387">
                  <c:v>45524</c:v>
                </c:pt>
                <c:pt idx="1388">
                  <c:v>45525</c:v>
                </c:pt>
                <c:pt idx="1389">
                  <c:v>45526</c:v>
                </c:pt>
                <c:pt idx="1390">
                  <c:v>45527</c:v>
                </c:pt>
                <c:pt idx="1391">
                  <c:v>45530</c:v>
                </c:pt>
                <c:pt idx="1392">
                  <c:v>45531</c:v>
                </c:pt>
                <c:pt idx="1393">
                  <c:v>45532</c:v>
                </c:pt>
                <c:pt idx="1394">
                  <c:v>45533</c:v>
                </c:pt>
                <c:pt idx="1395">
                  <c:v>45534</c:v>
                </c:pt>
                <c:pt idx="1396">
                  <c:v>45537</c:v>
                </c:pt>
                <c:pt idx="1397">
                  <c:v>45538</c:v>
                </c:pt>
                <c:pt idx="1398">
                  <c:v>45539</c:v>
                </c:pt>
                <c:pt idx="1399">
                  <c:v>45540</c:v>
                </c:pt>
                <c:pt idx="1400">
                  <c:v>45541</c:v>
                </c:pt>
                <c:pt idx="1401">
                  <c:v>45544</c:v>
                </c:pt>
                <c:pt idx="1402">
                  <c:v>45545</c:v>
                </c:pt>
                <c:pt idx="1403">
                  <c:v>45546</c:v>
                </c:pt>
                <c:pt idx="1404">
                  <c:v>45547</c:v>
                </c:pt>
                <c:pt idx="1405">
                  <c:v>45548</c:v>
                </c:pt>
                <c:pt idx="1406">
                  <c:v>45551</c:v>
                </c:pt>
                <c:pt idx="1407">
                  <c:v>45552</c:v>
                </c:pt>
                <c:pt idx="1408">
                  <c:v>45553</c:v>
                </c:pt>
                <c:pt idx="1409">
                  <c:v>45554</c:v>
                </c:pt>
                <c:pt idx="1410">
                  <c:v>45555</c:v>
                </c:pt>
                <c:pt idx="1411">
                  <c:v>45558</c:v>
                </c:pt>
                <c:pt idx="1412">
                  <c:v>45559</c:v>
                </c:pt>
                <c:pt idx="1413">
                  <c:v>45560</c:v>
                </c:pt>
                <c:pt idx="1414">
                  <c:v>45561</c:v>
                </c:pt>
                <c:pt idx="1415">
                  <c:v>45562</c:v>
                </c:pt>
                <c:pt idx="1416">
                  <c:v>45565</c:v>
                </c:pt>
                <c:pt idx="1417">
                  <c:v>45566</c:v>
                </c:pt>
                <c:pt idx="1418">
                  <c:v>45568</c:v>
                </c:pt>
                <c:pt idx="1419">
                  <c:v>45569</c:v>
                </c:pt>
                <c:pt idx="1420">
                  <c:v>45572</c:v>
                </c:pt>
                <c:pt idx="1421">
                  <c:v>45573</c:v>
                </c:pt>
                <c:pt idx="1422">
                  <c:v>45574</c:v>
                </c:pt>
                <c:pt idx="1423">
                  <c:v>45575</c:v>
                </c:pt>
                <c:pt idx="1424">
                  <c:v>45576</c:v>
                </c:pt>
                <c:pt idx="1425">
                  <c:v>45579</c:v>
                </c:pt>
                <c:pt idx="1426">
                  <c:v>45580</c:v>
                </c:pt>
                <c:pt idx="1427">
                  <c:v>45581</c:v>
                </c:pt>
                <c:pt idx="1428">
                  <c:v>45582</c:v>
                </c:pt>
                <c:pt idx="1429">
                  <c:v>45583</c:v>
                </c:pt>
                <c:pt idx="1430">
                  <c:v>45586</c:v>
                </c:pt>
                <c:pt idx="1431">
                  <c:v>45587</c:v>
                </c:pt>
                <c:pt idx="1432">
                  <c:v>45588</c:v>
                </c:pt>
                <c:pt idx="1433">
                  <c:v>45589</c:v>
                </c:pt>
                <c:pt idx="1434">
                  <c:v>45590</c:v>
                </c:pt>
                <c:pt idx="1435">
                  <c:v>45593</c:v>
                </c:pt>
                <c:pt idx="1436">
                  <c:v>45594</c:v>
                </c:pt>
                <c:pt idx="1437">
                  <c:v>45595</c:v>
                </c:pt>
                <c:pt idx="1438">
                  <c:v>45596</c:v>
                </c:pt>
                <c:pt idx="1439">
                  <c:v>45597</c:v>
                </c:pt>
                <c:pt idx="1440">
                  <c:v>45600</c:v>
                </c:pt>
                <c:pt idx="1441">
                  <c:v>45601</c:v>
                </c:pt>
                <c:pt idx="1442">
                  <c:v>45602</c:v>
                </c:pt>
                <c:pt idx="1443">
                  <c:v>45603</c:v>
                </c:pt>
                <c:pt idx="1444">
                  <c:v>45604</c:v>
                </c:pt>
                <c:pt idx="1445">
                  <c:v>45607</c:v>
                </c:pt>
                <c:pt idx="1446">
                  <c:v>45608</c:v>
                </c:pt>
                <c:pt idx="1447">
                  <c:v>45609</c:v>
                </c:pt>
                <c:pt idx="1448">
                  <c:v>45610</c:v>
                </c:pt>
                <c:pt idx="1449">
                  <c:v>45614</c:v>
                </c:pt>
                <c:pt idx="1450">
                  <c:v>45615</c:v>
                </c:pt>
                <c:pt idx="1451">
                  <c:v>45617</c:v>
                </c:pt>
                <c:pt idx="1452">
                  <c:v>45618</c:v>
                </c:pt>
                <c:pt idx="1453">
                  <c:v>45621</c:v>
                </c:pt>
                <c:pt idx="1454">
                  <c:v>45622</c:v>
                </c:pt>
                <c:pt idx="1455">
                  <c:v>45623</c:v>
                </c:pt>
                <c:pt idx="1456">
                  <c:v>45624</c:v>
                </c:pt>
                <c:pt idx="1457">
                  <c:v>45625</c:v>
                </c:pt>
                <c:pt idx="1458">
                  <c:v>45628</c:v>
                </c:pt>
                <c:pt idx="1459">
                  <c:v>45629</c:v>
                </c:pt>
                <c:pt idx="1460">
                  <c:v>45630</c:v>
                </c:pt>
                <c:pt idx="1461">
                  <c:v>45631</c:v>
                </c:pt>
                <c:pt idx="1462">
                  <c:v>45632</c:v>
                </c:pt>
                <c:pt idx="1463">
                  <c:v>45635</c:v>
                </c:pt>
                <c:pt idx="1464">
                  <c:v>45636</c:v>
                </c:pt>
                <c:pt idx="1465">
                  <c:v>45637</c:v>
                </c:pt>
                <c:pt idx="1466">
                  <c:v>45638</c:v>
                </c:pt>
                <c:pt idx="1467">
                  <c:v>45639</c:v>
                </c:pt>
                <c:pt idx="1468">
                  <c:v>45642</c:v>
                </c:pt>
                <c:pt idx="1469">
                  <c:v>45643</c:v>
                </c:pt>
                <c:pt idx="1470">
                  <c:v>45644</c:v>
                </c:pt>
                <c:pt idx="1471">
                  <c:v>45645</c:v>
                </c:pt>
                <c:pt idx="1472">
                  <c:v>45646</c:v>
                </c:pt>
                <c:pt idx="1473">
                  <c:v>45649</c:v>
                </c:pt>
                <c:pt idx="1474">
                  <c:v>45650</c:v>
                </c:pt>
                <c:pt idx="1475">
                  <c:v>45652</c:v>
                </c:pt>
                <c:pt idx="1476">
                  <c:v>45653</c:v>
                </c:pt>
                <c:pt idx="1477">
                  <c:v>45656</c:v>
                </c:pt>
                <c:pt idx="1478">
                  <c:v>45657</c:v>
                </c:pt>
                <c:pt idx="1479">
                  <c:v>45658</c:v>
                </c:pt>
                <c:pt idx="1480">
                  <c:v>45659</c:v>
                </c:pt>
                <c:pt idx="1481">
                  <c:v>45660</c:v>
                </c:pt>
                <c:pt idx="1482">
                  <c:v>45663</c:v>
                </c:pt>
                <c:pt idx="1483">
                  <c:v>45664</c:v>
                </c:pt>
                <c:pt idx="1484">
                  <c:v>45665</c:v>
                </c:pt>
                <c:pt idx="1485">
                  <c:v>45666</c:v>
                </c:pt>
                <c:pt idx="1486">
                  <c:v>45667</c:v>
                </c:pt>
                <c:pt idx="1487">
                  <c:v>45670</c:v>
                </c:pt>
                <c:pt idx="1488">
                  <c:v>45671</c:v>
                </c:pt>
                <c:pt idx="1489">
                  <c:v>45672</c:v>
                </c:pt>
                <c:pt idx="1490">
                  <c:v>45673</c:v>
                </c:pt>
                <c:pt idx="1491">
                  <c:v>45674</c:v>
                </c:pt>
                <c:pt idx="1492">
                  <c:v>45677</c:v>
                </c:pt>
                <c:pt idx="1493">
                  <c:v>45678</c:v>
                </c:pt>
                <c:pt idx="1494">
                  <c:v>45679</c:v>
                </c:pt>
                <c:pt idx="1495">
                  <c:v>45680</c:v>
                </c:pt>
                <c:pt idx="1496">
                  <c:v>45681</c:v>
                </c:pt>
                <c:pt idx="1497">
                  <c:v>45684</c:v>
                </c:pt>
                <c:pt idx="1498">
                  <c:v>45685</c:v>
                </c:pt>
                <c:pt idx="1499">
                  <c:v>45686</c:v>
                </c:pt>
                <c:pt idx="1500">
                  <c:v>45687</c:v>
                </c:pt>
                <c:pt idx="1501">
                  <c:v>45688</c:v>
                </c:pt>
                <c:pt idx="1502">
                  <c:v>45689</c:v>
                </c:pt>
                <c:pt idx="1503">
                  <c:v>45691</c:v>
                </c:pt>
                <c:pt idx="1504">
                  <c:v>45692</c:v>
                </c:pt>
                <c:pt idx="1505">
                  <c:v>45693</c:v>
                </c:pt>
                <c:pt idx="1506">
                  <c:v>45694</c:v>
                </c:pt>
                <c:pt idx="1507">
                  <c:v>45695</c:v>
                </c:pt>
                <c:pt idx="1508">
                  <c:v>45698</c:v>
                </c:pt>
                <c:pt idx="1509">
                  <c:v>45699</c:v>
                </c:pt>
                <c:pt idx="1510">
                  <c:v>45700</c:v>
                </c:pt>
                <c:pt idx="1511">
                  <c:v>45701</c:v>
                </c:pt>
                <c:pt idx="1512">
                  <c:v>45702</c:v>
                </c:pt>
                <c:pt idx="1513">
                  <c:v>45705</c:v>
                </c:pt>
                <c:pt idx="1514">
                  <c:v>45706</c:v>
                </c:pt>
                <c:pt idx="1515">
                  <c:v>45707</c:v>
                </c:pt>
                <c:pt idx="1516">
                  <c:v>45708</c:v>
                </c:pt>
                <c:pt idx="1517">
                  <c:v>45709</c:v>
                </c:pt>
                <c:pt idx="1518">
                  <c:v>45712</c:v>
                </c:pt>
                <c:pt idx="1519">
                  <c:v>45713</c:v>
                </c:pt>
                <c:pt idx="1520">
                  <c:v>45715</c:v>
                </c:pt>
                <c:pt idx="1521">
                  <c:v>45716</c:v>
                </c:pt>
                <c:pt idx="1522">
                  <c:v>45719</c:v>
                </c:pt>
                <c:pt idx="1523">
                  <c:v>45720</c:v>
                </c:pt>
                <c:pt idx="1524">
                  <c:v>45721</c:v>
                </c:pt>
                <c:pt idx="1525">
                  <c:v>45722</c:v>
                </c:pt>
                <c:pt idx="1526">
                  <c:v>45723</c:v>
                </c:pt>
                <c:pt idx="1527">
                  <c:v>45726</c:v>
                </c:pt>
                <c:pt idx="1528">
                  <c:v>45727</c:v>
                </c:pt>
                <c:pt idx="1529">
                  <c:v>45728</c:v>
                </c:pt>
                <c:pt idx="1530">
                  <c:v>45729</c:v>
                </c:pt>
                <c:pt idx="1531">
                  <c:v>45733</c:v>
                </c:pt>
                <c:pt idx="1532">
                  <c:v>45734</c:v>
                </c:pt>
                <c:pt idx="1533">
                  <c:v>45735</c:v>
                </c:pt>
                <c:pt idx="1534">
                  <c:v>45736</c:v>
                </c:pt>
                <c:pt idx="1535">
                  <c:v>45737</c:v>
                </c:pt>
                <c:pt idx="1536">
                  <c:v>45740</c:v>
                </c:pt>
                <c:pt idx="1537">
                  <c:v>45741</c:v>
                </c:pt>
                <c:pt idx="1538">
                  <c:v>45742</c:v>
                </c:pt>
                <c:pt idx="1539">
                  <c:v>45743</c:v>
                </c:pt>
                <c:pt idx="1540">
                  <c:v>45744</c:v>
                </c:pt>
                <c:pt idx="1541">
                  <c:v>45748</c:v>
                </c:pt>
                <c:pt idx="1542">
                  <c:v>45749</c:v>
                </c:pt>
                <c:pt idx="1543">
                  <c:v>45750</c:v>
                </c:pt>
                <c:pt idx="1544">
                  <c:v>45751</c:v>
                </c:pt>
                <c:pt idx="1545">
                  <c:v>45754</c:v>
                </c:pt>
                <c:pt idx="1546">
                  <c:v>45755</c:v>
                </c:pt>
                <c:pt idx="1547">
                  <c:v>45756</c:v>
                </c:pt>
                <c:pt idx="1548">
                  <c:v>45758</c:v>
                </c:pt>
                <c:pt idx="1549">
                  <c:v>45762</c:v>
                </c:pt>
                <c:pt idx="1550">
                  <c:v>45763</c:v>
                </c:pt>
                <c:pt idx="1551">
                  <c:v>45764</c:v>
                </c:pt>
                <c:pt idx="1552">
                  <c:v>45768</c:v>
                </c:pt>
                <c:pt idx="1553">
                  <c:v>45769</c:v>
                </c:pt>
                <c:pt idx="1554">
                  <c:v>45770</c:v>
                </c:pt>
                <c:pt idx="1555">
                  <c:v>45771</c:v>
                </c:pt>
                <c:pt idx="1556">
                  <c:v>45772</c:v>
                </c:pt>
                <c:pt idx="1557">
                  <c:v>45775</c:v>
                </c:pt>
                <c:pt idx="1558">
                  <c:v>45776</c:v>
                </c:pt>
                <c:pt idx="1559">
                  <c:v>45777</c:v>
                </c:pt>
                <c:pt idx="1560">
                  <c:v>45779</c:v>
                </c:pt>
                <c:pt idx="1561">
                  <c:v>45782</c:v>
                </c:pt>
                <c:pt idx="1562">
                  <c:v>45783</c:v>
                </c:pt>
                <c:pt idx="1563">
                  <c:v>45784</c:v>
                </c:pt>
                <c:pt idx="1564">
                  <c:v>45785</c:v>
                </c:pt>
                <c:pt idx="1565">
                  <c:v>45786</c:v>
                </c:pt>
                <c:pt idx="1566">
                  <c:v>45789</c:v>
                </c:pt>
                <c:pt idx="1567">
                  <c:v>45790</c:v>
                </c:pt>
                <c:pt idx="1568">
                  <c:v>45791</c:v>
                </c:pt>
                <c:pt idx="1569">
                  <c:v>45792</c:v>
                </c:pt>
                <c:pt idx="1570">
                  <c:v>45793</c:v>
                </c:pt>
                <c:pt idx="1571">
                  <c:v>45796</c:v>
                </c:pt>
                <c:pt idx="1572">
                  <c:v>45797</c:v>
                </c:pt>
                <c:pt idx="1573">
                  <c:v>45798</c:v>
                </c:pt>
                <c:pt idx="1574">
                  <c:v>45799</c:v>
                </c:pt>
                <c:pt idx="1575">
                  <c:v>45800</c:v>
                </c:pt>
                <c:pt idx="1576">
                  <c:v>45803</c:v>
                </c:pt>
                <c:pt idx="1577">
                  <c:v>45804</c:v>
                </c:pt>
                <c:pt idx="1578">
                  <c:v>45805</c:v>
                </c:pt>
                <c:pt idx="1579">
                  <c:v>45806</c:v>
                </c:pt>
                <c:pt idx="1580">
                  <c:v>45807</c:v>
                </c:pt>
                <c:pt idx="1581">
                  <c:v>45810</c:v>
                </c:pt>
                <c:pt idx="1582">
                  <c:v>45811</c:v>
                </c:pt>
                <c:pt idx="1583">
                  <c:v>45812</c:v>
                </c:pt>
                <c:pt idx="1584">
                  <c:v>45813</c:v>
                </c:pt>
                <c:pt idx="1585">
                  <c:v>45814</c:v>
                </c:pt>
                <c:pt idx="1586">
                  <c:v>45817</c:v>
                </c:pt>
                <c:pt idx="1587">
                  <c:v>45818</c:v>
                </c:pt>
                <c:pt idx="1588">
                  <c:v>45819</c:v>
                </c:pt>
                <c:pt idx="1589">
                  <c:v>45820</c:v>
                </c:pt>
                <c:pt idx="1590">
                  <c:v>45821</c:v>
                </c:pt>
                <c:pt idx="1591">
                  <c:v>45824</c:v>
                </c:pt>
                <c:pt idx="1592">
                  <c:v>45825</c:v>
                </c:pt>
                <c:pt idx="1593">
                  <c:v>45826</c:v>
                </c:pt>
                <c:pt idx="1594">
                  <c:v>45827</c:v>
                </c:pt>
                <c:pt idx="1595">
                  <c:v>45828</c:v>
                </c:pt>
                <c:pt idx="1596">
                  <c:v>45831</c:v>
                </c:pt>
                <c:pt idx="1597">
                  <c:v>45832</c:v>
                </c:pt>
                <c:pt idx="1598">
                  <c:v>45833</c:v>
                </c:pt>
                <c:pt idx="1599">
                  <c:v>45834</c:v>
                </c:pt>
                <c:pt idx="1600">
                  <c:v>45835</c:v>
                </c:pt>
                <c:pt idx="1601">
                  <c:v>45838</c:v>
                </c:pt>
                <c:pt idx="1602">
                  <c:v>45839</c:v>
                </c:pt>
                <c:pt idx="1603">
                  <c:v>45840</c:v>
                </c:pt>
                <c:pt idx="1604">
                  <c:v>45841</c:v>
                </c:pt>
                <c:pt idx="1605">
                  <c:v>45842</c:v>
                </c:pt>
                <c:pt idx="1606">
                  <c:v>45845</c:v>
                </c:pt>
                <c:pt idx="1607">
                  <c:v>45846</c:v>
                </c:pt>
                <c:pt idx="1608">
                  <c:v>45847</c:v>
                </c:pt>
                <c:pt idx="1609">
                  <c:v>45848</c:v>
                </c:pt>
                <c:pt idx="1610">
                  <c:v>45849</c:v>
                </c:pt>
                <c:pt idx="1611">
                  <c:v>45852</c:v>
                </c:pt>
                <c:pt idx="1612">
                  <c:v>45853</c:v>
                </c:pt>
                <c:pt idx="1613">
                  <c:v>45854</c:v>
                </c:pt>
                <c:pt idx="1614">
                  <c:v>45855</c:v>
                </c:pt>
                <c:pt idx="1615">
                  <c:v>45856</c:v>
                </c:pt>
                <c:pt idx="1616">
                  <c:v>45859</c:v>
                </c:pt>
                <c:pt idx="1617">
                  <c:v>45860</c:v>
                </c:pt>
                <c:pt idx="1618">
                  <c:v>45861</c:v>
                </c:pt>
                <c:pt idx="1619">
                  <c:v>45862</c:v>
                </c:pt>
                <c:pt idx="1620">
                  <c:v>45863</c:v>
                </c:pt>
                <c:pt idx="1621">
                  <c:v>45866</c:v>
                </c:pt>
                <c:pt idx="1622">
                  <c:v>45867</c:v>
                </c:pt>
                <c:pt idx="1623">
                  <c:v>45868</c:v>
                </c:pt>
                <c:pt idx="1624">
                  <c:v>45869</c:v>
                </c:pt>
                <c:pt idx="1625">
                  <c:v>45870</c:v>
                </c:pt>
                <c:pt idx="1626">
                  <c:v>45873</c:v>
                </c:pt>
                <c:pt idx="1627">
                  <c:v>45874</c:v>
                </c:pt>
                <c:pt idx="1628">
                  <c:v>45875</c:v>
                </c:pt>
                <c:pt idx="1629">
                  <c:v>45876</c:v>
                </c:pt>
                <c:pt idx="1630">
                  <c:v>45877</c:v>
                </c:pt>
                <c:pt idx="1631">
                  <c:v>45880</c:v>
                </c:pt>
                <c:pt idx="1632">
                  <c:v>45881</c:v>
                </c:pt>
                <c:pt idx="1633">
                  <c:v>45882</c:v>
                </c:pt>
                <c:pt idx="1634">
                  <c:v>45883</c:v>
                </c:pt>
                <c:pt idx="1635">
                  <c:v>45887</c:v>
                </c:pt>
                <c:pt idx="1636">
                  <c:v>45888</c:v>
                </c:pt>
                <c:pt idx="1637">
                  <c:v>45889</c:v>
                </c:pt>
                <c:pt idx="1638">
                  <c:v>45890</c:v>
                </c:pt>
                <c:pt idx="1639">
                  <c:v>45891</c:v>
                </c:pt>
                <c:pt idx="1640">
                  <c:v>45894</c:v>
                </c:pt>
                <c:pt idx="1641">
                  <c:v>45895</c:v>
                </c:pt>
                <c:pt idx="1642">
                  <c:v>45897</c:v>
                </c:pt>
                <c:pt idx="1643">
                  <c:v>45898</c:v>
                </c:pt>
                <c:pt idx="1644">
                  <c:v>45901</c:v>
                </c:pt>
                <c:pt idx="1645">
                  <c:v>45902</c:v>
                </c:pt>
                <c:pt idx="1646">
                  <c:v>45903</c:v>
                </c:pt>
                <c:pt idx="1647">
                  <c:v>45904</c:v>
                </c:pt>
                <c:pt idx="1648">
                  <c:v>45905</c:v>
                </c:pt>
                <c:pt idx="1649">
                  <c:v>45908</c:v>
                </c:pt>
                <c:pt idx="1650">
                  <c:v>45909</c:v>
                </c:pt>
                <c:pt idx="1651">
                  <c:v>45910</c:v>
                </c:pt>
                <c:pt idx="1652">
                  <c:v>45911</c:v>
                </c:pt>
                <c:pt idx="1653">
                  <c:v>45912</c:v>
                </c:pt>
                <c:pt idx="1654">
                  <c:v>45915</c:v>
                </c:pt>
                <c:pt idx="1655">
                  <c:v>45916</c:v>
                </c:pt>
                <c:pt idx="1656">
                  <c:v>45917</c:v>
                </c:pt>
                <c:pt idx="1657">
                  <c:v>45918</c:v>
                </c:pt>
                <c:pt idx="1658">
                  <c:v>45919</c:v>
                </c:pt>
                <c:pt idx="1659">
                  <c:v>45922</c:v>
                </c:pt>
                <c:pt idx="1660">
                  <c:v>45923</c:v>
                </c:pt>
                <c:pt idx="1661">
                  <c:v>45924</c:v>
                </c:pt>
                <c:pt idx="1662">
                  <c:v>45925</c:v>
                </c:pt>
                <c:pt idx="1663">
                  <c:v>45926</c:v>
                </c:pt>
                <c:pt idx="1664">
                  <c:v>45929</c:v>
                </c:pt>
                <c:pt idx="1665">
                  <c:v>45930</c:v>
                </c:pt>
                <c:pt idx="1666">
                  <c:v>45931</c:v>
                </c:pt>
                <c:pt idx="1667">
                  <c:v>45933</c:v>
                </c:pt>
                <c:pt idx="1668">
                  <c:v>45936</c:v>
                </c:pt>
                <c:pt idx="1669">
                  <c:v>45937</c:v>
                </c:pt>
                <c:pt idx="1670">
                  <c:v>45938</c:v>
                </c:pt>
                <c:pt idx="1671">
                  <c:v>45939</c:v>
                </c:pt>
                <c:pt idx="1672">
                  <c:v>45940</c:v>
                </c:pt>
                <c:pt idx="1673">
                  <c:v>45943</c:v>
                </c:pt>
                <c:pt idx="1674">
                  <c:v>45944</c:v>
                </c:pt>
                <c:pt idx="1675">
                  <c:v>45945</c:v>
                </c:pt>
                <c:pt idx="1676">
                  <c:v>45946</c:v>
                </c:pt>
                <c:pt idx="1677">
                  <c:v>45947</c:v>
                </c:pt>
                <c:pt idx="1678">
                  <c:v>45950</c:v>
                </c:pt>
                <c:pt idx="1679">
                  <c:v>45951</c:v>
                </c:pt>
                <c:pt idx="1680">
                  <c:v>45953</c:v>
                </c:pt>
                <c:pt idx="1681">
                  <c:v>45954</c:v>
                </c:pt>
                <c:pt idx="1682">
                  <c:v>45957</c:v>
                </c:pt>
                <c:pt idx="1683">
                  <c:v>45958</c:v>
                </c:pt>
                <c:pt idx="1684">
                  <c:v>45959</c:v>
                </c:pt>
                <c:pt idx="1685">
                  <c:v>45960</c:v>
                </c:pt>
                <c:pt idx="1686">
                  <c:v>45961</c:v>
                </c:pt>
                <c:pt idx="1687">
                  <c:v>45964</c:v>
                </c:pt>
                <c:pt idx="1688">
                  <c:v>45965</c:v>
                </c:pt>
                <c:pt idx="1689">
                  <c:v>45967</c:v>
                </c:pt>
                <c:pt idx="1690">
                  <c:v>45968</c:v>
                </c:pt>
                <c:pt idx="1691">
                  <c:v>45971</c:v>
                </c:pt>
                <c:pt idx="1692">
                  <c:v>45972</c:v>
                </c:pt>
                <c:pt idx="1693">
                  <c:v>45973</c:v>
                </c:pt>
                <c:pt idx="1694">
                  <c:v>45974</c:v>
                </c:pt>
                <c:pt idx="1695">
                  <c:v>45975</c:v>
                </c:pt>
                <c:pt idx="1696">
                  <c:v>45978</c:v>
                </c:pt>
                <c:pt idx="1697">
                  <c:v>45979</c:v>
                </c:pt>
                <c:pt idx="1698">
                  <c:v>45980</c:v>
                </c:pt>
                <c:pt idx="1699">
                  <c:v>45981</c:v>
                </c:pt>
                <c:pt idx="1700">
                  <c:v>45982</c:v>
                </c:pt>
                <c:pt idx="1701">
                  <c:v>45985</c:v>
                </c:pt>
                <c:pt idx="1702">
                  <c:v>45986</c:v>
                </c:pt>
                <c:pt idx="1703">
                  <c:v>45987</c:v>
                </c:pt>
                <c:pt idx="1704">
                  <c:v>45988</c:v>
                </c:pt>
                <c:pt idx="1705">
                  <c:v>45989</c:v>
                </c:pt>
                <c:pt idx="1706">
                  <c:v>45992</c:v>
                </c:pt>
                <c:pt idx="1707">
                  <c:v>45993</c:v>
                </c:pt>
                <c:pt idx="1708">
                  <c:v>45994</c:v>
                </c:pt>
                <c:pt idx="1709">
                  <c:v>45995</c:v>
                </c:pt>
                <c:pt idx="1710">
                  <c:v>45996</c:v>
                </c:pt>
                <c:pt idx="1711">
                  <c:v>45999</c:v>
                </c:pt>
                <c:pt idx="1712">
                  <c:v>46000</c:v>
                </c:pt>
                <c:pt idx="1713">
                  <c:v>46001</c:v>
                </c:pt>
                <c:pt idx="1714">
                  <c:v>46002</c:v>
                </c:pt>
                <c:pt idx="1715">
                  <c:v>46003</c:v>
                </c:pt>
                <c:pt idx="1716">
                  <c:v>46006</c:v>
                </c:pt>
                <c:pt idx="1717">
                  <c:v>46007</c:v>
                </c:pt>
                <c:pt idx="1718">
                  <c:v>46008</c:v>
                </c:pt>
                <c:pt idx="1719">
                  <c:v>46009</c:v>
                </c:pt>
                <c:pt idx="1720">
                  <c:v>46010</c:v>
                </c:pt>
                <c:pt idx="1721">
                  <c:v>46013</c:v>
                </c:pt>
                <c:pt idx="1722">
                  <c:v>46014</c:v>
                </c:pt>
                <c:pt idx="1723">
                  <c:v>46015</c:v>
                </c:pt>
                <c:pt idx="1724">
                  <c:v>46017</c:v>
                </c:pt>
                <c:pt idx="1725">
                  <c:v>46020</c:v>
                </c:pt>
                <c:pt idx="1726">
                  <c:v>46021</c:v>
                </c:pt>
                <c:pt idx="1727">
                  <c:v>46022</c:v>
                </c:pt>
                <c:pt idx="1728">
                  <c:v>46023</c:v>
                </c:pt>
                <c:pt idx="1729">
                  <c:v>46024</c:v>
                </c:pt>
                <c:pt idx="1730">
                  <c:v>46027</c:v>
                </c:pt>
                <c:pt idx="1731">
                  <c:v>46028</c:v>
                </c:pt>
                <c:pt idx="1732">
                  <c:v>46029</c:v>
                </c:pt>
                <c:pt idx="1733">
                  <c:v>46030</c:v>
                </c:pt>
                <c:pt idx="1734">
                  <c:v>46031</c:v>
                </c:pt>
                <c:pt idx="1735">
                  <c:v>46034</c:v>
                </c:pt>
                <c:pt idx="1736">
                  <c:v>46035</c:v>
                </c:pt>
                <c:pt idx="1737">
                  <c:v>46036</c:v>
                </c:pt>
                <c:pt idx="1738">
                  <c:v>46037</c:v>
                </c:pt>
                <c:pt idx="1739">
                  <c:v>46038</c:v>
                </c:pt>
                <c:pt idx="1740">
                  <c:v>46041</c:v>
                </c:pt>
                <c:pt idx="1741">
                  <c:v>46042</c:v>
                </c:pt>
                <c:pt idx="1742">
                  <c:v>46043</c:v>
                </c:pt>
                <c:pt idx="1743">
                  <c:v>46044</c:v>
                </c:pt>
                <c:pt idx="1744">
                  <c:v>46045</c:v>
                </c:pt>
                <c:pt idx="1745">
                  <c:v>46049</c:v>
                </c:pt>
                <c:pt idx="1746">
                  <c:v>46050</c:v>
                </c:pt>
                <c:pt idx="1747">
                  <c:v>46051</c:v>
                </c:pt>
                <c:pt idx="1748">
                  <c:v>46052</c:v>
                </c:pt>
                <c:pt idx="1749">
                  <c:v>46055</c:v>
                </c:pt>
                <c:pt idx="1750">
                  <c:v>46056</c:v>
                </c:pt>
                <c:pt idx="1751">
                  <c:v>46057</c:v>
                </c:pt>
                <c:pt idx="1752">
                  <c:v>46058</c:v>
                </c:pt>
                <c:pt idx="1753">
                  <c:v>46059</c:v>
                </c:pt>
                <c:pt idx="1754">
                  <c:v>46062</c:v>
                </c:pt>
                <c:pt idx="1755">
                  <c:v>46063</c:v>
                </c:pt>
                <c:pt idx="1756">
                  <c:v>46064</c:v>
                </c:pt>
                <c:pt idx="1757">
                  <c:v>46065</c:v>
                </c:pt>
                <c:pt idx="1758">
                  <c:v>46066</c:v>
                </c:pt>
                <c:pt idx="1759">
                  <c:v>46069</c:v>
                </c:pt>
                <c:pt idx="1760">
                  <c:v>46070</c:v>
                </c:pt>
                <c:pt idx="1761">
                  <c:v>46071</c:v>
                </c:pt>
                <c:pt idx="1762">
                  <c:v>46072</c:v>
                </c:pt>
                <c:pt idx="1763">
                  <c:v>46073</c:v>
                </c:pt>
                <c:pt idx="1764">
                  <c:v>46076</c:v>
                </c:pt>
                <c:pt idx="1765">
                  <c:v>46077</c:v>
                </c:pt>
                <c:pt idx="1766">
                  <c:v>46078</c:v>
                </c:pt>
                <c:pt idx="1767">
                  <c:v>46079</c:v>
                </c:pt>
                <c:pt idx="1768">
                  <c:v>46080</c:v>
                </c:pt>
                <c:pt idx="1769">
                  <c:v>46083</c:v>
                </c:pt>
                <c:pt idx="1770">
                  <c:v>46085</c:v>
                </c:pt>
                <c:pt idx="1771">
                  <c:v>46086</c:v>
                </c:pt>
                <c:pt idx="1772">
                  <c:v>46087</c:v>
                </c:pt>
                <c:pt idx="1773">
                  <c:v>46090</c:v>
                </c:pt>
                <c:pt idx="1774">
                  <c:v>46091</c:v>
                </c:pt>
                <c:pt idx="1775">
                  <c:v>46092</c:v>
                </c:pt>
                <c:pt idx="1776">
                  <c:v>46093</c:v>
                </c:pt>
                <c:pt idx="1777">
                  <c:v>46094</c:v>
                </c:pt>
                <c:pt idx="1778">
                  <c:v>46097</c:v>
                </c:pt>
                <c:pt idx="1779">
                  <c:v>46098</c:v>
                </c:pt>
                <c:pt idx="1780">
                  <c:v>46099</c:v>
                </c:pt>
                <c:pt idx="1781">
                  <c:v>46100</c:v>
                </c:pt>
                <c:pt idx="1782">
                  <c:v>46101</c:v>
                </c:pt>
                <c:pt idx="1783">
                  <c:v>46104</c:v>
                </c:pt>
                <c:pt idx="1784">
                  <c:v>46105</c:v>
                </c:pt>
                <c:pt idx="1785">
                  <c:v>46106</c:v>
                </c:pt>
                <c:pt idx="1786">
                  <c:v>46108</c:v>
                </c:pt>
                <c:pt idx="1787">
                  <c:v>46111</c:v>
                </c:pt>
                <c:pt idx="1788">
                  <c:v>46113</c:v>
                </c:pt>
                <c:pt idx="1789">
                  <c:v>46114</c:v>
                </c:pt>
                <c:pt idx="1790">
                  <c:v>46118</c:v>
                </c:pt>
                <c:pt idx="1791">
                  <c:v>46119</c:v>
                </c:pt>
                <c:pt idx="1792">
                  <c:v>46120</c:v>
                </c:pt>
                <c:pt idx="1793">
                  <c:v>46121</c:v>
                </c:pt>
                <c:pt idx="1794">
                  <c:v>46122</c:v>
                </c:pt>
                <c:pt idx="1795">
                  <c:v>46125</c:v>
                </c:pt>
                <c:pt idx="1796">
                  <c:v>46127</c:v>
                </c:pt>
                <c:pt idx="1797">
                  <c:v>46128</c:v>
                </c:pt>
                <c:pt idx="1798">
                  <c:v>46129</c:v>
                </c:pt>
                <c:pt idx="1799">
                  <c:v>46132</c:v>
                </c:pt>
                <c:pt idx="1800">
                  <c:v>46133</c:v>
                </c:pt>
                <c:pt idx="1801">
                  <c:v>46134</c:v>
                </c:pt>
                <c:pt idx="1802">
                  <c:v>46135</c:v>
                </c:pt>
                <c:pt idx="1803">
                  <c:v>46136</c:v>
                </c:pt>
                <c:pt idx="1804">
                  <c:v>46139</c:v>
                </c:pt>
                <c:pt idx="1805">
                  <c:v>46140</c:v>
                </c:pt>
                <c:pt idx="1806">
                  <c:v>46141</c:v>
                </c:pt>
                <c:pt idx="1807">
                  <c:v>46142</c:v>
                </c:pt>
                <c:pt idx="1808">
                  <c:v>46143</c:v>
                </c:pt>
                <c:pt idx="1809">
                  <c:v>46146</c:v>
                </c:pt>
                <c:pt idx="1810">
                  <c:v>46147</c:v>
                </c:pt>
                <c:pt idx="1811">
                  <c:v>46148</c:v>
                </c:pt>
                <c:pt idx="1812">
                  <c:v>46149</c:v>
                </c:pt>
                <c:pt idx="1813">
                  <c:v>46150</c:v>
                </c:pt>
                <c:pt idx="1814">
                  <c:v>46153</c:v>
                </c:pt>
                <c:pt idx="1815">
                  <c:v>46154</c:v>
                </c:pt>
                <c:pt idx="1816">
                  <c:v>46155</c:v>
                </c:pt>
                <c:pt idx="1817">
                  <c:v>46156</c:v>
                </c:pt>
                <c:pt idx="1818">
                  <c:v>46157</c:v>
                </c:pt>
                <c:pt idx="1819">
                  <c:v>46160</c:v>
                </c:pt>
                <c:pt idx="1820">
                  <c:v>46161</c:v>
                </c:pt>
                <c:pt idx="1821">
                  <c:v>46162</c:v>
                </c:pt>
                <c:pt idx="1822">
                  <c:v>46163</c:v>
                </c:pt>
                <c:pt idx="1823">
                  <c:v>46164</c:v>
                </c:pt>
                <c:pt idx="1824">
                  <c:v>46167</c:v>
                </c:pt>
                <c:pt idx="1825">
                  <c:v>46168</c:v>
                </c:pt>
                <c:pt idx="1826">
                  <c:v>46169</c:v>
                </c:pt>
                <c:pt idx="1827">
                  <c:v>46170</c:v>
                </c:pt>
                <c:pt idx="1828">
                  <c:v>46171</c:v>
                </c:pt>
                <c:pt idx="1829">
                  <c:v>46174</c:v>
                </c:pt>
                <c:pt idx="1830">
                  <c:v>46175</c:v>
                </c:pt>
                <c:pt idx="1831">
                  <c:v>46176</c:v>
                </c:pt>
                <c:pt idx="1832">
                  <c:v>46177</c:v>
                </c:pt>
                <c:pt idx="1833">
                  <c:v>46178</c:v>
                </c:pt>
                <c:pt idx="1834">
                  <c:v>46181</c:v>
                </c:pt>
                <c:pt idx="1835">
                  <c:v>46182</c:v>
                </c:pt>
                <c:pt idx="1836">
                  <c:v>46183</c:v>
                </c:pt>
                <c:pt idx="1837">
                  <c:v>46184</c:v>
                </c:pt>
                <c:pt idx="1838">
                  <c:v>46185</c:v>
                </c:pt>
                <c:pt idx="1839">
                  <c:v>46188</c:v>
                </c:pt>
                <c:pt idx="1840">
                  <c:v>46189</c:v>
                </c:pt>
                <c:pt idx="1841">
                  <c:v>46190</c:v>
                </c:pt>
                <c:pt idx="1842">
                  <c:v>46191</c:v>
                </c:pt>
                <c:pt idx="1843">
                  <c:v>46192</c:v>
                </c:pt>
                <c:pt idx="1844">
                  <c:v>46195</c:v>
                </c:pt>
                <c:pt idx="1845">
                  <c:v>46196</c:v>
                </c:pt>
                <c:pt idx="1846">
                  <c:v>46197</c:v>
                </c:pt>
                <c:pt idx="1847">
                  <c:v>46198</c:v>
                </c:pt>
                <c:pt idx="1848">
                  <c:v>46199</c:v>
                </c:pt>
                <c:pt idx="1849">
                  <c:v>46202</c:v>
                </c:pt>
                <c:pt idx="1850">
                  <c:v>46203</c:v>
                </c:pt>
                <c:pt idx="1851">
                  <c:v>46204</c:v>
                </c:pt>
                <c:pt idx="1852">
                  <c:v>46205</c:v>
                </c:pt>
                <c:pt idx="1853">
                  <c:v>46206</c:v>
                </c:pt>
                <c:pt idx="1854">
                  <c:v>46209</c:v>
                </c:pt>
                <c:pt idx="1855">
                  <c:v>46210</c:v>
                </c:pt>
                <c:pt idx="1856">
                  <c:v>46211</c:v>
                </c:pt>
                <c:pt idx="1857">
                  <c:v>46212</c:v>
                </c:pt>
                <c:pt idx="1858">
                  <c:v>46213</c:v>
                </c:pt>
                <c:pt idx="1859">
                  <c:v>46216</c:v>
                </c:pt>
                <c:pt idx="1860">
                  <c:v>46217</c:v>
                </c:pt>
                <c:pt idx="1861">
                  <c:v>46218</c:v>
                </c:pt>
                <c:pt idx="1862">
                  <c:v>46219</c:v>
                </c:pt>
                <c:pt idx="1863">
                  <c:v>46220</c:v>
                </c:pt>
                <c:pt idx="1864">
                  <c:v>46223</c:v>
                </c:pt>
                <c:pt idx="1865">
                  <c:v>46224</c:v>
                </c:pt>
                <c:pt idx="1866">
                  <c:v>46225</c:v>
                </c:pt>
                <c:pt idx="1867">
                  <c:v>46226</c:v>
                </c:pt>
                <c:pt idx="1868">
                  <c:v>46227</c:v>
                </c:pt>
                <c:pt idx="1869">
                  <c:v>46230</c:v>
                </c:pt>
                <c:pt idx="1870">
                  <c:v>46231</c:v>
                </c:pt>
                <c:pt idx="1871">
                  <c:v>46232</c:v>
                </c:pt>
                <c:pt idx="1872">
                  <c:v>46233</c:v>
                </c:pt>
                <c:pt idx="1873">
                  <c:v>46234</c:v>
                </c:pt>
                <c:pt idx="1874">
                  <c:v>46237</c:v>
                </c:pt>
                <c:pt idx="1875">
                  <c:v>46238</c:v>
                </c:pt>
                <c:pt idx="1876">
                  <c:v>46239</c:v>
                </c:pt>
                <c:pt idx="1877">
                  <c:v>46240</c:v>
                </c:pt>
                <c:pt idx="1878">
                  <c:v>46241</c:v>
                </c:pt>
                <c:pt idx="1879">
                  <c:v>46244</c:v>
                </c:pt>
                <c:pt idx="1880">
                  <c:v>46245</c:v>
                </c:pt>
                <c:pt idx="1881">
                  <c:v>46246</c:v>
                </c:pt>
                <c:pt idx="1882">
                  <c:v>46247</c:v>
                </c:pt>
                <c:pt idx="1883">
                  <c:v>46248</c:v>
                </c:pt>
                <c:pt idx="1884">
                  <c:v>46251</c:v>
                </c:pt>
                <c:pt idx="1885">
                  <c:v>46252</c:v>
                </c:pt>
                <c:pt idx="1886">
                  <c:v>46253</c:v>
                </c:pt>
                <c:pt idx="1887">
                  <c:v>46254</c:v>
                </c:pt>
                <c:pt idx="1888">
                  <c:v>46255</c:v>
                </c:pt>
                <c:pt idx="1889">
                  <c:v>46258</c:v>
                </c:pt>
                <c:pt idx="1890">
                  <c:v>46259</c:v>
                </c:pt>
                <c:pt idx="1891">
                  <c:v>46260</c:v>
                </c:pt>
                <c:pt idx="1892">
                  <c:v>46261</c:v>
                </c:pt>
                <c:pt idx="1893">
                  <c:v>46262</c:v>
                </c:pt>
                <c:pt idx="1894">
                  <c:v>46265</c:v>
                </c:pt>
                <c:pt idx="1895">
                  <c:v>46266</c:v>
                </c:pt>
                <c:pt idx="1896">
                  <c:v>46267</c:v>
                </c:pt>
                <c:pt idx="1897">
                  <c:v>46268</c:v>
                </c:pt>
                <c:pt idx="1898">
                  <c:v>46269</c:v>
                </c:pt>
                <c:pt idx="1899">
                  <c:v>46272</c:v>
                </c:pt>
                <c:pt idx="1900">
                  <c:v>46273</c:v>
                </c:pt>
                <c:pt idx="1901">
                  <c:v>46274</c:v>
                </c:pt>
                <c:pt idx="1902">
                  <c:v>46275</c:v>
                </c:pt>
                <c:pt idx="1903">
                  <c:v>46276</c:v>
                </c:pt>
                <c:pt idx="1904">
                  <c:v>46279</c:v>
                </c:pt>
                <c:pt idx="1905">
                  <c:v>46280</c:v>
                </c:pt>
                <c:pt idx="1906">
                  <c:v>46281</c:v>
                </c:pt>
                <c:pt idx="1907">
                  <c:v>46282</c:v>
                </c:pt>
                <c:pt idx="1908">
                  <c:v>46283</c:v>
                </c:pt>
                <c:pt idx="1909">
                  <c:v>46286</c:v>
                </c:pt>
                <c:pt idx="1910">
                  <c:v>46287</c:v>
                </c:pt>
                <c:pt idx="1911">
                  <c:v>46288</c:v>
                </c:pt>
                <c:pt idx="1912">
                  <c:v>46289</c:v>
                </c:pt>
                <c:pt idx="1913">
                  <c:v>46290</c:v>
                </c:pt>
                <c:pt idx="1914">
                  <c:v>46293</c:v>
                </c:pt>
                <c:pt idx="1915">
                  <c:v>46294</c:v>
                </c:pt>
                <c:pt idx="1916">
                  <c:v>46295</c:v>
                </c:pt>
                <c:pt idx="1917">
                  <c:v>46296</c:v>
                </c:pt>
                <c:pt idx="1918">
                  <c:v>46297</c:v>
                </c:pt>
                <c:pt idx="1919">
                  <c:v>46300</c:v>
                </c:pt>
                <c:pt idx="1920">
                  <c:v>46301</c:v>
                </c:pt>
                <c:pt idx="1921">
                  <c:v>46302</c:v>
                </c:pt>
              </c:numCache>
            </c:numRef>
          </c:cat>
          <c:val>
            <c:numRef>
              <c:f>returns!$M$2:$M$1924</c:f>
              <c:numCache>
                <c:formatCode>General</c:formatCode>
                <c:ptCount val="1923"/>
                <c:pt idx="0">
                  <c:v>0</c:v>
                </c:pt>
                <c:pt idx="1">
                  <c:v>-1.5320571045939202E-3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-3.4609101944810261E-3</c:v>
                </c:pt>
                <c:pt idx="6">
                  <c:v>-9.5994151795526506E-3</c:v>
                </c:pt>
                <c:pt idx="7">
                  <c:v>-1.0117052002508564E-2</c:v>
                </c:pt>
                <c:pt idx="8">
                  <c:v>0</c:v>
                </c:pt>
                <c:pt idx="9">
                  <c:v>0</c:v>
                </c:pt>
                <c:pt idx="10">
                  <c:v>-6.6321217758683604E-3</c:v>
                </c:pt>
                <c:pt idx="11">
                  <c:v>-1.7928157005114076E-2</c:v>
                </c:pt>
                <c:pt idx="12">
                  <c:v>-1.1665058091032798E-2</c:v>
                </c:pt>
                <c:pt idx="13">
                  <c:v>-1.0630968705341193E-2</c:v>
                </c:pt>
                <c:pt idx="14">
                  <c:v>-1.5180533925542194E-2</c:v>
                </c:pt>
                <c:pt idx="15">
                  <c:v>-1.475349204397669E-2</c:v>
                </c:pt>
                <c:pt idx="16">
                  <c:v>-3.037720404682398E-2</c:v>
                </c:pt>
                <c:pt idx="17">
                  <c:v>-3.3990762173848998E-2</c:v>
                </c:pt>
                <c:pt idx="18">
                  <c:v>-3.3558312972177262E-2</c:v>
                </c:pt>
                <c:pt idx="19">
                  <c:v>-3.5494536228548035E-2</c:v>
                </c:pt>
                <c:pt idx="20">
                  <c:v>-1.819890462757856E-2</c:v>
                </c:pt>
                <c:pt idx="21">
                  <c:v>-2.6760345475198566E-3</c:v>
                </c:pt>
                <c:pt idx="22">
                  <c:v>-3.2047717841919843E-3</c:v>
                </c:pt>
                <c:pt idx="23">
                  <c:v>-3.3403855914561076E-3</c:v>
                </c:pt>
                <c:pt idx="24">
                  <c:v>0</c:v>
                </c:pt>
                <c:pt idx="25">
                  <c:v>0</c:v>
                </c:pt>
                <c:pt idx="26">
                  <c:v>-1.4767449228431873E-2</c:v>
                </c:pt>
                <c:pt idx="27">
                  <c:v>-1.774316630783046E-2</c:v>
                </c:pt>
                <c:pt idx="28">
                  <c:v>-1.7818622682250096E-2</c:v>
                </c:pt>
                <c:pt idx="29">
                  <c:v>-2.7757599051032367E-2</c:v>
                </c:pt>
                <c:pt idx="30">
                  <c:v>-3.1724619016116007E-2</c:v>
                </c:pt>
                <c:pt idx="31">
                  <c:v>-4.3665248617591024E-2</c:v>
                </c:pt>
                <c:pt idx="32">
                  <c:v>-4.783098450510137E-2</c:v>
                </c:pt>
                <c:pt idx="33">
                  <c:v>-3.5961264376122348E-2</c:v>
                </c:pt>
                <c:pt idx="34">
                  <c:v>-3.3180430628044988E-2</c:v>
                </c:pt>
                <c:pt idx="35">
                  <c:v>-3.2220169411260491E-2</c:v>
                </c:pt>
                <c:pt idx="36">
                  <c:v>-2.3928106819173567E-2</c:v>
                </c:pt>
                <c:pt idx="37">
                  <c:v>-2.7234173010140528E-2</c:v>
                </c:pt>
                <c:pt idx="38">
                  <c:v>-2.0694381198419709E-2</c:v>
                </c:pt>
                <c:pt idx="39">
                  <c:v>-2.5116500728951108E-2</c:v>
                </c:pt>
                <c:pt idx="40">
                  <c:v>-1.7442695578454126E-2</c:v>
                </c:pt>
                <c:pt idx="41">
                  <c:v>-8.0576269868789518E-3</c:v>
                </c:pt>
                <c:pt idx="42">
                  <c:v>-2.3913639716446333E-3</c:v>
                </c:pt>
                <c:pt idx="43">
                  <c:v>0</c:v>
                </c:pt>
                <c:pt idx="44">
                  <c:v>-2.779342302841048E-3</c:v>
                </c:pt>
                <c:pt idx="45">
                  <c:v>0</c:v>
                </c:pt>
                <c:pt idx="46">
                  <c:v>0</c:v>
                </c:pt>
                <c:pt idx="47">
                  <c:v>-4.4814182069200514E-3</c:v>
                </c:pt>
                <c:pt idx="48">
                  <c:v>-2.2883569392458947E-3</c:v>
                </c:pt>
                <c:pt idx="49">
                  <c:v>0</c:v>
                </c:pt>
                <c:pt idx="50">
                  <c:v>-5.4371828985060322E-3</c:v>
                </c:pt>
                <c:pt idx="51">
                  <c:v>-3.2411653601299717E-3</c:v>
                </c:pt>
                <c:pt idx="52">
                  <c:v>-1.4283241737560459E-3</c:v>
                </c:pt>
                <c:pt idx="53">
                  <c:v>-5.9833103886154371E-3</c:v>
                </c:pt>
                <c:pt idx="54">
                  <c:v>-1.6279870890999582E-2</c:v>
                </c:pt>
                <c:pt idx="55">
                  <c:v>-9.7126496183220778E-3</c:v>
                </c:pt>
                <c:pt idx="56">
                  <c:v>-1.671514516897421E-2</c:v>
                </c:pt>
                <c:pt idx="57">
                  <c:v>-2.7770002959685014E-3</c:v>
                </c:pt>
                <c:pt idx="58">
                  <c:v>0</c:v>
                </c:pt>
                <c:pt idx="59">
                  <c:v>0</c:v>
                </c:pt>
                <c:pt idx="60">
                  <c:v>-4.305869587057809E-3</c:v>
                </c:pt>
                <c:pt idx="61">
                  <c:v>-9.3975854155302629E-3</c:v>
                </c:pt>
                <c:pt idx="62">
                  <c:v>-6.154290579433952E-3</c:v>
                </c:pt>
                <c:pt idx="63">
                  <c:v>-7.3035061240065424E-3</c:v>
                </c:pt>
                <c:pt idx="64">
                  <c:v>-3.9489621139521258E-4</c:v>
                </c:pt>
                <c:pt idx="65">
                  <c:v>-6.8108458737876632E-3</c:v>
                </c:pt>
                <c:pt idx="66">
                  <c:v>-7.277502725576146E-3</c:v>
                </c:pt>
                <c:pt idx="67">
                  <c:v>-2.8239232366948919E-3</c:v>
                </c:pt>
                <c:pt idx="68">
                  <c:v>-2.7887722797527159E-3</c:v>
                </c:pt>
                <c:pt idx="69">
                  <c:v>0</c:v>
                </c:pt>
                <c:pt idx="70">
                  <c:v>-2.3081146289849475E-4</c:v>
                </c:pt>
                <c:pt idx="71">
                  <c:v>-1.0752744628228283E-2</c:v>
                </c:pt>
                <c:pt idx="72">
                  <c:v>-1.3017756062084884E-2</c:v>
                </c:pt>
                <c:pt idx="73">
                  <c:v>-5.4380768082750164E-3</c:v>
                </c:pt>
                <c:pt idx="74">
                  <c:v>-1.5119221677399652E-2</c:v>
                </c:pt>
                <c:pt idx="75">
                  <c:v>-1.0078494307936281E-2</c:v>
                </c:pt>
                <c:pt idx="76">
                  <c:v>-1.5827980819570708E-2</c:v>
                </c:pt>
                <c:pt idx="77">
                  <c:v>-1.6338671426937235E-2</c:v>
                </c:pt>
                <c:pt idx="78">
                  <c:v>-1.8093917181721708E-2</c:v>
                </c:pt>
                <c:pt idx="79">
                  <c:v>-2.1838556860622749E-2</c:v>
                </c:pt>
                <c:pt idx="80">
                  <c:v>-2.6479833737619862E-2</c:v>
                </c:pt>
                <c:pt idx="81">
                  <c:v>-3.7215324273185635E-2</c:v>
                </c:pt>
                <c:pt idx="82">
                  <c:v>-4.2212600486486007E-2</c:v>
                </c:pt>
                <c:pt idx="83">
                  <c:v>-4.5481292082333424E-2</c:v>
                </c:pt>
                <c:pt idx="84">
                  <c:v>-7.0589372262279459E-2</c:v>
                </c:pt>
                <c:pt idx="85">
                  <c:v>-5.6751301622408268E-2</c:v>
                </c:pt>
                <c:pt idx="86">
                  <c:v>-6.383423134596744E-2</c:v>
                </c:pt>
                <c:pt idx="87">
                  <c:v>-5.8405016984560576E-2</c:v>
                </c:pt>
                <c:pt idx="88">
                  <c:v>-4.7685574567567945E-2</c:v>
                </c:pt>
                <c:pt idx="89">
                  <c:v>-1.2432640184925292E-2</c:v>
                </c:pt>
                <c:pt idx="90">
                  <c:v>-2.2832193913188248E-2</c:v>
                </c:pt>
                <c:pt idx="91">
                  <c:v>-1.7132666074935132E-2</c:v>
                </c:pt>
                <c:pt idx="92">
                  <c:v>-2.5411141711367935E-2</c:v>
                </c:pt>
                <c:pt idx="93">
                  <c:v>-8.1812761396302669E-3</c:v>
                </c:pt>
                <c:pt idx="94">
                  <c:v>-3.7171137451602609E-3</c:v>
                </c:pt>
                <c:pt idx="95">
                  <c:v>-3.3733021527955209E-3</c:v>
                </c:pt>
                <c:pt idx="96">
                  <c:v>-6.4226883678738522E-3</c:v>
                </c:pt>
                <c:pt idx="97">
                  <c:v>-5.4900972824581951E-3</c:v>
                </c:pt>
                <c:pt idx="98">
                  <c:v>-7.39426723792036E-3</c:v>
                </c:pt>
                <c:pt idx="99">
                  <c:v>0</c:v>
                </c:pt>
                <c:pt idx="100">
                  <c:v>-3.3552408621461138E-3</c:v>
                </c:pt>
                <c:pt idx="101">
                  <c:v>-1.9236048263510552E-2</c:v>
                </c:pt>
                <c:pt idx="102">
                  <c:v>-2.1968508685406674E-2</c:v>
                </c:pt>
                <c:pt idx="103">
                  <c:v>-1.3021851295109244E-2</c:v>
                </c:pt>
                <c:pt idx="104">
                  <c:v>-1.5953781442689774E-2</c:v>
                </c:pt>
                <c:pt idx="105">
                  <c:v>-2.09128436738103E-2</c:v>
                </c:pt>
                <c:pt idx="106">
                  <c:v>-2.2413706636582598E-2</c:v>
                </c:pt>
                <c:pt idx="107">
                  <c:v>-2.3457360912919389E-2</c:v>
                </c:pt>
                <c:pt idx="108">
                  <c:v>-4.0017798314139208E-2</c:v>
                </c:pt>
                <c:pt idx="109">
                  <c:v>-4.4033804943903299E-2</c:v>
                </c:pt>
                <c:pt idx="110">
                  <c:v>-4.4587735236766401E-2</c:v>
                </c:pt>
                <c:pt idx="111">
                  <c:v>-2.3499556780306241E-2</c:v>
                </c:pt>
                <c:pt idx="112">
                  <c:v>-3.8674472594803833E-2</c:v>
                </c:pt>
                <c:pt idx="113">
                  <c:v>-3.7515908587109292E-2</c:v>
                </c:pt>
                <c:pt idx="114">
                  <c:v>-3.1351856321480298E-2</c:v>
                </c:pt>
                <c:pt idx="115">
                  <c:v>-2.6170693806018774E-2</c:v>
                </c:pt>
                <c:pt idx="116">
                  <c:v>-2.9046101102187749E-2</c:v>
                </c:pt>
                <c:pt idx="117">
                  <c:v>-3.1314187045379249E-2</c:v>
                </c:pt>
                <c:pt idx="118">
                  <c:v>-2.6562636311454724E-2</c:v>
                </c:pt>
                <c:pt idx="119">
                  <c:v>-2.5357313627695111E-2</c:v>
                </c:pt>
                <c:pt idx="120">
                  <c:v>-2.47503426670167E-2</c:v>
                </c:pt>
                <c:pt idx="121">
                  <c:v>-2.5827187237062676E-2</c:v>
                </c:pt>
                <c:pt idx="122">
                  <c:v>-4.5715466456628717E-2</c:v>
                </c:pt>
                <c:pt idx="123">
                  <c:v>-6.9559862957615293E-2</c:v>
                </c:pt>
                <c:pt idx="124">
                  <c:v>-6.164542334519596E-2</c:v>
                </c:pt>
                <c:pt idx="125">
                  <c:v>-6.3934621313455509E-2</c:v>
                </c:pt>
                <c:pt idx="126">
                  <c:v>-5.7401460223387213E-2</c:v>
                </c:pt>
                <c:pt idx="127">
                  <c:v>-5.9201944379143501E-2</c:v>
                </c:pt>
                <c:pt idx="128">
                  <c:v>-4.8188464781176443E-2</c:v>
                </c:pt>
                <c:pt idx="129">
                  <c:v>-3.8605835709278113E-2</c:v>
                </c:pt>
                <c:pt idx="130">
                  <c:v>-4.2107948894817726E-2</c:v>
                </c:pt>
                <c:pt idx="131">
                  <c:v>-5.5582361432627403E-2</c:v>
                </c:pt>
                <c:pt idx="132">
                  <c:v>-6.7735918506004356E-2</c:v>
                </c:pt>
                <c:pt idx="133">
                  <c:v>-6.0511006221411257E-2</c:v>
                </c:pt>
                <c:pt idx="134">
                  <c:v>-6.0090386424143549E-2</c:v>
                </c:pt>
                <c:pt idx="135">
                  <c:v>-6.7234287317894603E-2</c:v>
                </c:pt>
                <c:pt idx="136">
                  <c:v>-6.7000775146801028E-2</c:v>
                </c:pt>
                <c:pt idx="137">
                  <c:v>-6.4616869149208722E-2</c:v>
                </c:pt>
                <c:pt idx="138">
                  <c:v>-7.8645480549486391E-2</c:v>
                </c:pt>
                <c:pt idx="139">
                  <c:v>-8.6768102818273851E-2</c:v>
                </c:pt>
                <c:pt idx="140">
                  <c:v>-8.1061988671031426E-2</c:v>
                </c:pt>
                <c:pt idx="141">
                  <c:v>-8.5533708398393249E-2</c:v>
                </c:pt>
                <c:pt idx="142">
                  <c:v>-8.0019706573446814E-2</c:v>
                </c:pt>
                <c:pt idx="143">
                  <c:v>-8.9807892572355885E-2</c:v>
                </c:pt>
                <c:pt idx="144">
                  <c:v>-8.3061117023453424E-2</c:v>
                </c:pt>
                <c:pt idx="145">
                  <c:v>-8.9744793347427132E-2</c:v>
                </c:pt>
                <c:pt idx="146">
                  <c:v>-7.3898604880737961E-2</c:v>
                </c:pt>
                <c:pt idx="147">
                  <c:v>-6.7676909287994302E-2</c:v>
                </c:pt>
                <c:pt idx="148">
                  <c:v>-7.4299719219158122E-2</c:v>
                </c:pt>
                <c:pt idx="149">
                  <c:v>-7.2440759182281766E-2</c:v>
                </c:pt>
                <c:pt idx="150">
                  <c:v>-6.9265473214434992E-2</c:v>
                </c:pt>
                <c:pt idx="151">
                  <c:v>-6.2389025542529564E-2</c:v>
                </c:pt>
                <c:pt idx="152">
                  <c:v>-5.8382414579395969E-2</c:v>
                </c:pt>
                <c:pt idx="153">
                  <c:v>-6.4240394218188168E-2</c:v>
                </c:pt>
                <c:pt idx="154">
                  <c:v>-7.1563762975814238E-2</c:v>
                </c:pt>
                <c:pt idx="155">
                  <c:v>-6.3921887192082805E-2</c:v>
                </c:pt>
                <c:pt idx="156">
                  <c:v>-5.4551464990826748E-2</c:v>
                </c:pt>
                <c:pt idx="157">
                  <c:v>-5.2908930649482211E-2</c:v>
                </c:pt>
                <c:pt idx="158">
                  <c:v>-6.0371948495755445E-2</c:v>
                </c:pt>
                <c:pt idx="159">
                  <c:v>-5.7047644529162667E-2</c:v>
                </c:pt>
                <c:pt idx="160">
                  <c:v>-4.9548825865664559E-2</c:v>
                </c:pt>
                <c:pt idx="161">
                  <c:v>-6.6384509478236264E-2</c:v>
                </c:pt>
                <c:pt idx="162">
                  <c:v>-7.3497874757396664E-2</c:v>
                </c:pt>
                <c:pt idx="163">
                  <c:v>-6.596511410095518E-2</c:v>
                </c:pt>
                <c:pt idx="164">
                  <c:v>-5.7835421755021654E-2</c:v>
                </c:pt>
                <c:pt idx="165">
                  <c:v>-4.9242664030830885E-2</c:v>
                </c:pt>
                <c:pt idx="166">
                  <c:v>-4.4175740684883835E-2</c:v>
                </c:pt>
                <c:pt idx="167">
                  <c:v>-5.2112381542912645E-2</c:v>
                </c:pt>
                <c:pt idx="168">
                  <c:v>-4.9529126970381365E-2</c:v>
                </c:pt>
                <c:pt idx="169">
                  <c:v>-5.3876254972924698E-2</c:v>
                </c:pt>
                <c:pt idx="170">
                  <c:v>-7.1968878877270659E-2</c:v>
                </c:pt>
                <c:pt idx="171">
                  <c:v>-7.2467783980582734E-2</c:v>
                </c:pt>
                <c:pt idx="172">
                  <c:v>-8.5656169120681858E-2</c:v>
                </c:pt>
                <c:pt idx="173">
                  <c:v>-3.992075811001139E-2</c:v>
                </c:pt>
                <c:pt idx="174">
                  <c:v>-1.5582511852277103E-2</c:v>
                </c:pt>
                <c:pt idx="175">
                  <c:v>-9.7675267909763663E-3</c:v>
                </c:pt>
                <c:pt idx="176">
                  <c:v>-2.6874819052277399E-2</c:v>
                </c:pt>
                <c:pt idx="177">
                  <c:v>-1.1818534506498724E-2</c:v>
                </c:pt>
                <c:pt idx="178">
                  <c:v>-1.9340786493154405E-2</c:v>
                </c:pt>
                <c:pt idx="179">
                  <c:v>-1.7499227184263333E-2</c:v>
                </c:pt>
                <c:pt idx="180">
                  <c:v>-2.3475339348431157E-2</c:v>
                </c:pt>
                <c:pt idx="181">
                  <c:v>-2.4303512764266899E-2</c:v>
                </c:pt>
                <c:pt idx="182">
                  <c:v>-3.4436612050971038E-2</c:v>
                </c:pt>
                <c:pt idx="183">
                  <c:v>-4.4278000310527643E-2</c:v>
                </c:pt>
                <c:pt idx="184">
                  <c:v>-3.5830221109698246E-2</c:v>
                </c:pt>
                <c:pt idx="185">
                  <c:v>-3.8075688570930244E-2</c:v>
                </c:pt>
                <c:pt idx="186">
                  <c:v>-3.3571736664802398E-2</c:v>
                </c:pt>
                <c:pt idx="187">
                  <c:v>-2.8041240399195533E-2</c:v>
                </c:pt>
                <c:pt idx="188">
                  <c:v>-1.9898708584840885E-2</c:v>
                </c:pt>
                <c:pt idx="189">
                  <c:v>-2.0143634685562462E-2</c:v>
                </c:pt>
                <c:pt idx="190">
                  <c:v>-1.146751468526519E-2</c:v>
                </c:pt>
                <c:pt idx="191">
                  <c:v>0</c:v>
                </c:pt>
                <c:pt idx="192">
                  <c:v>-1.3246887337372115E-2</c:v>
                </c:pt>
                <c:pt idx="193">
                  <c:v>-8.2351515049760016E-3</c:v>
                </c:pt>
                <c:pt idx="194">
                  <c:v>-7.6276773635813866E-3</c:v>
                </c:pt>
                <c:pt idx="195">
                  <c:v>-1.5343842834144583E-3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-1.4518591708295725E-3</c:v>
                </c:pt>
                <c:pt idx="201">
                  <c:v>-3.8724205343499962E-3</c:v>
                </c:pt>
                <c:pt idx="202">
                  <c:v>-1.0498825848249127E-2</c:v>
                </c:pt>
                <c:pt idx="203">
                  <c:v>-1.0552179271673401E-2</c:v>
                </c:pt>
                <c:pt idx="204">
                  <c:v>-4.4534558737927554E-3</c:v>
                </c:pt>
                <c:pt idx="205">
                  <c:v>-2.1607986702132487E-2</c:v>
                </c:pt>
                <c:pt idx="206">
                  <c:v>-2.7255063749309638E-2</c:v>
                </c:pt>
                <c:pt idx="207">
                  <c:v>-3.0010117042930107E-2</c:v>
                </c:pt>
                <c:pt idx="208">
                  <c:v>-2.7408140692314342E-2</c:v>
                </c:pt>
                <c:pt idx="209">
                  <c:v>-2.9833882113952548E-2</c:v>
                </c:pt>
                <c:pt idx="210">
                  <c:v>-3.2139509951135015E-2</c:v>
                </c:pt>
                <c:pt idx="211">
                  <c:v>-2.9378685625358392E-2</c:v>
                </c:pt>
                <c:pt idx="212">
                  <c:v>-1.247061120118409E-2</c:v>
                </c:pt>
                <c:pt idx="213">
                  <c:v>-1.6790167121885746E-2</c:v>
                </c:pt>
                <c:pt idx="214">
                  <c:v>-1.9889263608348751E-2</c:v>
                </c:pt>
                <c:pt idx="215">
                  <c:v>-9.9932702373786153E-3</c:v>
                </c:pt>
                <c:pt idx="216">
                  <c:v>-1.9904979363175146E-2</c:v>
                </c:pt>
                <c:pt idx="217">
                  <c:v>-1.54709159435098E-2</c:v>
                </c:pt>
                <c:pt idx="218">
                  <c:v>-1.3000127204719547E-2</c:v>
                </c:pt>
                <c:pt idx="219">
                  <c:v>-2.2153447957299344E-2</c:v>
                </c:pt>
                <c:pt idx="220">
                  <c:v>-2.7719719985325408E-2</c:v>
                </c:pt>
                <c:pt idx="221">
                  <c:v>-3.230975625379684E-2</c:v>
                </c:pt>
                <c:pt idx="222">
                  <c:v>-3.4821791840978999E-2</c:v>
                </c:pt>
                <c:pt idx="223">
                  <c:v>-3.306408364218727E-2</c:v>
                </c:pt>
                <c:pt idx="224">
                  <c:v>-4.152547026965081E-2</c:v>
                </c:pt>
                <c:pt idx="225">
                  <c:v>-4.2981543558702429E-2</c:v>
                </c:pt>
                <c:pt idx="226">
                  <c:v>-4.778221381741643E-2</c:v>
                </c:pt>
                <c:pt idx="227">
                  <c:v>-4.581875695357307E-2</c:v>
                </c:pt>
                <c:pt idx="228">
                  <c:v>-4.3270839027803376E-2</c:v>
                </c:pt>
                <c:pt idx="229">
                  <c:v>-2.675432435412306E-2</c:v>
                </c:pt>
                <c:pt idx="230">
                  <c:v>-3.1052895379764189E-2</c:v>
                </c:pt>
                <c:pt idx="231">
                  <c:v>-2.4225534781230351E-2</c:v>
                </c:pt>
                <c:pt idx="232">
                  <c:v>-1.5085609689438395E-2</c:v>
                </c:pt>
                <c:pt idx="233">
                  <c:v>-1.3774755934421679E-2</c:v>
                </c:pt>
                <c:pt idx="234">
                  <c:v>-1.6020636907109864E-2</c:v>
                </c:pt>
                <c:pt idx="235">
                  <c:v>-1.5867931471623797E-2</c:v>
                </c:pt>
                <c:pt idx="236">
                  <c:v>-2.1458207074067648E-2</c:v>
                </c:pt>
                <c:pt idx="237">
                  <c:v>-3.4814419019548515E-2</c:v>
                </c:pt>
                <c:pt idx="238">
                  <c:v>-2.4535384039169883E-2</c:v>
                </c:pt>
                <c:pt idx="239">
                  <c:v>-2.0909232157982571E-2</c:v>
                </c:pt>
                <c:pt idx="240">
                  <c:v>-2.6136646858630819E-2</c:v>
                </c:pt>
                <c:pt idx="241">
                  <c:v>-2.4246109212184175E-2</c:v>
                </c:pt>
                <c:pt idx="242">
                  <c:v>-1.582545351949094E-2</c:v>
                </c:pt>
                <c:pt idx="243">
                  <c:v>-1.4333200746570407E-2</c:v>
                </c:pt>
                <c:pt idx="244">
                  <c:v>-3.0626557587279946E-2</c:v>
                </c:pt>
                <c:pt idx="245">
                  <c:v>-2.4984199927328254E-2</c:v>
                </c:pt>
                <c:pt idx="246">
                  <c:v>-3.3008654447414187E-2</c:v>
                </c:pt>
                <c:pt idx="247">
                  <c:v>-2.0588755602905628E-2</c:v>
                </c:pt>
                <c:pt idx="248">
                  <c:v>-1.2825378041712021E-2</c:v>
                </c:pt>
                <c:pt idx="249">
                  <c:v>-7.0245950747090946E-3</c:v>
                </c:pt>
                <c:pt idx="250">
                  <c:v>-5.6126714277786593E-3</c:v>
                </c:pt>
                <c:pt idx="251">
                  <c:v>-3.5764753203317845E-3</c:v>
                </c:pt>
                <c:pt idx="252">
                  <c:v>-3.5342133374487439E-3</c:v>
                </c:pt>
                <c:pt idx="253">
                  <c:v>-3.8020433333207926E-4</c:v>
                </c:pt>
                <c:pt idx="254">
                  <c:v>-9.5434975183971149E-3</c:v>
                </c:pt>
                <c:pt idx="255">
                  <c:v>-1.7400976076185404E-2</c:v>
                </c:pt>
                <c:pt idx="256">
                  <c:v>-2.1467687345949504E-2</c:v>
                </c:pt>
                <c:pt idx="257">
                  <c:v>-1.3562364599876364E-2</c:v>
                </c:pt>
                <c:pt idx="258">
                  <c:v>-1.1651172799116982E-2</c:v>
                </c:pt>
                <c:pt idx="259">
                  <c:v>-1.7801391662316646E-2</c:v>
                </c:pt>
                <c:pt idx="260">
                  <c:v>-2.3714700215181628E-2</c:v>
                </c:pt>
                <c:pt idx="261">
                  <c:v>-1.792340632587186E-2</c:v>
                </c:pt>
                <c:pt idx="262">
                  <c:v>-2.5789768353521314E-2</c:v>
                </c:pt>
                <c:pt idx="263">
                  <c:v>-3.6608698461027656E-2</c:v>
                </c:pt>
                <c:pt idx="264">
                  <c:v>-6.463583040708587E-2</c:v>
                </c:pt>
                <c:pt idx="265">
                  <c:v>-4.5259338941906813E-2</c:v>
                </c:pt>
                <c:pt idx="266">
                  <c:v>-4.2240560801600546E-2</c:v>
                </c:pt>
                <c:pt idx="267">
                  <c:v>-4.2821341793358059E-2</c:v>
                </c:pt>
                <c:pt idx="268">
                  <c:v>-4.7736570702892056E-2</c:v>
                </c:pt>
                <c:pt idx="269">
                  <c:v>-5.5749821767448582E-2</c:v>
                </c:pt>
                <c:pt idx="270">
                  <c:v>-5.0434579927058798E-2</c:v>
                </c:pt>
                <c:pt idx="271">
                  <c:v>-4.6462509358941362E-2</c:v>
                </c:pt>
                <c:pt idx="272">
                  <c:v>-4.5260388994784906E-2</c:v>
                </c:pt>
                <c:pt idx="273">
                  <c:v>-5.0016587500170573E-2</c:v>
                </c:pt>
                <c:pt idx="274">
                  <c:v>-5.5790851228112226E-2</c:v>
                </c:pt>
                <c:pt idx="275">
                  <c:v>-5.8322526680081976E-2</c:v>
                </c:pt>
                <c:pt idx="276">
                  <c:v>-5.7034997447626523E-2</c:v>
                </c:pt>
                <c:pt idx="277">
                  <c:v>-6.0179615885318394E-2</c:v>
                </c:pt>
                <c:pt idx="278">
                  <c:v>-8.055123060342595E-2</c:v>
                </c:pt>
                <c:pt idx="279">
                  <c:v>-8.9256892181125536E-2</c:v>
                </c:pt>
                <c:pt idx="280">
                  <c:v>-0.10967970056692611</c:v>
                </c:pt>
                <c:pt idx="281">
                  <c:v>-0.10531095201246465</c:v>
                </c:pt>
                <c:pt idx="282">
                  <c:v>-0.12860647577409146</c:v>
                </c:pt>
                <c:pt idx="283">
                  <c:v>-0.134383578140024</c:v>
                </c:pt>
                <c:pt idx="284">
                  <c:v>-0.11644985105581585</c:v>
                </c:pt>
                <c:pt idx="285">
                  <c:v>-0.11470099257127231</c:v>
                </c:pt>
                <c:pt idx="286">
                  <c:v>-0.11540941405363259</c:v>
                </c:pt>
                <c:pt idx="287">
                  <c:v>-0.12676995183867501</c:v>
                </c:pt>
                <c:pt idx="288">
                  <c:v>-0.16995337167687219</c:v>
                </c:pt>
                <c:pt idx="289">
                  <c:v>-0.17054792171517108</c:v>
                </c:pt>
                <c:pt idx="290">
                  <c:v>-0.24224430827953458</c:v>
                </c:pt>
                <c:pt idx="291">
                  <c:v>-0.21090703507193709</c:v>
                </c:pt>
                <c:pt idx="292">
                  <c:v>-0.26587595139955955</c:v>
                </c:pt>
                <c:pt idx="293">
                  <c:v>-0.26967449034815361</c:v>
                </c:pt>
                <c:pt idx="294">
                  <c:v>-0.29701145669198159</c:v>
                </c:pt>
                <c:pt idx="295">
                  <c:v>-0.31892342518819572</c:v>
                </c:pt>
                <c:pt idx="296">
                  <c:v>-0.28333150448890188</c:v>
                </c:pt>
                <c:pt idx="297">
                  <c:v>-0.37843782282347682</c:v>
                </c:pt>
                <c:pt idx="298">
                  <c:v>-0.35783189967730933</c:v>
                </c:pt>
                <c:pt idx="299">
                  <c:v>-0.30962904778936928</c:v>
                </c:pt>
                <c:pt idx="300">
                  <c:v>-0.29316806183743904</c:v>
                </c:pt>
                <c:pt idx="301">
                  <c:v>-0.29509065853358518</c:v>
                </c:pt>
                <c:pt idx="302">
                  <c:v>-0.32514309056480128</c:v>
                </c:pt>
                <c:pt idx="303">
                  <c:v>-0.30258702859575359</c:v>
                </c:pt>
                <c:pt idx="304">
                  <c:v>-0.32621566726727014</c:v>
                </c:pt>
                <c:pt idx="305">
                  <c:v>-0.32463519941867613</c:v>
                </c:pt>
                <c:pt idx="306">
                  <c:v>-0.26499129417285938</c:v>
                </c:pt>
                <c:pt idx="307">
                  <c:v>-0.26009807186745815</c:v>
                </c:pt>
                <c:pt idx="308">
                  <c:v>-0.22579865219131168</c:v>
                </c:pt>
                <c:pt idx="309">
                  <c:v>-0.2208775660469795</c:v>
                </c:pt>
                <c:pt idx="310">
                  <c:v>-0.23036183650986375</c:v>
                </c:pt>
                <c:pt idx="311">
                  <c:v>-0.22079105967540158</c:v>
                </c:pt>
                <c:pt idx="312">
                  <c:v>-0.19635447152904673</c:v>
                </c:pt>
                <c:pt idx="313">
                  <c:v>-0.19547081298327984</c:v>
                </c:pt>
                <c:pt idx="314">
                  <c:v>-0.22070921597088811</c:v>
                </c:pt>
                <c:pt idx="315">
                  <c:v>-0.20441904814540768</c:v>
                </c:pt>
                <c:pt idx="316">
                  <c:v>-0.19674404585108818</c:v>
                </c:pt>
                <c:pt idx="317">
                  <c:v>-0.19822819484465382</c:v>
                </c:pt>
                <c:pt idx="318">
                  <c:v>-0.19436950832258904</c:v>
                </c:pt>
                <c:pt idx="319">
                  <c:v>-0.19777481697920452</c:v>
                </c:pt>
                <c:pt idx="320">
                  <c:v>-0.18574702480343397</c:v>
                </c:pt>
                <c:pt idx="321">
                  <c:v>-0.1636192221072712</c:v>
                </c:pt>
                <c:pt idx="322">
                  <c:v>-0.20369251941613109</c:v>
                </c:pt>
                <c:pt idx="323">
                  <c:v>-0.20929924704898806</c:v>
                </c:pt>
                <c:pt idx="324">
                  <c:v>-0.21265779784401684</c:v>
                </c:pt>
                <c:pt idx="325">
                  <c:v>-0.21872361356524983</c:v>
                </c:pt>
                <c:pt idx="326">
                  <c:v>-0.21493516681617353</c:v>
                </c:pt>
                <c:pt idx="327">
                  <c:v>-0.2032728319217999</c:v>
                </c:pt>
                <c:pt idx="328">
                  <c:v>-0.20757308163251043</c:v>
                </c:pt>
                <c:pt idx="329">
                  <c:v>-0.19406769635987209</c:v>
                </c:pt>
                <c:pt idx="330">
                  <c:v>-0.20132132095014665</c:v>
                </c:pt>
                <c:pt idx="331">
                  <c:v>-0.20429262789815672</c:v>
                </c:pt>
                <c:pt idx="332">
                  <c:v>-0.22871117041221256</c:v>
                </c:pt>
                <c:pt idx="333">
                  <c:v>-0.22860937797883196</c:v>
                </c:pt>
                <c:pt idx="334">
                  <c:v>-0.20912447990324634</c:v>
                </c:pt>
                <c:pt idx="335">
                  <c:v>-0.19679402303207394</c:v>
                </c:pt>
                <c:pt idx="336">
                  <c:v>-0.19432272251955107</c:v>
                </c:pt>
                <c:pt idx="337">
                  <c:v>-0.19315757812114343</c:v>
                </c:pt>
                <c:pt idx="338">
                  <c:v>-0.1804368435908229</c:v>
                </c:pt>
                <c:pt idx="339">
                  <c:v>-0.15666065328954548</c:v>
                </c:pt>
                <c:pt idx="340">
                  <c:v>-0.14284129048649608</c:v>
                </c:pt>
                <c:pt idx="341">
                  <c:v>-0.12914568836918472</c:v>
                </c:pt>
                <c:pt idx="342">
                  <c:v>-0.12503044929552543</c:v>
                </c:pt>
                <c:pt idx="343">
                  <c:v>-0.12215276842971223</c:v>
                </c:pt>
                <c:pt idx="344">
                  <c:v>-0.1153480976191773</c:v>
                </c:pt>
                <c:pt idx="345">
                  <c:v>-0.1091088012764081</c:v>
                </c:pt>
                <c:pt idx="346">
                  <c:v>-0.10987690771594272</c:v>
                </c:pt>
                <c:pt idx="347">
                  <c:v>-0.11451654336446637</c:v>
                </c:pt>
                <c:pt idx="348">
                  <c:v>-0.11150263293550877</c:v>
                </c:pt>
                <c:pt idx="349">
                  <c:v>-0.1375070869059114</c:v>
                </c:pt>
                <c:pt idx="350">
                  <c:v>-0.13009665290958916</c:v>
                </c:pt>
                <c:pt idx="351">
                  <c:v>-0.13978005509618519</c:v>
                </c:pt>
                <c:pt idx="352">
                  <c:v>-0.13638762610056765</c:v>
                </c:pt>
                <c:pt idx="353">
                  <c:v>-0.1329308270076085</c:v>
                </c:pt>
                <c:pt idx="354">
                  <c:v>-0.12304706111345165</c:v>
                </c:pt>
                <c:pt idx="355">
                  <c:v>-0.11003107620707286</c:v>
                </c:pt>
                <c:pt idx="356">
                  <c:v>-0.1084623235485479</c:v>
                </c:pt>
                <c:pt idx="357">
                  <c:v>-9.3447288726764111E-2</c:v>
                </c:pt>
                <c:pt idx="358">
                  <c:v>-0.10212280061918688</c:v>
                </c:pt>
                <c:pt idx="359">
                  <c:v>-0.10265660767802076</c:v>
                </c:pt>
                <c:pt idx="360">
                  <c:v>-9.1433449874183559E-2</c:v>
                </c:pt>
                <c:pt idx="361">
                  <c:v>-9.9465509385126882E-2</c:v>
                </c:pt>
                <c:pt idx="362">
                  <c:v>-9.8951849331239794E-2</c:v>
                </c:pt>
                <c:pt idx="363">
                  <c:v>-9.8444008790654514E-2</c:v>
                </c:pt>
                <c:pt idx="364">
                  <c:v>-8.0971262607282157E-2</c:v>
                </c:pt>
                <c:pt idx="365">
                  <c:v>-7.6052808929916949E-2</c:v>
                </c:pt>
                <c:pt idx="366">
                  <c:v>-5.830215248977233E-2</c:v>
                </c:pt>
                <c:pt idx="367">
                  <c:v>-5.7470568119172505E-2</c:v>
                </c:pt>
                <c:pt idx="368">
                  <c:v>-6.6665349693858289E-2</c:v>
                </c:pt>
                <c:pt idx="369">
                  <c:v>-6.4882294912167682E-2</c:v>
                </c:pt>
                <c:pt idx="370">
                  <c:v>-6.276280412531221E-2</c:v>
                </c:pt>
                <c:pt idx="371">
                  <c:v>-5.6079948652740907E-2</c:v>
                </c:pt>
                <c:pt idx="372">
                  <c:v>-7.4297277511269244E-2</c:v>
                </c:pt>
                <c:pt idx="373">
                  <c:v>-6.9319910017377362E-2</c:v>
                </c:pt>
                <c:pt idx="374">
                  <c:v>-5.7413164514759307E-2</c:v>
                </c:pt>
                <c:pt idx="375">
                  <c:v>-4.9092361152646702E-2</c:v>
                </c:pt>
                <c:pt idx="376">
                  <c:v>-5.231669232456293E-2</c:v>
                </c:pt>
                <c:pt idx="377">
                  <c:v>-3.798064003509305E-2</c:v>
                </c:pt>
                <c:pt idx="378">
                  <c:v>-4.6112948816250943E-2</c:v>
                </c:pt>
                <c:pt idx="379">
                  <c:v>-4.0982816746692907E-2</c:v>
                </c:pt>
                <c:pt idx="380">
                  <c:v>-3.7695943847552482E-2</c:v>
                </c:pt>
                <c:pt idx="381">
                  <c:v>-3.8561222987366528E-2</c:v>
                </c:pt>
                <c:pt idx="382">
                  <c:v>-2.049751526674759E-2</c:v>
                </c:pt>
                <c:pt idx="383">
                  <c:v>-2.606560517468326E-2</c:v>
                </c:pt>
                <c:pt idx="384">
                  <c:v>-2.226156033947968E-2</c:v>
                </c:pt>
                <c:pt idx="385">
                  <c:v>-1.7852438568177198E-2</c:v>
                </c:pt>
                <c:pt idx="386">
                  <c:v>-3.1889600186737144E-2</c:v>
                </c:pt>
                <c:pt idx="387">
                  <c:v>-1.0351428220171988E-2</c:v>
                </c:pt>
                <c:pt idx="388">
                  <c:v>-6.1426523892426088E-3</c:v>
                </c:pt>
                <c:pt idx="389">
                  <c:v>0</c:v>
                </c:pt>
                <c:pt idx="390">
                  <c:v>-4.8572045863504165E-4</c:v>
                </c:pt>
                <c:pt idx="391">
                  <c:v>0</c:v>
                </c:pt>
                <c:pt idx="392">
                  <c:v>0</c:v>
                </c:pt>
                <c:pt idx="393">
                  <c:v>-2.9865725698771106E-3</c:v>
                </c:pt>
                <c:pt idx="394">
                  <c:v>0</c:v>
                </c:pt>
                <c:pt idx="395">
                  <c:v>-7.2450132627042141E-3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-8.1430818126798643E-3</c:v>
                </c:pt>
                <c:pt idx="400">
                  <c:v>-4.987649475738265E-3</c:v>
                </c:pt>
                <c:pt idx="401">
                  <c:v>0</c:v>
                </c:pt>
                <c:pt idx="402">
                  <c:v>-6.0319667461040671E-3</c:v>
                </c:pt>
                <c:pt idx="403">
                  <c:v>-6.4161869594882015E-3</c:v>
                </c:pt>
                <c:pt idx="404">
                  <c:v>-3.4100140176346327E-3</c:v>
                </c:pt>
                <c:pt idx="405">
                  <c:v>0</c:v>
                </c:pt>
                <c:pt idx="406">
                  <c:v>-2.8080263562295649E-2</c:v>
                </c:pt>
                <c:pt idx="407">
                  <c:v>-2.4799723275642616E-2</c:v>
                </c:pt>
                <c:pt idx="408">
                  <c:v>-2.1297937229488251E-2</c:v>
                </c:pt>
                <c:pt idx="409">
                  <c:v>-1.212929553481612E-2</c:v>
                </c:pt>
                <c:pt idx="410">
                  <c:v>-2.2656771684448795E-2</c:v>
                </c:pt>
                <c:pt idx="411">
                  <c:v>-2.1274045659661178E-2</c:v>
                </c:pt>
                <c:pt idx="412">
                  <c:v>-2.4102454248266292E-2</c:v>
                </c:pt>
                <c:pt idx="413">
                  <c:v>-2.5170914675402778E-2</c:v>
                </c:pt>
                <c:pt idx="414">
                  <c:v>-1.2628941398310944E-2</c:v>
                </c:pt>
                <c:pt idx="415">
                  <c:v>-1.3899598169722749E-2</c:v>
                </c:pt>
                <c:pt idx="416">
                  <c:v>-1.7173781608572858E-2</c:v>
                </c:pt>
                <c:pt idx="417">
                  <c:v>-1.2953739887011206E-2</c:v>
                </c:pt>
                <c:pt idx="418">
                  <c:v>-3.3078925186549313E-3</c:v>
                </c:pt>
                <c:pt idx="419">
                  <c:v>-1.1449476031863082E-2</c:v>
                </c:pt>
                <c:pt idx="420">
                  <c:v>-1.4928723698064639E-2</c:v>
                </c:pt>
                <c:pt idx="421">
                  <c:v>-3.7484370002760281E-2</c:v>
                </c:pt>
                <c:pt idx="422">
                  <c:v>-4.9005949505004698E-2</c:v>
                </c:pt>
                <c:pt idx="423">
                  <c:v>-4.7789530197031138E-2</c:v>
                </c:pt>
                <c:pt idx="424">
                  <c:v>-7.5296004950553774E-2</c:v>
                </c:pt>
                <c:pt idx="425">
                  <c:v>-5.0231506144570948E-2</c:v>
                </c:pt>
                <c:pt idx="426">
                  <c:v>-3.2827595120136999E-2</c:v>
                </c:pt>
                <c:pt idx="427">
                  <c:v>-3.1993076383526442E-2</c:v>
                </c:pt>
                <c:pt idx="428">
                  <c:v>-3.0634351438161178E-2</c:v>
                </c:pt>
                <c:pt idx="429">
                  <c:v>-2.4203748989089391E-2</c:v>
                </c:pt>
                <c:pt idx="430">
                  <c:v>-1.2407621459263551E-2</c:v>
                </c:pt>
                <c:pt idx="431">
                  <c:v>-8.8603329587948476E-3</c:v>
                </c:pt>
                <c:pt idx="432">
                  <c:v>-3.0196101819157661E-3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-5.6257496498938186E-3</c:v>
                </c:pt>
                <c:pt idx="437">
                  <c:v>-4.2888105870605431E-3</c:v>
                </c:pt>
                <c:pt idx="438">
                  <c:v>-2.9252788189247814E-2</c:v>
                </c:pt>
                <c:pt idx="439">
                  <c:v>-2.6468446740968155E-2</c:v>
                </c:pt>
                <c:pt idx="440">
                  <c:v>-2.6927333193439651E-2</c:v>
                </c:pt>
                <c:pt idx="441">
                  <c:v>-2.1858795617807236E-2</c:v>
                </c:pt>
                <c:pt idx="442">
                  <c:v>-2.027098763081836E-2</c:v>
                </c:pt>
                <c:pt idx="443">
                  <c:v>-2.3509711414089418E-2</c:v>
                </c:pt>
                <c:pt idx="444">
                  <c:v>-1.21966960489448E-2</c:v>
                </c:pt>
                <c:pt idx="445">
                  <c:v>-2.2658986399730741E-2</c:v>
                </c:pt>
                <c:pt idx="446">
                  <c:v>-1.746798029382135E-2</c:v>
                </c:pt>
                <c:pt idx="447">
                  <c:v>-2.3768837067518978E-2</c:v>
                </c:pt>
                <c:pt idx="448">
                  <c:v>-3.8272936516619116E-2</c:v>
                </c:pt>
                <c:pt idx="449">
                  <c:v>-3.821496473701369E-2</c:v>
                </c:pt>
                <c:pt idx="450">
                  <c:v>-4.8629900209585686E-2</c:v>
                </c:pt>
                <c:pt idx="451">
                  <c:v>-3.6794075675405935E-2</c:v>
                </c:pt>
                <c:pt idx="452">
                  <c:v>-2.0327467185040526E-2</c:v>
                </c:pt>
                <c:pt idx="453">
                  <c:v>-2.8712917534412519E-3</c:v>
                </c:pt>
                <c:pt idx="454">
                  <c:v>-3.121981651084127E-4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-5.0259974616118086E-3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-8.2248494355487978E-3</c:v>
                </c:pt>
                <c:pt idx="464">
                  <c:v>-9.8914779656108509E-3</c:v>
                </c:pt>
                <c:pt idx="465">
                  <c:v>-1.2166546075198514E-4</c:v>
                </c:pt>
                <c:pt idx="466">
                  <c:v>0</c:v>
                </c:pt>
                <c:pt idx="467">
                  <c:v>-1.6308785337037168E-2</c:v>
                </c:pt>
                <c:pt idx="468">
                  <c:v>-1.3480690964646991E-2</c:v>
                </c:pt>
                <c:pt idx="469">
                  <c:v>-1.5257088546721365E-2</c:v>
                </c:pt>
                <c:pt idx="470">
                  <c:v>-5.8068434754088294E-4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-2.8292537718743738E-3</c:v>
                </c:pt>
                <c:pt idx="481">
                  <c:v>0</c:v>
                </c:pt>
                <c:pt idx="482">
                  <c:v>-1.576022800980903E-4</c:v>
                </c:pt>
                <c:pt idx="483">
                  <c:v>0</c:v>
                </c:pt>
                <c:pt idx="484">
                  <c:v>-2.9781504971290285E-2</c:v>
                </c:pt>
                <c:pt idx="485">
                  <c:v>-1.6199282900277834E-2</c:v>
                </c:pt>
                <c:pt idx="486">
                  <c:v>-7.1487976232116335E-3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-2.5370945484871621E-3</c:v>
                </c:pt>
                <c:pt idx="495">
                  <c:v>-9.585637973569261E-3</c:v>
                </c:pt>
                <c:pt idx="496">
                  <c:v>-1.1616953928622942E-2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-1.8179440922408974E-3</c:v>
                </c:pt>
                <c:pt idx="501">
                  <c:v>0</c:v>
                </c:pt>
                <c:pt idx="502">
                  <c:v>-9.0849108521774413E-3</c:v>
                </c:pt>
                <c:pt idx="503">
                  <c:v>-1.9797856163270788E-2</c:v>
                </c:pt>
                <c:pt idx="504">
                  <c:v>-4.7786908282366758E-3</c:v>
                </c:pt>
                <c:pt idx="505">
                  <c:v>0</c:v>
                </c:pt>
                <c:pt idx="506">
                  <c:v>-6.7541003214582895E-3</c:v>
                </c:pt>
                <c:pt idx="507">
                  <c:v>-1.5590889899520066E-2</c:v>
                </c:pt>
                <c:pt idx="508">
                  <c:v>-2.2494255377994321E-2</c:v>
                </c:pt>
                <c:pt idx="509">
                  <c:v>-3.6272630970430431E-2</c:v>
                </c:pt>
                <c:pt idx="510">
                  <c:v>-5.4326380297347598E-2</c:v>
                </c:pt>
                <c:pt idx="511">
                  <c:v>-6.6599012867430196E-2</c:v>
                </c:pt>
                <c:pt idx="512">
                  <c:v>-3.03035796471397E-2</c:v>
                </c:pt>
                <c:pt idx="513">
                  <c:v>-2.8598036637061952E-4</c:v>
                </c:pt>
                <c:pt idx="514">
                  <c:v>0</c:v>
                </c:pt>
                <c:pt idx="515">
                  <c:v>0</c:v>
                </c:pt>
                <c:pt idx="516">
                  <c:v>-3.5327569700225325E-3</c:v>
                </c:pt>
                <c:pt idx="517">
                  <c:v>0</c:v>
                </c:pt>
                <c:pt idx="518">
                  <c:v>0</c:v>
                </c:pt>
                <c:pt idx="519">
                  <c:v>-1.3179651179802132E-3</c:v>
                </c:pt>
                <c:pt idx="520">
                  <c:v>0</c:v>
                </c:pt>
                <c:pt idx="521">
                  <c:v>-1.0586108256902094E-2</c:v>
                </c:pt>
                <c:pt idx="522">
                  <c:v>-7.6057914608362864E-3</c:v>
                </c:pt>
                <c:pt idx="523">
                  <c:v>-2.7844819911727603E-3</c:v>
                </c:pt>
                <c:pt idx="524">
                  <c:v>-1.2323479002332105E-2</c:v>
                </c:pt>
                <c:pt idx="525">
                  <c:v>-1.8428650934770974E-2</c:v>
                </c:pt>
                <c:pt idx="526">
                  <c:v>-2.7676115802088841E-2</c:v>
                </c:pt>
                <c:pt idx="527">
                  <c:v>-5.3990901961408877E-2</c:v>
                </c:pt>
                <c:pt idx="528">
                  <c:v>-4.9226763657296391E-2</c:v>
                </c:pt>
                <c:pt idx="529">
                  <c:v>-3.9669914267529527E-2</c:v>
                </c:pt>
                <c:pt idx="530">
                  <c:v>-3.4404695002110852E-2</c:v>
                </c:pt>
                <c:pt idx="531">
                  <c:v>-6.0629502585425765E-2</c:v>
                </c:pt>
                <c:pt idx="532">
                  <c:v>-4.5509129731183484E-2</c:v>
                </c:pt>
                <c:pt idx="533">
                  <c:v>-2.9705606410281304E-2</c:v>
                </c:pt>
                <c:pt idx="534">
                  <c:v>-1.7707515106555105E-2</c:v>
                </c:pt>
                <c:pt idx="535">
                  <c:v>-2.7508766849520083E-2</c:v>
                </c:pt>
                <c:pt idx="536">
                  <c:v>-2.9433088662630058E-2</c:v>
                </c:pt>
                <c:pt idx="537">
                  <c:v>-2.0400646110159015E-2</c:v>
                </c:pt>
                <c:pt idx="538">
                  <c:v>-1.6856153933810902E-2</c:v>
                </c:pt>
                <c:pt idx="539">
                  <c:v>-1.172441967157889E-2</c:v>
                </c:pt>
                <c:pt idx="540">
                  <c:v>-2.3843379408735044E-2</c:v>
                </c:pt>
                <c:pt idx="541">
                  <c:v>-3.2318284420465693E-2</c:v>
                </c:pt>
                <c:pt idx="542">
                  <c:v>-3.2768755753059597E-2</c:v>
                </c:pt>
                <c:pt idx="543">
                  <c:v>-4.4545704388796903E-2</c:v>
                </c:pt>
                <c:pt idx="544">
                  <c:v>-5.2257263052822855E-2</c:v>
                </c:pt>
                <c:pt idx="545">
                  <c:v>-4.6099917742281504E-2</c:v>
                </c:pt>
                <c:pt idx="546">
                  <c:v>-4.2384520509936685E-2</c:v>
                </c:pt>
                <c:pt idx="547">
                  <c:v>-3.831592788582816E-2</c:v>
                </c:pt>
                <c:pt idx="548">
                  <c:v>-5.4086176130016872E-2</c:v>
                </c:pt>
                <c:pt idx="549">
                  <c:v>-7.1708065039690072E-2</c:v>
                </c:pt>
                <c:pt idx="550">
                  <c:v>-6.3917540709315213E-2</c:v>
                </c:pt>
                <c:pt idx="551">
                  <c:v>-4.4544259554048504E-2</c:v>
                </c:pt>
                <c:pt idx="552">
                  <c:v>-4.8274821896065023E-2</c:v>
                </c:pt>
                <c:pt idx="553">
                  <c:v>-3.7979434946065704E-2</c:v>
                </c:pt>
                <c:pt idx="554">
                  <c:v>-5.0865128809423177E-2</c:v>
                </c:pt>
                <c:pt idx="555">
                  <c:v>-4.9162560632744157E-2</c:v>
                </c:pt>
                <c:pt idx="556">
                  <c:v>-4.2322309723618279E-2</c:v>
                </c:pt>
                <c:pt idx="557">
                  <c:v>-4.1955291651858517E-2</c:v>
                </c:pt>
                <c:pt idx="558">
                  <c:v>-4.0487248214699179E-2</c:v>
                </c:pt>
                <c:pt idx="559">
                  <c:v>-7.3583638538218477E-2</c:v>
                </c:pt>
                <c:pt idx="560">
                  <c:v>-6.0664048451973596E-2</c:v>
                </c:pt>
                <c:pt idx="561">
                  <c:v>-6.1315956629889978E-2</c:v>
                </c:pt>
                <c:pt idx="562">
                  <c:v>-6.179785223344314E-2</c:v>
                </c:pt>
                <c:pt idx="563">
                  <c:v>-7.7244682977179124E-2</c:v>
                </c:pt>
                <c:pt idx="564">
                  <c:v>-7.2540669535428592E-2</c:v>
                </c:pt>
                <c:pt idx="565">
                  <c:v>-7.0764185864723439E-2</c:v>
                </c:pt>
                <c:pt idx="566">
                  <c:v>-7.4391818651903474E-2</c:v>
                </c:pt>
                <c:pt idx="567">
                  <c:v>-7.2368773720096535E-2</c:v>
                </c:pt>
                <c:pt idx="568">
                  <c:v>-6.1241780173374782E-2</c:v>
                </c:pt>
                <c:pt idx="569">
                  <c:v>-5.8179707345599296E-2</c:v>
                </c:pt>
                <c:pt idx="570">
                  <c:v>-5.9764348005831969E-2</c:v>
                </c:pt>
                <c:pt idx="571">
                  <c:v>-7.0600435492175206E-2</c:v>
                </c:pt>
                <c:pt idx="572">
                  <c:v>-6.8050935307372273E-2</c:v>
                </c:pt>
                <c:pt idx="573">
                  <c:v>-7.9527835765876187E-2</c:v>
                </c:pt>
                <c:pt idx="574">
                  <c:v>-6.537071019554952E-2</c:v>
                </c:pt>
                <c:pt idx="575">
                  <c:v>-6.1191170981135468E-2</c:v>
                </c:pt>
                <c:pt idx="576">
                  <c:v>-5.8015606454043356E-2</c:v>
                </c:pt>
                <c:pt idx="577">
                  <c:v>-4.565342070331857E-2</c:v>
                </c:pt>
                <c:pt idx="578">
                  <c:v>-4.8024307476918549E-2</c:v>
                </c:pt>
                <c:pt idx="579">
                  <c:v>-4.9546226501724466E-2</c:v>
                </c:pt>
                <c:pt idx="580">
                  <c:v>-4.7196826441584294E-2</c:v>
                </c:pt>
                <c:pt idx="581">
                  <c:v>-4.6812091744432571E-2</c:v>
                </c:pt>
                <c:pt idx="582">
                  <c:v>-3.5633696912227064E-2</c:v>
                </c:pt>
                <c:pt idx="583">
                  <c:v>-3.7395152014207067E-2</c:v>
                </c:pt>
                <c:pt idx="584">
                  <c:v>-4.3723039533322128E-2</c:v>
                </c:pt>
                <c:pt idx="585">
                  <c:v>-3.322301289554408E-2</c:v>
                </c:pt>
                <c:pt idx="586">
                  <c:v>-2.8002648167048561E-2</c:v>
                </c:pt>
                <c:pt idx="587">
                  <c:v>-2.5747476294018523E-2</c:v>
                </c:pt>
                <c:pt idx="588">
                  <c:v>-1.425276421122279E-2</c:v>
                </c:pt>
                <c:pt idx="589">
                  <c:v>-1.3861318658750066E-2</c:v>
                </c:pt>
                <c:pt idx="590">
                  <c:v>-1.2355393642849766E-2</c:v>
                </c:pt>
                <c:pt idx="591">
                  <c:v>-4.2139816882674763E-3</c:v>
                </c:pt>
                <c:pt idx="592">
                  <c:v>-3.3235494706779223E-3</c:v>
                </c:pt>
                <c:pt idx="593">
                  <c:v>-1.8907225718658438E-3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-1.0419265876602024E-2</c:v>
                </c:pt>
                <c:pt idx="599">
                  <c:v>-8.1035986102215851E-3</c:v>
                </c:pt>
                <c:pt idx="600">
                  <c:v>-3.612198481156792E-3</c:v>
                </c:pt>
                <c:pt idx="601">
                  <c:v>-1.9904606354269605E-3</c:v>
                </c:pt>
                <c:pt idx="602">
                  <c:v>-2.7492295599050864E-3</c:v>
                </c:pt>
                <c:pt idx="603">
                  <c:v>-9.2142115440657646E-3</c:v>
                </c:pt>
                <c:pt idx="604">
                  <c:v>-1.3931088740813391E-2</c:v>
                </c:pt>
                <c:pt idx="605">
                  <c:v>-1.4221036004035681E-2</c:v>
                </c:pt>
                <c:pt idx="606">
                  <c:v>-1.6150351695979892E-2</c:v>
                </c:pt>
                <c:pt idx="607">
                  <c:v>-2.0197182099787048E-3</c:v>
                </c:pt>
                <c:pt idx="608">
                  <c:v>-3.6048753301212155E-3</c:v>
                </c:pt>
                <c:pt idx="609">
                  <c:v>0</c:v>
                </c:pt>
                <c:pt idx="610">
                  <c:v>0</c:v>
                </c:pt>
                <c:pt idx="611">
                  <c:v>-4.9599209078396989E-3</c:v>
                </c:pt>
                <c:pt idx="612">
                  <c:v>-8.2624078901436526E-3</c:v>
                </c:pt>
                <c:pt idx="613">
                  <c:v>-7.3324369707201686E-3</c:v>
                </c:pt>
                <c:pt idx="614">
                  <c:v>-7.1006306323537771E-3</c:v>
                </c:pt>
                <c:pt idx="615">
                  <c:v>-7.5815102432418291E-3</c:v>
                </c:pt>
                <c:pt idx="616">
                  <c:v>-1.2290561253892607E-3</c:v>
                </c:pt>
                <c:pt idx="617">
                  <c:v>-7.7177702816724203E-3</c:v>
                </c:pt>
                <c:pt idx="618">
                  <c:v>-6.1227633582540131E-3</c:v>
                </c:pt>
                <c:pt idx="619">
                  <c:v>-1.5635138224326939E-2</c:v>
                </c:pt>
                <c:pt idx="620">
                  <c:v>-1.8576250477061684E-2</c:v>
                </c:pt>
                <c:pt idx="621">
                  <c:v>-1.8402596351017153E-2</c:v>
                </c:pt>
                <c:pt idx="622">
                  <c:v>-1.2898037235629767E-2</c:v>
                </c:pt>
                <c:pt idx="623">
                  <c:v>-8.4979725670014661E-3</c:v>
                </c:pt>
                <c:pt idx="624">
                  <c:v>0</c:v>
                </c:pt>
                <c:pt idx="625">
                  <c:v>0</c:v>
                </c:pt>
                <c:pt idx="626">
                  <c:v>-9.0546236928338297E-3</c:v>
                </c:pt>
                <c:pt idx="627">
                  <c:v>-1.3409686341159244E-2</c:v>
                </c:pt>
                <c:pt idx="628">
                  <c:v>0</c:v>
                </c:pt>
                <c:pt idx="629">
                  <c:v>-1.4350412616317421E-3</c:v>
                </c:pt>
                <c:pt idx="630">
                  <c:v>-5.0195894588909162E-3</c:v>
                </c:pt>
                <c:pt idx="631">
                  <c:v>-9.3361683123146522E-3</c:v>
                </c:pt>
                <c:pt idx="632">
                  <c:v>-1.2449615010313053E-2</c:v>
                </c:pt>
                <c:pt idx="633">
                  <c:v>-1.3166717312285914E-2</c:v>
                </c:pt>
                <c:pt idx="634">
                  <c:v>-1.3207172985507665E-4</c:v>
                </c:pt>
                <c:pt idx="635">
                  <c:v>0</c:v>
                </c:pt>
                <c:pt idx="636">
                  <c:v>0</c:v>
                </c:pt>
                <c:pt idx="637">
                  <c:v>-4.218129768038037E-3</c:v>
                </c:pt>
                <c:pt idx="638">
                  <c:v>0</c:v>
                </c:pt>
                <c:pt idx="639">
                  <c:v>-2.3944849219059705E-3</c:v>
                </c:pt>
                <c:pt idx="640">
                  <c:v>-3.1288726441915937E-3</c:v>
                </c:pt>
                <c:pt idx="641">
                  <c:v>-5.2365578349437003E-3</c:v>
                </c:pt>
                <c:pt idx="642">
                  <c:v>-6.9796110223363517E-3</c:v>
                </c:pt>
                <c:pt idx="643">
                  <c:v>-1.6403651642371564E-3</c:v>
                </c:pt>
                <c:pt idx="644">
                  <c:v>0</c:v>
                </c:pt>
                <c:pt idx="645">
                  <c:v>-4.3286518473560909E-3</c:v>
                </c:pt>
                <c:pt idx="646">
                  <c:v>-2.2024965828850718E-3</c:v>
                </c:pt>
                <c:pt idx="647">
                  <c:v>-4.3229272794166329E-3</c:v>
                </c:pt>
                <c:pt idx="648">
                  <c:v>-1.4312417933714738E-2</c:v>
                </c:pt>
                <c:pt idx="649">
                  <c:v>-1.409106643917013E-2</c:v>
                </c:pt>
                <c:pt idx="650">
                  <c:v>-8.0710910626531351E-3</c:v>
                </c:pt>
                <c:pt idx="651">
                  <c:v>-9.4688128304586394E-3</c:v>
                </c:pt>
                <c:pt idx="652">
                  <c:v>-1.3160205148858517E-2</c:v>
                </c:pt>
                <c:pt idx="653">
                  <c:v>-5.0511179091060621E-3</c:v>
                </c:pt>
                <c:pt idx="654">
                  <c:v>0</c:v>
                </c:pt>
                <c:pt idx="655">
                  <c:v>0</c:v>
                </c:pt>
                <c:pt idx="656">
                  <c:v>-4.521625675918961E-3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-3.3898417614683929E-3</c:v>
                </c:pt>
                <c:pt idx="661">
                  <c:v>-8.3598574640286749E-3</c:v>
                </c:pt>
                <c:pt idx="662">
                  <c:v>-7.3730150956817786E-3</c:v>
                </c:pt>
                <c:pt idx="663">
                  <c:v>-5.9722137425980426E-3</c:v>
                </c:pt>
                <c:pt idx="664">
                  <c:v>-1.3830142888536789E-3</c:v>
                </c:pt>
                <c:pt idx="665">
                  <c:v>0</c:v>
                </c:pt>
                <c:pt idx="666">
                  <c:v>0</c:v>
                </c:pt>
                <c:pt idx="667">
                  <c:v>-3.3996508642678558E-3</c:v>
                </c:pt>
                <c:pt idx="668">
                  <c:v>-9.3205703282067676E-3</c:v>
                </c:pt>
                <c:pt idx="669">
                  <c:v>-5.3136760051947229E-3</c:v>
                </c:pt>
                <c:pt idx="670">
                  <c:v>-2.7261763704168329E-3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-4.2875910630474356E-3</c:v>
                </c:pt>
                <c:pt idx="677">
                  <c:v>-1.02703893251892E-2</c:v>
                </c:pt>
                <c:pt idx="678">
                  <c:v>-3.0781641591970388E-3</c:v>
                </c:pt>
                <c:pt idx="679">
                  <c:v>0</c:v>
                </c:pt>
                <c:pt idx="680">
                  <c:v>-1.1929774296291051E-2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-1.1547187654750046E-2</c:v>
                </c:pt>
                <c:pt idx="690">
                  <c:v>-1.9661289833533546E-2</c:v>
                </c:pt>
                <c:pt idx="691">
                  <c:v>-3.105206821130635E-2</c:v>
                </c:pt>
                <c:pt idx="692">
                  <c:v>-3.9614117877166843E-2</c:v>
                </c:pt>
                <c:pt idx="693">
                  <c:v>-3.3308337262637266E-2</c:v>
                </c:pt>
                <c:pt idx="694">
                  <c:v>-3.095955370028769E-2</c:v>
                </c:pt>
                <c:pt idx="695">
                  <c:v>-4.1435713828934628E-2</c:v>
                </c:pt>
                <c:pt idx="696">
                  <c:v>-5.2188395299028745E-2</c:v>
                </c:pt>
                <c:pt idx="697">
                  <c:v>-3.7005831917277576E-2</c:v>
                </c:pt>
                <c:pt idx="698">
                  <c:v>-3.1963481212996969E-2</c:v>
                </c:pt>
                <c:pt idx="699">
                  <c:v>-3.3208351029602401E-2</c:v>
                </c:pt>
                <c:pt idx="700">
                  <c:v>-2.6028414761090191E-2</c:v>
                </c:pt>
                <c:pt idx="701">
                  <c:v>-2.2299156174532153E-2</c:v>
                </c:pt>
                <c:pt idx="702">
                  <c:v>-2.3139676096682882E-2</c:v>
                </c:pt>
                <c:pt idx="703">
                  <c:v>-2.1631208962964221E-2</c:v>
                </c:pt>
                <c:pt idx="704">
                  <c:v>-2.8514237484693283E-2</c:v>
                </c:pt>
                <c:pt idx="705">
                  <c:v>-1.6637155092671496E-2</c:v>
                </c:pt>
                <c:pt idx="706">
                  <c:v>-1.4252946479150541E-2</c:v>
                </c:pt>
                <c:pt idx="707">
                  <c:v>-5.6547698488538245E-3</c:v>
                </c:pt>
                <c:pt idx="708">
                  <c:v>-5.0166010916600223E-3</c:v>
                </c:pt>
                <c:pt idx="709">
                  <c:v>-1.5769897456263227E-2</c:v>
                </c:pt>
                <c:pt idx="710">
                  <c:v>-3.9133452257254842E-2</c:v>
                </c:pt>
                <c:pt idx="711">
                  <c:v>-3.3948638939382936E-2</c:v>
                </c:pt>
                <c:pt idx="712">
                  <c:v>-4.738316024135647E-2</c:v>
                </c:pt>
                <c:pt idx="713">
                  <c:v>-4.002042588001653E-2</c:v>
                </c:pt>
                <c:pt idx="714">
                  <c:v>-6.972945140495479E-2</c:v>
                </c:pt>
                <c:pt idx="715">
                  <c:v>-7.1751411694792266E-2</c:v>
                </c:pt>
                <c:pt idx="716">
                  <c:v>-7.4434159012406687E-2</c:v>
                </c:pt>
                <c:pt idx="717">
                  <c:v>-6.3524578383165275E-2</c:v>
                </c:pt>
                <c:pt idx="718">
                  <c:v>-5.1900979272966219E-2</c:v>
                </c:pt>
                <c:pt idx="719">
                  <c:v>-6.2431036593472378E-2</c:v>
                </c:pt>
                <c:pt idx="720">
                  <c:v>-7.952255834892008E-2</c:v>
                </c:pt>
                <c:pt idx="721">
                  <c:v>-6.8290260045981932E-2</c:v>
                </c:pt>
                <c:pt idx="722">
                  <c:v>-4.9175466343348906E-2</c:v>
                </c:pt>
                <c:pt idx="723">
                  <c:v>-3.9194990705473276E-2</c:v>
                </c:pt>
                <c:pt idx="724">
                  <c:v>-3.8648190816279793E-2</c:v>
                </c:pt>
                <c:pt idx="725">
                  <c:v>-4.2133944793566913E-2</c:v>
                </c:pt>
                <c:pt idx="726">
                  <c:v>-4.6795779261526005E-2</c:v>
                </c:pt>
                <c:pt idx="727">
                  <c:v>-4.392524190288849E-2</c:v>
                </c:pt>
                <c:pt idx="728">
                  <c:v>-4.6291050621497298E-2</c:v>
                </c:pt>
                <c:pt idx="729">
                  <c:v>-5.5909980406479987E-2</c:v>
                </c:pt>
                <c:pt idx="730">
                  <c:v>-7.1003666697501799E-2</c:v>
                </c:pt>
                <c:pt idx="731">
                  <c:v>-6.0436237178616903E-2</c:v>
                </c:pt>
                <c:pt idx="732">
                  <c:v>-4.5965473376400112E-2</c:v>
                </c:pt>
                <c:pt idx="733">
                  <c:v>-4.295414555085264E-2</c:v>
                </c:pt>
                <c:pt idx="734">
                  <c:v>-4.7079397781526588E-2</c:v>
                </c:pt>
                <c:pt idx="735">
                  <c:v>-4.451347112516213E-2</c:v>
                </c:pt>
                <c:pt idx="736">
                  <c:v>-3.3104276147364442E-2</c:v>
                </c:pt>
                <c:pt idx="737">
                  <c:v>-2.9697905994245488E-2</c:v>
                </c:pt>
                <c:pt idx="738">
                  <c:v>-3.4033868246914123E-2</c:v>
                </c:pt>
                <c:pt idx="739">
                  <c:v>-2.5321864313165965E-2</c:v>
                </c:pt>
                <c:pt idx="740">
                  <c:v>-1.3020265224405136E-2</c:v>
                </c:pt>
                <c:pt idx="741">
                  <c:v>-5.5518428612513215E-3</c:v>
                </c:pt>
                <c:pt idx="742">
                  <c:v>-1.7105430770425478E-3</c:v>
                </c:pt>
                <c:pt idx="743">
                  <c:v>-9.5407958788760183E-3</c:v>
                </c:pt>
                <c:pt idx="744">
                  <c:v>-8.7472085964761526E-3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-1.7897821743805498E-2</c:v>
                </c:pt>
                <c:pt idx="752">
                  <c:v>-2.1527234551931396E-2</c:v>
                </c:pt>
                <c:pt idx="753">
                  <c:v>-3.3038950010369161E-2</c:v>
                </c:pt>
                <c:pt idx="754">
                  <c:v>-3.7531013602089658E-2</c:v>
                </c:pt>
                <c:pt idx="755">
                  <c:v>-5.9661589981124807E-2</c:v>
                </c:pt>
                <c:pt idx="756">
                  <c:v>-4.336122911403073E-2</c:v>
                </c:pt>
                <c:pt idx="757">
                  <c:v>-4.640762492892081E-2</c:v>
                </c:pt>
                <c:pt idx="758">
                  <c:v>-4.8932809889901785E-2</c:v>
                </c:pt>
                <c:pt idx="759">
                  <c:v>-3.7442967522726689E-2</c:v>
                </c:pt>
                <c:pt idx="760">
                  <c:v>-1.4190582278735819E-2</c:v>
                </c:pt>
                <c:pt idx="761">
                  <c:v>-1.0628854853970582E-2</c:v>
                </c:pt>
                <c:pt idx="762">
                  <c:v>-1.9429931656649524E-2</c:v>
                </c:pt>
                <c:pt idx="763">
                  <c:v>-1.8082626865834728E-2</c:v>
                </c:pt>
                <c:pt idx="764">
                  <c:v>-3.3325171301825773E-2</c:v>
                </c:pt>
                <c:pt idx="765">
                  <c:v>-2.9691103797220175E-2</c:v>
                </c:pt>
                <c:pt idx="766">
                  <c:v>-1.6610457836221726E-2</c:v>
                </c:pt>
                <c:pt idx="767">
                  <c:v>-1.3385641558490868E-2</c:v>
                </c:pt>
                <c:pt idx="768">
                  <c:v>-2.4762207841348194E-2</c:v>
                </c:pt>
                <c:pt idx="769">
                  <c:v>-5.0600583433040747E-2</c:v>
                </c:pt>
                <c:pt idx="770">
                  <c:v>-2.2895830696843977E-2</c:v>
                </c:pt>
                <c:pt idx="771">
                  <c:v>-2.7475344960918302E-2</c:v>
                </c:pt>
                <c:pt idx="772">
                  <c:v>-2.8349137421174397E-2</c:v>
                </c:pt>
                <c:pt idx="773">
                  <c:v>-2.8038893612835403E-2</c:v>
                </c:pt>
                <c:pt idx="774">
                  <c:v>-3.5003803470021189E-2</c:v>
                </c:pt>
                <c:pt idx="775">
                  <c:v>-4.1555061541002414E-2</c:v>
                </c:pt>
                <c:pt idx="776">
                  <c:v>-4.4279765377853497E-2</c:v>
                </c:pt>
                <c:pt idx="777">
                  <c:v>-8.450240466713721E-2</c:v>
                </c:pt>
                <c:pt idx="778">
                  <c:v>-6.8279104028914128E-2</c:v>
                </c:pt>
                <c:pt idx="779">
                  <c:v>-5.8050411830450677E-2</c:v>
                </c:pt>
                <c:pt idx="780">
                  <c:v>-7.7778242972941558E-2</c:v>
                </c:pt>
                <c:pt idx="781">
                  <c:v>-8.4971622500308208E-2</c:v>
                </c:pt>
                <c:pt idx="782">
                  <c:v>-9.6850477233223931E-2</c:v>
                </c:pt>
                <c:pt idx="783">
                  <c:v>-0.12425361663971379</c:v>
                </c:pt>
                <c:pt idx="784">
                  <c:v>-0.11082947700651213</c:v>
                </c:pt>
                <c:pt idx="785">
                  <c:v>-8.859562117225761E-2</c:v>
                </c:pt>
                <c:pt idx="786">
                  <c:v>-7.5633855344474532E-2</c:v>
                </c:pt>
                <c:pt idx="787">
                  <c:v>-7.1768075874518722E-2</c:v>
                </c:pt>
                <c:pt idx="788">
                  <c:v>-5.786384553653523E-2</c:v>
                </c:pt>
                <c:pt idx="789">
                  <c:v>-6.30362790336223E-2</c:v>
                </c:pt>
                <c:pt idx="790">
                  <c:v>-5.2121530009649697E-2</c:v>
                </c:pt>
                <c:pt idx="791">
                  <c:v>-3.4910482067074255E-2</c:v>
                </c:pt>
                <c:pt idx="792">
                  <c:v>-3.9269519634833494E-2</c:v>
                </c:pt>
                <c:pt idx="793">
                  <c:v>-2.7341687264762826E-2</c:v>
                </c:pt>
                <c:pt idx="794">
                  <c:v>-3.3158300386511907E-2</c:v>
                </c:pt>
                <c:pt idx="795">
                  <c:v>-3.102321744106884E-2</c:v>
                </c:pt>
                <c:pt idx="796">
                  <c:v>-3.9441024465057595E-2</c:v>
                </c:pt>
                <c:pt idx="797">
                  <c:v>-3.5953927229965488E-2</c:v>
                </c:pt>
                <c:pt idx="798">
                  <c:v>-3.3519988663329392E-2</c:v>
                </c:pt>
                <c:pt idx="799">
                  <c:v>-2.3082015978245107E-2</c:v>
                </c:pt>
                <c:pt idx="800">
                  <c:v>-2.6902144137080031E-2</c:v>
                </c:pt>
                <c:pt idx="801">
                  <c:v>-1.8072867851941621E-2</c:v>
                </c:pt>
                <c:pt idx="802">
                  <c:v>-1.7357092805578844E-3</c:v>
                </c:pt>
                <c:pt idx="803">
                  <c:v>-3.1279144743905363E-3</c:v>
                </c:pt>
                <c:pt idx="804">
                  <c:v>-7.7040042230890338E-3</c:v>
                </c:pt>
                <c:pt idx="805">
                  <c:v>-1.9887967901198733E-2</c:v>
                </c:pt>
                <c:pt idx="806">
                  <c:v>-1.6750414298713601E-2</c:v>
                </c:pt>
                <c:pt idx="807">
                  <c:v>-2.4842738080823823E-2</c:v>
                </c:pt>
                <c:pt idx="808">
                  <c:v>-3.2351263681826503E-2</c:v>
                </c:pt>
                <c:pt idx="809">
                  <c:v>-3.2910038147492382E-2</c:v>
                </c:pt>
                <c:pt idx="810">
                  <c:v>-4.6852554187317041E-2</c:v>
                </c:pt>
                <c:pt idx="811">
                  <c:v>-5.9504079134998111E-2</c:v>
                </c:pt>
                <c:pt idx="812">
                  <c:v>-4.8235011046915854E-2</c:v>
                </c:pt>
                <c:pt idx="813">
                  <c:v>-2.9957124239081478E-2</c:v>
                </c:pt>
                <c:pt idx="814">
                  <c:v>-3.8459742137591291E-2</c:v>
                </c:pt>
                <c:pt idx="815">
                  <c:v>-5.3151509935944086E-2</c:v>
                </c:pt>
                <c:pt idx="816">
                  <c:v>-3.9567108577024057E-2</c:v>
                </c:pt>
                <c:pt idx="817">
                  <c:v>-4.8200047915775035E-2</c:v>
                </c:pt>
                <c:pt idx="818">
                  <c:v>-3.3796036179972955E-2</c:v>
                </c:pt>
                <c:pt idx="819">
                  <c:v>-4.2144218047467374E-2</c:v>
                </c:pt>
                <c:pt idx="820">
                  <c:v>-4.6436286568772633E-2</c:v>
                </c:pt>
                <c:pt idx="821">
                  <c:v>-6.9773866724251565E-2</c:v>
                </c:pt>
                <c:pt idx="822">
                  <c:v>-7.1116091765368039E-2</c:v>
                </c:pt>
                <c:pt idx="823">
                  <c:v>-8.044495443054156E-2</c:v>
                </c:pt>
                <c:pt idx="824">
                  <c:v>-8.2664880382418149E-2</c:v>
                </c:pt>
                <c:pt idx="825">
                  <c:v>-8.6362014100547002E-2</c:v>
                </c:pt>
                <c:pt idx="826">
                  <c:v>-9.8419117304694659E-2</c:v>
                </c:pt>
                <c:pt idx="827">
                  <c:v>-0.11325218001574899</c:v>
                </c:pt>
                <c:pt idx="828">
                  <c:v>-0.10850378352157852</c:v>
                </c:pt>
                <c:pt idx="829">
                  <c:v>-0.10572207692320212</c:v>
                </c:pt>
                <c:pt idx="830">
                  <c:v>-7.9366979198537857E-2</c:v>
                </c:pt>
                <c:pt idx="831">
                  <c:v>-8.049767932662355E-2</c:v>
                </c:pt>
                <c:pt idx="832">
                  <c:v>-9.9549330017352555E-2</c:v>
                </c:pt>
                <c:pt idx="833">
                  <c:v>-7.147350398708241E-2</c:v>
                </c:pt>
                <c:pt idx="834">
                  <c:v>-6.1005250492252583E-2</c:v>
                </c:pt>
                <c:pt idx="835">
                  <c:v>-6.9223333864448455E-2</c:v>
                </c:pt>
                <c:pt idx="836">
                  <c:v>-7.8452336389029487E-2</c:v>
                </c:pt>
                <c:pt idx="837">
                  <c:v>-7.769880819100039E-2</c:v>
                </c:pt>
                <c:pt idx="838">
                  <c:v>-6.5399532608579003E-2</c:v>
                </c:pt>
                <c:pt idx="839">
                  <c:v>-4.8255519847619222E-2</c:v>
                </c:pt>
                <c:pt idx="840">
                  <c:v>-5.6824647489858715E-2</c:v>
                </c:pt>
                <c:pt idx="841">
                  <c:v>-6.25737297115736E-2</c:v>
                </c:pt>
                <c:pt idx="842">
                  <c:v>-5.3343555172493562E-2</c:v>
                </c:pt>
                <c:pt idx="843">
                  <c:v>-5.2728233938314273E-2</c:v>
                </c:pt>
                <c:pt idx="844">
                  <c:v>-5.4597221016841835E-2</c:v>
                </c:pt>
                <c:pt idx="845">
                  <c:v>-6.3632759418287832E-2</c:v>
                </c:pt>
                <c:pt idx="846">
                  <c:v>-6.53331214341768E-2</c:v>
                </c:pt>
                <c:pt idx="847">
                  <c:v>-5.5326875635848261E-2</c:v>
                </c:pt>
                <c:pt idx="848">
                  <c:v>-6.7390531728449221E-2</c:v>
                </c:pt>
                <c:pt idx="849">
                  <c:v>-8.830662509238707E-2</c:v>
                </c:pt>
                <c:pt idx="850">
                  <c:v>-9.0971443356038129E-2</c:v>
                </c:pt>
                <c:pt idx="851">
                  <c:v>-9.1969986705509932E-2</c:v>
                </c:pt>
                <c:pt idx="852">
                  <c:v>-0.1041712137369093</c:v>
                </c:pt>
                <c:pt idx="853">
                  <c:v>-0.11459110844733622</c:v>
                </c:pt>
                <c:pt idx="854">
                  <c:v>-0.11344411897231632</c:v>
                </c:pt>
                <c:pt idx="855">
                  <c:v>-9.6795130545903829E-2</c:v>
                </c:pt>
                <c:pt idx="856">
                  <c:v>-0.10615556858046071</c:v>
                </c:pt>
                <c:pt idx="857">
                  <c:v>-8.9459040484343499E-2</c:v>
                </c:pt>
                <c:pt idx="858">
                  <c:v>-8.5754817757284885E-2</c:v>
                </c:pt>
                <c:pt idx="859">
                  <c:v>-7.3868426555638522E-2</c:v>
                </c:pt>
                <c:pt idx="860">
                  <c:v>-7.0251826360699932E-2</c:v>
                </c:pt>
                <c:pt idx="861">
                  <c:v>-6.7156734141670116E-2</c:v>
                </c:pt>
                <c:pt idx="862">
                  <c:v>-6.7990116331748229E-2</c:v>
                </c:pt>
                <c:pt idx="863">
                  <c:v>-7.1048681397200331E-2</c:v>
                </c:pt>
                <c:pt idx="864">
                  <c:v>-6.8140937242502586E-2</c:v>
                </c:pt>
                <c:pt idx="865">
                  <c:v>-7.2680596646345075E-2</c:v>
                </c:pt>
                <c:pt idx="866">
                  <c:v>-6.478571762082852E-2</c:v>
                </c:pt>
                <c:pt idx="867">
                  <c:v>-5.4954790555773791E-2</c:v>
                </c:pt>
                <c:pt idx="868">
                  <c:v>-4.6726581465710626E-2</c:v>
                </c:pt>
                <c:pt idx="869">
                  <c:v>-5.2280102187220234E-2</c:v>
                </c:pt>
                <c:pt idx="870">
                  <c:v>-6.0337811374626127E-2</c:v>
                </c:pt>
                <c:pt idx="871">
                  <c:v>-6.3564914880205214E-2</c:v>
                </c:pt>
                <c:pt idx="872">
                  <c:v>-5.9637142664501264E-2</c:v>
                </c:pt>
                <c:pt idx="873">
                  <c:v>-4.9535392465301586E-2</c:v>
                </c:pt>
                <c:pt idx="874">
                  <c:v>-3.9575470871373364E-2</c:v>
                </c:pt>
                <c:pt idx="875">
                  <c:v>-3.9767209727389008E-2</c:v>
                </c:pt>
                <c:pt idx="876">
                  <c:v>-2.9862049125141898E-2</c:v>
                </c:pt>
                <c:pt idx="877">
                  <c:v>-2.2604050320848668E-2</c:v>
                </c:pt>
                <c:pt idx="878">
                  <c:v>-1.9566094643085119E-2</c:v>
                </c:pt>
                <c:pt idx="879">
                  <c:v>-2.7538322671178062E-2</c:v>
                </c:pt>
                <c:pt idx="880">
                  <c:v>-3.7083459301134214E-2</c:v>
                </c:pt>
                <c:pt idx="881">
                  <c:v>-2.0868425912573318E-2</c:v>
                </c:pt>
                <c:pt idx="882">
                  <c:v>-1.189696853275235E-2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-3.6996510908933189E-3</c:v>
                </c:pt>
                <c:pt idx="887">
                  <c:v>-1.7438744404019157E-4</c:v>
                </c:pt>
                <c:pt idx="888">
                  <c:v>-3.112839433312975E-3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-5.1907301991264143E-3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-4.6745356914735803E-3</c:v>
                </c:pt>
                <c:pt idx="897">
                  <c:v>-1.9852144715949427E-2</c:v>
                </c:pt>
                <c:pt idx="898">
                  <c:v>-1.8319919887504366E-2</c:v>
                </c:pt>
                <c:pt idx="899">
                  <c:v>-1.9716327976164738E-2</c:v>
                </c:pt>
                <c:pt idx="900">
                  <c:v>-2.4457763530094212E-2</c:v>
                </c:pt>
                <c:pt idx="901">
                  <c:v>-2.1714244452983644E-2</c:v>
                </c:pt>
                <c:pt idx="902">
                  <c:v>-2.952554743971092E-2</c:v>
                </c:pt>
                <c:pt idx="903">
                  <c:v>-7.816607612599058E-3</c:v>
                </c:pt>
                <c:pt idx="904">
                  <c:v>-2.2495480819343605E-2</c:v>
                </c:pt>
                <c:pt idx="905">
                  <c:v>-2.2354905365020383E-2</c:v>
                </c:pt>
                <c:pt idx="906">
                  <c:v>-1.1992404420298253E-2</c:v>
                </c:pt>
                <c:pt idx="907">
                  <c:v>-1.32913699437327E-2</c:v>
                </c:pt>
                <c:pt idx="908">
                  <c:v>-1.5511960012440595E-2</c:v>
                </c:pt>
                <c:pt idx="909">
                  <c:v>-1.0197928281138857E-2</c:v>
                </c:pt>
                <c:pt idx="910">
                  <c:v>-7.1845836345449943E-3</c:v>
                </c:pt>
                <c:pt idx="911">
                  <c:v>-3.4301659704236709E-3</c:v>
                </c:pt>
                <c:pt idx="912">
                  <c:v>0</c:v>
                </c:pt>
                <c:pt idx="913">
                  <c:v>-1.1201724646802913E-2</c:v>
                </c:pt>
                <c:pt idx="914">
                  <c:v>-1.2047046381774229E-2</c:v>
                </c:pt>
                <c:pt idx="915">
                  <c:v>-2.8345378811785671E-2</c:v>
                </c:pt>
                <c:pt idx="916">
                  <c:v>-2.3198392370529231E-2</c:v>
                </c:pt>
                <c:pt idx="917">
                  <c:v>-1.311233890626029E-2</c:v>
                </c:pt>
                <c:pt idx="918">
                  <c:v>-1.9362796487411571E-2</c:v>
                </c:pt>
                <c:pt idx="919">
                  <c:v>-1.8632928062541021E-2</c:v>
                </c:pt>
                <c:pt idx="920">
                  <c:v>-2.5749626957871752E-2</c:v>
                </c:pt>
                <c:pt idx="921">
                  <c:v>-4.6000887932743706E-2</c:v>
                </c:pt>
                <c:pt idx="922">
                  <c:v>-4.6593747358591453E-2</c:v>
                </c:pt>
                <c:pt idx="923">
                  <c:v>-5.109320154787278E-2</c:v>
                </c:pt>
                <c:pt idx="924">
                  <c:v>-5.2858717183929316E-2</c:v>
                </c:pt>
                <c:pt idx="925">
                  <c:v>-3.6902854891904591E-2</c:v>
                </c:pt>
                <c:pt idx="926">
                  <c:v>-5.0830621648503049E-2</c:v>
                </c:pt>
                <c:pt idx="927">
                  <c:v>-3.1051760069708001E-2</c:v>
                </c:pt>
                <c:pt idx="928">
                  <c:v>-2.2747722856949926E-2</c:v>
                </c:pt>
                <c:pt idx="929">
                  <c:v>-2.1381831244250304E-2</c:v>
                </c:pt>
                <c:pt idx="930">
                  <c:v>-2.401115370857454E-2</c:v>
                </c:pt>
                <c:pt idx="931">
                  <c:v>-3.8258795891353059E-2</c:v>
                </c:pt>
                <c:pt idx="932">
                  <c:v>-2.9849033551900939E-2</c:v>
                </c:pt>
                <c:pt idx="933">
                  <c:v>-3.3422810797129388E-2</c:v>
                </c:pt>
                <c:pt idx="934">
                  <c:v>-2.3750164190290746E-2</c:v>
                </c:pt>
                <c:pt idx="935">
                  <c:v>-1.983753898176932E-2</c:v>
                </c:pt>
                <c:pt idx="936">
                  <c:v>-8.9557406027930275E-3</c:v>
                </c:pt>
                <c:pt idx="937">
                  <c:v>-9.6734953405480661E-3</c:v>
                </c:pt>
                <c:pt idx="938">
                  <c:v>-6.9847387928045901E-3</c:v>
                </c:pt>
                <c:pt idx="939">
                  <c:v>-1.3826110325581342E-2</c:v>
                </c:pt>
                <c:pt idx="940">
                  <c:v>-3.9240971290086524E-3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-2.9522631399638843E-3</c:v>
                </c:pt>
                <c:pt idx="947">
                  <c:v>-6.5509612869897316E-3</c:v>
                </c:pt>
                <c:pt idx="948">
                  <c:v>-6.0494235520889283E-3</c:v>
                </c:pt>
                <c:pt idx="949">
                  <c:v>-3.9886370556201367E-3</c:v>
                </c:pt>
                <c:pt idx="950">
                  <c:v>-7.9023831739322148E-3</c:v>
                </c:pt>
                <c:pt idx="951">
                  <c:v>-1.6712855969621021E-2</c:v>
                </c:pt>
                <c:pt idx="952">
                  <c:v>0</c:v>
                </c:pt>
                <c:pt idx="953">
                  <c:v>-4.6839341967186421E-4</c:v>
                </c:pt>
                <c:pt idx="954">
                  <c:v>-1.17540574790298E-3</c:v>
                </c:pt>
                <c:pt idx="955">
                  <c:v>0</c:v>
                </c:pt>
                <c:pt idx="956">
                  <c:v>-2.8140480377507604E-3</c:v>
                </c:pt>
                <c:pt idx="957">
                  <c:v>-7.5817844148610147E-3</c:v>
                </c:pt>
                <c:pt idx="958">
                  <c:v>-1.6277178075319698E-2</c:v>
                </c:pt>
                <c:pt idx="959">
                  <c:v>-1.0243484309741091E-2</c:v>
                </c:pt>
                <c:pt idx="960">
                  <c:v>-8.8569298011890174E-3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-8.8938810183177841E-3</c:v>
                </c:pt>
                <c:pt idx="968">
                  <c:v>-1.1399305997819242E-2</c:v>
                </c:pt>
                <c:pt idx="969">
                  <c:v>-1.5115874949704899E-2</c:v>
                </c:pt>
                <c:pt idx="970">
                  <c:v>-1.7540366013259368E-2</c:v>
                </c:pt>
                <c:pt idx="971">
                  <c:v>-1.8484776469915976E-2</c:v>
                </c:pt>
                <c:pt idx="972">
                  <c:v>-2.415267725947523E-2</c:v>
                </c:pt>
                <c:pt idx="973">
                  <c:v>-2.3218876678089639E-2</c:v>
                </c:pt>
                <c:pt idx="974">
                  <c:v>-1.831278075780074E-2</c:v>
                </c:pt>
                <c:pt idx="975">
                  <c:v>-1.3645606369138141E-2</c:v>
                </c:pt>
                <c:pt idx="976">
                  <c:v>-2.451447172006016E-2</c:v>
                </c:pt>
                <c:pt idx="977">
                  <c:v>-3.1997872952050699E-2</c:v>
                </c:pt>
                <c:pt idx="978">
                  <c:v>-2.8083781060393331E-2</c:v>
                </c:pt>
                <c:pt idx="979">
                  <c:v>-2.9988308061727809E-2</c:v>
                </c:pt>
                <c:pt idx="980">
                  <c:v>-3.5656637092381205E-2</c:v>
                </c:pt>
                <c:pt idx="981">
                  <c:v>-3.9270129879354299E-2</c:v>
                </c:pt>
                <c:pt idx="982">
                  <c:v>-5.6887120655187196E-2</c:v>
                </c:pt>
                <c:pt idx="983">
                  <c:v>-4.6692389116457456E-2</c:v>
                </c:pt>
                <c:pt idx="984">
                  <c:v>-4.1060954669838945E-2</c:v>
                </c:pt>
                <c:pt idx="985">
                  <c:v>-3.9560923196607312E-2</c:v>
                </c:pt>
                <c:pt idx="986">
                  <c:v>-3.7957979813002973E-2</c:v>
                </c:pt>
                <c:pt idx="987">
                  <c:v>-4.3111065158746076E-2</c:v>
                </c:pt>
                <c:pt idx="988">
                  <c:v>-4.0540846698741584E-2</c:v>
                </c:pt>
                <c:pt idx="989">
                  <c:v>-3.8923187263672721E-2</c:v>
                </c:pt>
                <c:pt idx="990">
                  <c:v>-4.59320582377305E-2</c:v>
                </c:pt>
                <c:pt idx="991">
                  <c:v>-4.207841634782572E-2</c:v>
                </c:pt>
                <c:pt idx="992">
                  <c:v>-4.7675933140205573E-2</c:v>
                </c:pt>
                <c:pt idx="993">
                  <c:v>-3.4951028595913591E-2</c:v>
                </c:pt>
                <c:pt idx="994">
                  <c:v>-4.4795171290645586E-2</c:v>
                </c:pt>
                <c:pt idx="995">
                  <c:v>-4.0755521722128596E-2</c:v>
                </c:pt>
                <c:pt idx="996">
                  <c:v>-3.7173297517513637E-2</c:v>
                </c:pt>
                <c:pt idx="997">
                  <c:v>-3.4144327458527357E-2</c:v>
                </c:pt>
                <c:pt idx="998">
                  <c:v>-3.6087801784714046E-2</c:v>
                </c:pt>
                <c:pt idx="999">
                  <c:v>-2.2322597305950764E-2</c:v>
                </c:pt>
                <c:pt idx="1000">
                  <c:v>-1.4010992613243789E-2</c:v>
                </c:pt>
                <c:pt idx="1001">
                  <c:v>-1.4440459308788012E-2</c:v>
                </c:pt>
                <c:pt idx="1002">
                  <c:v>-2.0381243359030132E-2</c:v>
                </c:pt>
                <c:pt idx="1003">
                  <c:v>-1.6367976439501497E-2</c:v>
                </c:pt>
                <c:pt idx="1004">
                  <c:v>-1.2155520817630938E-2</c:v>
                </c:pt>
                <c:pt idx="1005">
                  <c:v>-1.7598790219833127E-2</c:v>
                </c:pt>
                <c:pt idx="1006">
                  <c:v>-2.3406963615421494E-2</c:v>
                </c:pt>
                <c:pt idx="1007">
                  <c:v>-2.2217749702701406E-2</c:v>
                </c:pt>
                <c:pt idx="1008">
                  <c:v>-2.3037658084784196E-2</c:v>
                </c:pt>
                <c:pt idx="1009">
                  <c:v>-2.1960028395965003E-2</c:v>
                </c:pt>
                <c:pt idx="1010">
                  <c:v>-1.5703301182748097E-2</c:v>
                </c:pt>
                <c:pt idx="1011">
                  <c:v>-4.7053690668218406E-3</c:v>
                </c:pt>
                <c:pt idx="1012">
                  <c:v>-9.881400977236221E-3</c:v>
                </c:pt>
                <c:pt idx="1013">
                  <c:v>-1.7133446656105722E-2</c:v>
                </c:pt>
                <c:pt idx="1014">
                  <c:v>-1.0869215745573535E-2</c:v>
                </c:pt>
                <c:pt idx="1015">
                  <c:v>-9.3098316872525233E-3</c:v>
                </c:pt>
                <c:pt idx="1016">
                  <c:v>-9.5315384656927682E-3</c:v>
                </c:pt>
                <c:pt idx="1017">
                  <c:v>-8.2603433891798028E-3</c:v>
                </c:pt>
                <c:pt idx="1018">
                  <c:v>-3.1113749879287944E-3</c:v>
                </c:pt>
                <c:pt idx="1019">
                  <c:v>-8.5491853209573865E-4</c:v>
                </c:pt>
                <c:pt idx="1020">
                  <c:v>-5.9220449882801951E-4</c:v>
                </c:pt>
                <c:pt idx="1021">
                  <c:v>0</c:v>
                </c:pt>
                <c:pt idx="1022">
                  <c:v>-4.3949359601014315E-3</c:v>
                </c:pt>
                <c:pt idx="1023">
                  <c:v>-7.2041232650204012E-3</c:v>
                </c:pt>
                <c:pt idx="1024">
                  <c:v>-1.71199268179546E-2</c:v>
                </c:pt>
                <c:pt idx="1025">
                  <c:v>-1.9404972094921757E-2</c:v>
                </c:pt>
                <c:pt idx="1026">
                  <c:v>-2.3403790018161175E-2</c:v>
                </c:pt>
                <c:pt idx="1027">
                  <c:v>-3.1881695708498303E-2</c:v>
                </c:pt>
                <c:pt idx="1028">
                  <c:v>-3.8627892845292888E-2</c:v>
                </c:pt>
                <c:pt idx="1029">
                  <c:v>-3.0834320291700967E-2</c:v>
                </c:pt>
                <c:pt idx="1030">
                  <c:v>-3.91369717652017E-2</c:v>
                </c:pt>
                <c:pt idx="1031">
                  <c:v>-2.7562268652405852E-2</c:v>
                </c:pt>
                <c:pt idx="1032">
                  <c:v>-2.339739909311489E-2</c:v>
                </c:pt>
                <c:pt idx="1033">
                  <c:v>-1.9393850265150614E-2</c:v>
                </c:pt>
                <c:pt idx="1034">
                  <c:v>-2.7535022667211084E-2</c:v>
                </c:pt>
                <c:pt idx="1035">
                  <c:v>-3.3184065202920832E-2</c:v>
                </c:pt>
                <c:pt idx="1036">
                  <c:v>-4.4461021079165053E-2</c:v>
                </c:pt>
                <c:pt idx="1037">
                  <c:v>-4.7246323339645957E-2</c:v>
                </c:pt>
                <c:pt idx="1038">
                  <c:v>-4.9676406916689397E-2</c:v>
                </c:pt>
                <c:pt idx="1039">
                  <c:v>-4.9305688803147452E-2</c:v>
                </c:pt>
                <c:pt idx="1040">
                  <c:v>-5.1111103361292876E-2</c:v>
                </c:pt>
                <c:pt idx="1041">
                  <c:v>-5.7190751727610123E-2</c:v>
                </c:pt>
                <c:pt idx="1042">
                  <c:v>-5.2674632395698584E-2</c:v>
                </c:pt>
                <c:pt idx="1043">
                  <c:v>-4.8355111415557817E-2</c:v>
                </c:pt>
                <c:pt idx="1044">
                  <c:v>-4.8394867754982251E-2</c:v>
                </c:pt>
                <c:pt idx="1045">
                  <c:v>-5.7653641207520478E-2</c:v>
                </c:pt>
                <c:pt idx="1046">
                  <c:v>-5.3348319470943206E-2</c:v>
                </c:pt>
                <c:pt idx="1047">
                  <c:v>-5.6336516590021812E-2</c:v>
                </c:pt>
                <c:pt idx="1048">
                  <c:v>-5.0874480331918992E-2</c:v>
                </c:pt>
                <c:pt idx="1049">
                  <c:v>-4.0066581606855278E-2</c:v>
                </c:pt>
                <c:pt idx="1050">
                  <c:v>-3.7422815625821282E-2</c:v>
                </c:pt>
                <c:pt idx="1051">
                  <c:v>-2.3314112436006562E-2</c:v>
                </c:pt>
                <c:pt idx="1052">
                  <c:v>-1.7149878036404997E-2</c:v>
                </c:pt>
                <c:pt idx="1053">
                  <c:v>-1.3729223277112457E-2</c:v>
                </c:pt>
                <c:pt idx="1054">
                  <c:v>-1.1685410099457005E-2</c:v>
                </c:pt>
                <c:pt idx="1055">
                  <c:v>-9.4707846083219582E-3</c:v>
                </c:pt>
                <c:pt idx="1056">
                  <c:v>-1.5311302998152532E-2</c:v>
                </c:pt>
                <c:pt idx="1057">
                  <c:v>-2.8517467760473925E-2</c:v>
                </c:pt>
                <c:pt idx="1058">
                  <c:v>-2.8359980294188847E-2</c:v>
                </c:pt>
                <c:pt idx="1059">
                  <c:v>-3.2560105085657765E-2</c:v>
                </c:pt>
                <c:pt idx="1060">
                  <c:v>-3.1713290057561738E-2</c:v>
                </c:pt>
                <c:pt idx="1061">
                  <c:v>-3.2656740716208277E-2</c:v>
                </c:pt>
                <c:pt idx="1062">
                  <c:v>-3.3576044118138193E-2</c:v>
                </c:pt>
                <c:pt idx="1063">
                  <c:v>-3.2455431609655028E-2</c:v>
                </c:pt>
                <c:pt idx="1064">
                  <c:v>-2.8894126430680567E-2</c:v>
                </c:pt>
                <c:pt idx="1065">
                  <c:v>-2.1595060930675647E-2</c:v>
                </c:pt>
                <c:pt idx="1066">
                  <c:v>-8.5771772948559644E-3</c:v>
                </c:pt>
                <c:pt idx="1067">
                  <c:v>-2.4269295951240277E-3</c:v>
                </c:pt>
                <c:pt idx="1068">
                  <c:v>-7.6802299606013591E-3</c:v>
                </c:pt>
                <c:pt idx="1069">
                  <c:v>-2.0613010959443789E-3</c:v>
                </c:pt>
                <c:pt idx="1070">
                  <c:v>-2.2122496477608999E-3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-9.4352710912940507E-3</c:v>
                </c:pt>
                <c:pt idx="1075">
                  <c:v>-1.140354116320208E-2</c:v>
                </c:pt>
                <c:pt idx="1076">
                  <c:v>-9.0161139100711774E-3</c:v>
                </c:pt>
                <c:pt idx="1077">
                  <c:v>-1.794197290121724E-2</c:v>
                </c:pt>
                <c:pt idx="1078">
                  <c:v>-2.1254986435327528E-2</c:v>
                </c:pt>
                <c:pt idx="1079">
                  <c:v>-2.8140788564217978E-2</c:v>
                </c:pt>
                <c:pt idx="1080">
                  <c:v>-2.4839570301080638E-2</c:v>
                </c:pt>
                <c:pt idx="1081">
                  <c:v>-1.4680925129991418E-2</c:v>
                </c:pt>
                <c:pt idx="1082">
                  <c:v>-1.5264727619335283E-2</c:v>
                </c:pt>
                <c:pt idx="1083">
                  <c:v>-1.2412391523536126E-2</c:v>
                </c:pt>
                <c:pt idx="1084">
                  <c:v>-1.0291771920161952E-2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-3.8880629542008549E-3</c:v>
                </c:pt>
                <c:pt idx="1089">
                  <c:v>-3.3565859631154993E-3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-4.4844596012040272E-3</c:v>
                </c:pt>
                <c:pt idx="1095">
                  <c:v>-7.1473148852985169E-3</c:v>
                </c:pt>
                <c:pt idx="1096">
                  <c:v>-8.2505186893447879E-3</c:v>
                </c:pt>
                <c:pt idx="1097">
                  <c:v>-2.9615165976841773E-3</c:v>
                </c:pt>
                <c:pt idx="1098">
                  <c:v>-1.5928088676354646E-3</c:v>
                </c:pt>
                <c:pt idx="1099">
                  <c:v>-9.2085674915920457E-4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-1.8771947652733711E-3</c:v>
                </c:pt>
                <c:pt idx="1105">
                  <c:v>-8.7142277504612675E-3</c:v>
                </c:pt>
                <c:pt idx="1106">
                  <c:v>-7.7235792236025613E-3</c:v>
                </c:pt>
                <c:pt idx="1107">
                  <c:v>-4.2506979346343954E-3</c:v>
                </c:pt>
                <c:pt idx="1108">
                  <c:v>0</c:v>
                </c:pt>
                <c:pt idx="1109">
                  <c:v>0</c:v>
                </c:pt>
                <c:pt idx="1110">
                  <c:v>-1.4079743387024335E-3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-6.8340391897566688E-3</c:v>
                </c:pt>
                <c:pt idx="1115">
                  <c:v>-5.8947622460150395E-3</c:v>
                </c:pt>
                <c:pt idx="1116">
                  <c:v>0</c:v>
                </c:pt>
                <c:pt idx="1117">
                  <c:v>-3.914817485500488E-3</c:v>
                </c:pt>
                <c:pt idx="1118">
                  <c:v>-5.0750600880642427E-3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-6.5820242028238329E-3</c:v>
                </c:pt>
                <c:pt idx="1125">
                  <c:v>-1.0861409518305276E-2</c:v>
                </c:pt>
                <c:pt idx="1126">
                  <c:v>-1.4522183700485636E-2</c:v>
                </c:pt>
                <c:pt idx="1127">
                  <c:v>-1.6233493053560144E-3</c:v>
                </c:pt>
                <c:pt idx="1128">
                  <c:v>-2.6697623419402738E-4</c:v>
                </c:pt>
                <c:pt idx="1129">
                  <c:v>-2.9930993373347148E-3</c:v>
                </c:pt>
                <c:pt idx="1130">
                  <c:v>0</c:v>
                </c:pt>
                <c:pt idx="1131">
                  <c:v>-3.2177268034558892E-3</c:v>
                </c:pt>
                <c:pt idx="1132">
                  <c:v>-1.0603559751056646E-2</c:v>
                </c:pt>
                <c:pt idx="1133">
                  <c:v>-1.4397367060636546E-2</c:v>
                </c:pt>
                <c:pt idx="1134">
                  <c:v>-9.4456357603385221E-3</c:v>
                </c:pt>
                <c:pt idx="1135">
                  <c:v>-2.2433544651148107E-3</c:v>
                </c:pt>
                <c:pt idx="1136">
                  <c:v>-5.5128840279071722E-3</c:v>
                </c:pt>
                <c:pt idx="1137">
                  <c:v>-3.0685358473631075E-3</c:v>
                </c:pt>
                <c:pt idx="1138">
                  <c:v>-7.5187480895286818E-3</c:v>
                </c:pt>
                <c:pt idx="1139">
                  <c:v>-1.272292293361954E-2</c:v>
                </c:pt>
                <c:pt idx="1140">
                  <c:v>-9.0577189479369435E-3</c:v>
                </c:pt>
                <c:pt idx="1141">
                  <c:v>-1.9153920387441348E-3</c:v>
                </c:pt>
                <c:pt idx="1142">
                  <c:v>-1.0439107585628049E-2</c:v>
                </c:pt>
                <c:pt idx="1143">
                  <c:v>-1.3181381813314741E-2</c:v>
                </c:pt>
                <c:pt idx="1144">
                  <c:v>-1.0100600933766968E-2</c:v>
                </c:pt>
                <c:pt idx="1145">
                  <c:v>-7.5353506627557909E-3</c:v>
                </c:pt>
                <c:pt idx="1146">
                  <c:v>-4.0141357526404242E-3</c:v>
                </c:pt>
                <c:pt idx="1147">
                  <c:v>-9.1328294088820483E-3</c:v>
                </c:pt>
                <c:pt idx="1148">
                  <c:v>-1.8891361979849863E-2</c:v>
                </c:pt>
                <c:pt idx="1149">
                  <c:v>-1.2693635573231776E-2</c:v>
                </c:pt>
                <c:pt idx="1150">
                  <c:v>-1.1970334143584505E-2</c:v>
                </c:pt>
                <c:pt idx="1151">
                  <c:v>-7.4776443238125934E-3</c:v>
                </c:pt>
                <c:pt idx="1152">
                  <c:v>-6.6477804140803176E-3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-1.6804744571072838E-3</c:v>
                </c:pt>
                <c:pt idx="1162">
                  <c:v>-1.5399786728483855E-3</c:v>
                </c:pt>
                <c:pt idx="1163">
                  <c:v>0</c:v>
                </c:pt>
                <c:pt idx="1164">
                  <c:v>-2.3727501744597035E-3</c:v>
                </c:pt>
                <c:pt idx="1165">
                  <c:v>-1.2623814098002506E-2</c:v>
                </c:pt>
                <c:pt idx="1166">
                  <c:v>-1.6304630101640294E-2</c:v>
                </c:pt>
                <c:pt idx="1167">
                  <c:v>-1.4460526016712327E-2</c:v>
                </c:pt>
                <c:pt idx="1168">
                  <c:v>-1.831515634890446E-2</c:v>
                </c:pt>
                <c:pt idx="1169">
                  <c:v>-1.8134022004481554E-2</c:v>
                </c:pt>
                <c:pt idx="1170">
                  <c:v>-7.9611109376335198E-3</c:v>
                </c:pt>
                <c:pt idx="1171">
                  <c:v>-1.4498960332090194E-2</c:v>
                </c:pt>
                <c:pt idx="1172">
                  <c:v>-8.3847084714330222E-3</c:v>
                </c:pt>
                <c:pt idx="1173">
                  <c:v>-1.5828815436328303E-2</c:v>
                </c:pt>
                <c:pt idx="1174">
                  <c:v>-2.3672206097169579E-2</c:v>
                </c:pt>
                <c:pt idx="1175">
                  <c:v>-1.5817665983400619E-2</c:v>
                </c:pt>
                <c:pt idx="1176">
                  <c:v>-1.0234892437665732E-2</c:v>
                </c:pt>
                <c:pt idx="1177">
                  <c:v>-1.5088137752778064E-2</c:v>
                </c:pt>
                <c:pt idx="1178">
                  <c:v>-9.5179581720050699E-3</c:v>
                </c:pt>
                <c:pt idx="1179">
                  <c:v>-4.7911511813831797E-3</c:v>
                </c:pt>
                <c:pt idx="1180">
                  <c:v>-3.9554603207977435E-3</c:v>
                </c:pt>
                <c:pt idx="1181">
                  <c:v>-1.1861866537760113E-3</c:v>
                </c:pt>
                <c:pt idx="1182">
                  <c:v>-3.5774610592953504E-3</c:v>
                </c:pt>
                <c:pt idx="1183">
                  <c:v>-2.7237062745718577E-3</c:v>
                </c:pt>
                <c:pt idx="1184">
                  <c:v>-4.8257737787260613E-3</c:v>
                </c:pt>
                <c:pt idx="1185">
                  <c:v>-8.5176571061859052E-3</c:v>
                </c:pt>
                <c:pt idx="1186">
                  <c:v>-1.3564906761951767E-2</c:v>
                </c:pt>
                <c:pt idx="1187">
                  <c:v>-2.9098876776754046E-2</c:v>
                </c:pt>
                <c:pt idx="1188">
                  <c:v>-3.4539340741353342E-2</c:v>
                </c:pt>
                <c:pt idx="1189">
                  <c:v>-4.7933475434946637E-2</c:v>
                </c:pt>
                <c:pt idx="1190">
                  <c:v>-3.8175292490704726E-2</c:v>
                </c:pt>
                <c:pt idx="1191">
                  <c:v>-3.5767214197603647E-2</c:v>
                </c:pt>
                <c:pt idx="1192">
                  <c:v>-4.2020959397629176E-2</c:v>
                </c:pt>
                <c:pt idx="1193">
                  <c:v>-4.4924671921132364E-2</c:v>
                </c:pt>
                <c:pt idx="1194">
                  <c:v>-3.6334666917501868E-2</c:v>
                </c:pt>
                <c:pt idx="1195">
                  <c:v>-3.4618102496598246E-2</c:v>
                </c:pt>
                <c:pt idx="1196">
                  <c:v>-2.5618137193223145E-2</c:v>
                </c:pt>
                <c:pt idx="1197">
                  <c:v>-2.6274127255829893E-2</c:v>
                </c:pt>
                <c:pt idx="1198">
                  <c:v>-2.0849704121720714E-2</c:v>
                </c:pt>
                <c:pt idx="1199">
                  <c:v>-2.1596099269111879E-2</c:v>
                </c:pt>
                <c:pt idx="1200">
                  <c:v>-2.067156385960367E-2</c:v>
                </c:pt>
                <c:pt idx="1201">
                  <c:v>-1.9733748770698667E-2</c:v>
                </c:pt>
                <c:pt idx="1202">
                  <c:v>-8.9923684921392466E-3</c:v>
                </c:pt>
                <c:pt idx="1203">
                  <c:v>-4.0097578733129247E-3</c:v>
                </c:pt>
                <c:pt idx="1204">
                  <c:v>0</c:v>
                </c:pt>
                <c:pt idx="1205">
                  <c:v>-1.7437871071691591E-3</c:v>
                </c:pt>
                <c:pt idx="1206">
                  <c:v>0</c:v>
                </c:pt>
                <c:pt idx="1207">
                  <c:v>0</c:v>
                </c:pt>
                <c:pt idx="1208">
                  <c:v>-3.2168489072926798E-3</c:v>
                </c:pt>
                <c:pt idx="1209">
                  <c:v>-4.5892318815213828E-3</c:v>
                </c:pt>
                <c:pt idx="1210">
                  <c:v>-4.9585806902592289E-3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-2.1987056725979448E-3</c:v>
                </c:pt>
                <c:pt idx="1218">
                  <c:v>-1.6220811263045753E-3</c:v>
                </c:pt>
                <c:pt idx="1219">
                  <c:v>-9.7401229925708765E-4</c:v>
                </c:pt>
                <c:pt idx="1220">
                  <c:v>-1.2530774774916487E-2</c:v>
                </c:pt>
                <c:pt idx="1221">
                  <c:v>-9.1452458327535568E-3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-8.7902147700469335E-4</c:v>
                </c:pt>
                <c:pt idx="1226">
                  <c:v>-1.4154778590746875E-2</c:v>
                </c:pt>
                <c:pt idx="1227">
                  <c:v>-1.166894687294262E-2</c:v>
                </c:pt>
                <c:pt idx="1228">
                  <c:v>-1.0427804020164411E-3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-1.7088338176937112E-3</c:v>
                </c:pt>
                <c:pt idx="1233">
                  <c:v>-2.8007320997713858E-4</c:v>
                </c:pt>
                <c:pt idx="1234">
                  <c:v>-2.5338061591897443E-3</c:v>
                </c:pt>
                <c:pt idx="1235">
                  <c:v>-1.027380771389963E-2</c:v>
                </c:pt>
                <c:pt idx="1236">
                  <c:v>-6.791374329768729E-3</c:v>
                </c:pt>
                <c:pt idx="1237">
                  <c:v>-2.109953896143546E-3</c:v>
                </c:pt>
                <c:pt idx="1238">
                  <c:v>-9.2818266644251191E-3</c:v>
                </c:pt>
                <c:pt idx="1239">
                  <c:v>-3.0279067306897556E-3</c:v>
                </c:pt>
                <c:pt idx="1240">
                  <c:v>-3.0512864436371689E-4</c:v>
                </c:pt>
                <c:pt idx="1241">
                  <c:v>-1.5074120251569179E-3</c:v>
                </c:pt>
                <c:pt idx="1242">
                  <c:v>0</c:v>
                </c:pt>
                <c:pt idx="1243">
                  <c:v>0</c:v>
                </c:pt>
                <c:pt idx="1244">
                  <c:v>-9.15952290203359E-4</c:v>
                </c:pt>
                <c:pt idx="1245">
                  <c:v>-1.27321884077638E-2</c:v>
                </c:pt>
                <c:pt idx="1246">
                  <c:v>-1.1118352517266228E-2</c:v>
                </c:pt>
                <c:pt idx="1247">
                  <c:v>-3.6233834465972947E-3</c:v>
                </c:pt>
                <c:pt idx="1248">
                  <c:v>-1.8043626580545813E-2</c:v>
                </c:pt>
                <c:pt idx="1249">
                  <c:v>-8.0961620058682682E-3</c:v>
                </c:pt>
                <c:pt idx="1250">
                  <c:v>-1.4079137699872568E-2</c:v>
                </c:pt>
                <c:pt idx="1251">
                  <c:v>0</c:v>
                </c:pt>
                <c:pt idx="1252">
                  <c:v>-1.4418459426484009E-2</c:v>
                </c:pt>
                <c:pt idx="1253">
                  <c:v>-8.9248408101735288E-3</c:v>
                </c:pt>
                <c:pt idx="1254">
                  <c:v>-4.9679082239355576E-3</c:v>
                </c:pt>
                <c:pt idx="1255">
                  <c:v>0</c:v>
                </c:pt>
                <c:pt idx="1256">
                  <c:v>-3.3593879913260682E-3</c:v>
                </c:pt>
                <c:pt idx="1257">
                  <c:v>0</c:v>
                </c:pt>
                <c:pt idx="1258">
                  <c:v>-1.5052008196825284E-4</c:v>
                </c:pt>
                <c:pt idx="1259">
                  <c:v>-8.4542032791576904E-3</c:v>
                </c:pt>
                <c:pt idx="1260">
                  <c:v>-4.9054911974428794E-3</c:v>
                </c:pt>
                <c:pt idx="1261">
                  <c:v>-9.7404020440707839E-3</c:v>
                </c:pt>
                <c:pt idx="1262">
                  <c:v>-4.0119450738931306E-3</c:v>
                </c:pt>
                <c:pt idx="1263">
                  <c:v>-2.807796427169551E-3</c:v>
                </c:pt>
                <c:pt idx="1264">
                  <c:v>-3.554172712114223E-3</c:v>
                </c:pt>
                <c:pt idx="1265">
                  <c:v>0</c:v>
                </c:pt>
                <c:pt idx="1266">
                  <c:v>0</c:v>
                </c:pt>
                <c:pt idx="1267">
                  <c:v>-1.46374996700116E-5</c:v>
                </c:pt>
                <c:pt idx="1268">
                  <c:v>-6.7421995558206715E-3</c:v>
                </c:pt>
                <c:pt idx="1269">
                  <c:v>0</c:v>
                </c:pt>
                <c:pt idx="1270">
                  <c:v>-8.26522852123035E-4</c:v>
                </c:pt>
                <c:pt idx="1271">
                  <c:v>-4.6575466509790608E-4</c:v>
                </c:pt>
                <c:pt idx="1272">
                  <c:v>0</c:v>
                </c:pt>
                <c:pt idx="1273">
                  <c:v>-1.177987546757453E-2</c:v>
                </c:pt>
                <c:pt idx="1274">
                  <c:v>-9.2840060552508152E-3</c:v>
                </c:pt>
                <c:pt idx="1275">
                  <c:v>0</c:v>
                </c:pt>
                <c:pt idx="1276">
                  <c:v>-4.1395255901333083E-4</c:v>
                </c:pt>
                <c:pt idx="1277">
                  <c:v>-2.5589617814432142E-3</c:v>
                </c:pt>
                <c:pt idx="1278">
                  <c:v>0</c:v>
                </c:pt>
                <c:pt idx="1279">
                  <c:v>0</c:v>
                </c:pt>
                <c:pt idx="1280">
                  <c:v>-8.3976786460465691E-3</c:v>
                </c:pt>
                <c:pt idx="1281">
                  <c:v>-4.831494154571625E-3</c:v>
                </c:pt>
                <c:pt idx="1282">
                  <c:v>-1.4724614373319178E-2</c:v>
                </c:pt>
                <c:pt idx="1283">
                  <c:v>-7.0171023543567079E-3</c:v>
                </c:pt>
                <c:pt idx="1284">
                  <c:v>-1.3910028047652845E-2</c:v>
                </c:pt>
                <c:pt idx="1285">
                  <c:v>-9.4598332623997416E-3</c:v>
                </c:pt>
                <c:pt idx="1286">
                  <c:v>-2.4011088528557711E-2</c:v>
                </c:pt>
                <c:pt idx="1287">
                  <c:v>-1.6417364043874949E-2</c:v>
                </c:pt>
                <c:pt idx="1288">
                  <c:v>-1.0142734133305575E-2</c:v>
                </c:pt>
                <c:pt idx="1289">
                  <c:v>0</c:v>
                </c:pt>
                <c:pt idx="1290">
                  <c:v>-3.4574238893837483E-3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-3.4282771607229146E-3</c:v>
                </c:pt>
                <c:pt idx="1295">
                  <c:v>-6.8845713001686182E-3</c:v>
                </c:pt>
                <c:pt idx="1296">
                  <c:v>-1.3551799539900378E-3</c:v>
                </c:pt>
                <c:pt idx="1297">
                  <c:v>-6.5942958177009903E-3</c:v>
                </c:pt>
                <c:pt idx="1298">
                  <c:v>0</c:v>
                </c:pt>
                <c:pt idx="1299">
                  <c:v>-2.4425726543761961E-3</c:v>
                </c:pt>
                <c:pt idx="1300">
                  <c:v>-2.6600920286826701E-3</c:v>
                </c:pt>
                <c:pt idx="1301">
                  <c:v>-2.2982575089270485E-2</c:v>
                </c:pt>
                <c:pt idx="1302">
                  <c:v>-2.9033121362715297E-2</c:v>
                </c:pt>
                <c:pt idx="1303">
                  <c:v>-3.4811607767494146E-2</c:v>
                </c:pt>
                <c:pt idx="1304">
                  <c:v>-3.9982959697019704E-2</c:v>
                </c:pt>
                <c:pt idx="1305">
                  <c:v>-3.438271449772945E-2</c:v>
                </c:pt>
                <c:pt idx="1306">
                  <c:v>-2.4407051309819683E-2</c:v>
                </c:pt>
                <c:pt idx="1307">
                  <c:v>-2.7128936934908476E-2</c:v>
                </c:pt>
                <c:pt idx="1308">
                  <c:v>-2.8732457653187549E-2</c:v>
                </c:pt>
                <c:pt idx="1309">
                  <c:v>-2.1396176305968351E-2</c:v>
                </c:pt>
                <c:pt idx="1310">
                  <c:v>-2.9809782480687219E-2</c:v>
                </c:pt>
                <c:pt idx="1311">
                  <c:v>-2.3988838975589455E-2</c:v>
                </c:pt>
                <c:pt idx="1312">
                  <c:v>-2.8751843835347013E-2</c:v>
                </c:pt>
                <c:pt idx="1313">
                  <c:v>-2.5243188608024769E-2</c:v>
                </c:pt>
                <c:pt idx="1314">
                  <c:v>-4.0114685607393064E-2</c:v>
                </c:pt>
                <c:pt idx="1315">
                  <c:v>-4.0302613103540108E-2</c:v>
                </c:pt>
                <c:pt idx="1316">
                  <c:v>-4.3865793054218116E-2</c:v>
                </c:pt>
                <c:pt idx="1317">
                  <c:v>-3.7630410954944571E-2</c:v>
                </c:pt>
                <c:pt idx="1318">
                  <c:v>-5.8651871014824608E-2</c:v>
                </c:pt>
                <c:pt idx="1319">
                  <c:v>-5.4287916526314373E-2</c:v>
                </c:pt>
                <c:pt idx="1320">
                  <c:v>-5.0044795877647097E-2</c:v>
                </c:pt>
                <c:pt idx="1321">
                  <c:v>-4.0775477081552713E-2</c:v>
                </c:pt>
                <c:pt idx="1322">
                  <c:v>-4.3843776078558383E-2</c:v>
                </c:pt>
                <c:pt idx="1323">
                  <c:v>-3.8705491716847229E-2</c:v>
                </c:pt>
                <c:pt idx="1324">
                  <c:v>-3.75294394708795E-2</c:v>
                </c:pt>
                <c:pt idx="1325">
                  <c:v>-4.1031753803955295E-2</c:v>
                </c:pt>
                <c:pt idx="1326">
                  <c:v>-3.4750896617945837E-2</c:v>
                </c:pt>
                <c:pt idx="1327">
                  <c:v>-1.9651868355199609E-2</c:v>
                </c:pt>
                <c:pt idx="1328">
                  <c:v>-1.8962397231464312E-2</c:v>
                </c:pt>
                <c:pt idx="1329">
                  <c:v>-2.2270865916557581E-2</c:v>
                </c:pt>
                <c:pt idx="1330">
                  <c:v>-2.4944054371017432E-2</c:v>
                </c:pt>
                <c:pt idx="1331">
                  <c:v>-2.8915255536291373E-2</c:v>
                </c:pt>
                <c:pt idx="1332">
                  <c:v>-3.8935912695581387E-2</c:v>
                </c:pt>
                <c:pt idx="1333">
                  <c:v>-3.9292134068161233E-2</c:v>
                </c:pt>
                <c:pt idx="1334">
                  <c:v>-1.6913494989573619E-2</c:v>
                </c:pt>
                <c:pt idx="1335">
                  <c:v>-6.3804156285633629E-2</c:v>
                </c:pt>
                <c:pt idx="1336">
                  <c:v>-4.2094335943616557E-2</c:v>
                </c:pt>
                <c:pt idx="1337">
                  <c:v>-3.0377823615412858E-2</c:v>
                </c:pt>
                <c:pt idx="1338">
                  <c:v>-1.2731448119605471E-2</c:v>
                </c:pt>
                <c:pt idx="1339">
                  <c:v>-1.6382588310955182E-2</c:v>
                </c:pt>
                <c:pt idx="1340">
                  <c:v>-1.4685741930162699E-2</c:v>
                </c:pt>
                <c:pt idx="1341">
                  <c:v>-1.2662433092386016E-2</c:v>
                </c:pt>
                <c:pt idx="1342">
                  <c:v>-6.7411952664603314E-3</c:v>
                </c:pt>
                <c:pt idx="1343">
                  <c:v>-6.4319760314875962E-3</c:v>
                </c:pt>
                <c:pt idx="1344">
                  <c:v>-9.6616469890169476E-3</c:v>
                </c:pt>
                <c:pt idx="1345">
                  <c:v>-2.1625947277293167E-2</c:v>
                </c:pt>
                <c:pt idx="1346">
                  <c:v>-2.2926351676187062E-2</c:v>
                </c:pt>
                <c:pt idx="1347">
                  <c:v>-2.671226392993542E-2</c:v>
                </c:pt>
                <c:pt idx="1348">
                  <c:v>-2.469092193250999E-2</c:v>
                </c:pt>
                <c:pt idx="1349">
                  <c:v>-1.7551370962621715E-2</c:v>
                </c:pt>
                <c:pt idx="1350">
                  <c:v>-8.6998400708390156E-3</c:v>
                </c:pt>
                <c:pt idx="1351">
                  <c:v>-6.5629754603543367E-3</c:v>
                </c:pt>
                <c:pt idx="1352">
                  <c:v>-8.0931549423125526E-3</c:v>
                </c:pt>
                <c:pt idx="1353">
                  <c:v>-3.9102313706842473E-3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-3.7509938565468692E-3</c:v>
                </c:pt>
                <c:pt idx="1361">
                  <c:v>-6.3535007765536111E-3</c:v>
                </c:pt>
                <c:pt idx="1362">
                  <c:v>0</c:v>
                </c:pt>
                <c:pt idx="1363">
                  <c:v>0</c:v>
                </c:pt>
                <c:pt idx="1364">
                  <c:v>-1.7896114568601851E-3</c:v>
                </c:pt>
                <c:pt idx="1365">
                  <c:v>0</c:v>
                </c:pt>
                <c:pt idx="1366">
                  <c:v>-6.7842530491194486E-3</c:v>
                </c:pt>
                <c:pt idx="1367">
                  <c:v>-5.087217232724095E-3</c:v>
                </c:pt>
                <c:pt idx="1368">
                  <c:v>-6.0862487434826251E-3</c:v>
                </c:pt>
                <c:pt idx="1369">
                  <c:v>-7.3505832067313204E-3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-7.0164804008832071E-4</c:v>
                </c:pt>
                <c:pt idx="1374">
                  <c:v>0</c:v>
                </c:pt>
                <c:pt idx="1375">
                  <c:v>0</c:v>
                </c:pt>
                <c:pt idx="1376">
                  <c:v>-1.6844028009655787E-2</c:v>
                </c:pt>
                <c:pt idx="1377">
                  <c:v>-4.5501881317402071E-2</c:v>
                </c:pt>
                <c:pt idx="1378">
                  <c:v>-4.4632869351890592E-2</c:v>
                </c:pt>
                <c:pt idx="1379">
                  <c:v>-3.0190137446867937E-2</c:v>
                </c:pt>
                <c:pt idx="1380">
                  <c:v>-3.9658310294057642E-2</c:v>
                </c:pt>
                <c:pt idx="1381">
                  <c:v>-3.2613540824381615E-2</c:v>
                </c:pt>
                <c:pt idx="1382">
                  <c:v>-3.3399653261380946E-2</c:v>
                </c:pt>
                <c:pt idx="1383">
                  <c:v>-3.836687463726951E-2</c:v>
                </c:pt>
                <c:pt idx="1384">
                  <c:v>-3.4572790312903279E-2</c:v>
                </c:pt>
                <c:pt idx="1385">
                  <c:v>-2.496217656425781E-2</c:v>
                </c:pt>
                <c:pt idx="1386">
                  <c:v>-2.3481773187363997E-2</c:v>
                </c:pt>
                <c:pt idx="1387">
                  <c:v>-1.8511419365555781E-2</c:v>
                </c:pt>
                <c:pt idx="1388">
                  <c:v>-1.595323028616169E-2</c:v>
                </c:pt>
                <c:pt idx="1389">
                  <c:v>-1.6239574163449233E-2</c:v>
                </c:pt>
                <c:pt idx="1390">
                  <c:v>-1.5592910095949764E-2</c:v>
                </c:pt>
                <c:pt idx="1391">
                  <c:v>-1.1355945283528679E-2</c:v>
                </c:pt>
                <c:pt idx="1392">
                  <c:v>-3.6834687780537001E-3</c:v>
                </c:pt>
                <c:pt idx="1393">
                  <c:v>-3.5361928976465062E-3</c:v>
                </c:pt>
                <c:pt idx="1394">
                  <c:v>-2.2546710989279628E-4</c:v>
                </c:pt>
                <c:pt idx="1395">
                  <c:v>0</c:v>
                </c:pt>
                <c:pt idx="1396">
                  <c:v>0</c:v>
                </c:pt>
                <c:pt idx="1397">
                  <c:v>-1.8686089281847451E-3</c:v>
                </c:pt>
                <c:pt idx="1398">
                  <c:v>-4.4470761013184479E-3</c:v>
                </c:pt>
                <c:pt idx="1399">
                  <c:v>-7.426721583323026E-3</c:v>
                </c:pt>
                <c:pt idx="1400">
                  <c:v>-1.8057420454060558E-2</c:v>
                </c:pt>
                <c:pt idx="1401">
                  <c:v>-1.7303350374580306E-2</c:v>
                </c:pt>
                <c:pt idx="1402">
                  <c:v>-1.1013115657777073E-2</c:v>
                </c:pt>
                <c:pt idx="1403">
                  <c:v>-1.5461475546542536E-2</c:v>
                </c:pt>
                <c:pt idx="1404">
                  <c:v>0</c:v>
                </c:pt>
                <c:pt idx="1405">
                  <c:v>-4.4955876473156131E-3</c:v>
                </c:pt>
                <c:pt idx="1406">
                  <c:v>-1.749613324491528E-3</c:v>
                </c:pt>
                <c:pt idx="1407">
                  <c:v>-1.0164925811021464E-3</c:v>
                </c:pt>
                <c:pt idx="1408">
                  <c:v>-7.6273381071882973E-3</c:v>
                </c:pt>
                <c:pt idx="1409">
                  <c:v>-6.5582906957371012E-3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-1.4954703418616488E-2</c:v>
                </c:pt>
                <c:pt idx="1417">
                  <c:v>-1.7563377105176747E-2</c:v>
                </c:pt>
                <c:pt idx="1418">
                  <c:v>-4.2990854965419101E-2</c:v>
                </c:pt>
                <c:pt idx="1419">
                  <c:v>-4.6650448667650557E-2</c:v>
                </c:pt>
                <c:pt idx="1420">
                  <c:v>-5.0486460458073146E-2</c:v>
                </c:pt>
                <c:pt idx="1421">
                  <c:v>-4.241420028165177E-2</c:v>
                </c:pt>
                <c:pt idx="1422">
                  <c:v>-4.5551950245879991E-2</c:v>
                </c:pt>
                <c:pt idx="1423">
                  <c:v>-4.8429639626168752E-2</c:v>
                </c:pt>
                <c:pt idx="1424">
                  <c:v>-5.0421629744795471E-2</c:v>
                </c:pt>
                <c:pt idx="1425">
                  <c:v>-4.5606848464899041E-2</c:v>
                </c:pt>
                <c:pt idx="1426">
                  <c:v>-5.0791983585049216E-2</c:v>
                </c:pt>
                <c:pt idx="1427">
                  <c:v>-5.4079063399740224E-2</c:v>
                </c:pt>
                <c:pt idx="1428">
                  <c:v>-5.5621392685614612E-2</c:v>
                </c:pt>
                <c:pt idx="1429">
                  <c:v>-5.7096326632576022E-2</c:v>
                </c:pt>
                <c:pt idx="1430">
                  <c:v>-5.628712553745685E-2</c:v>
                </c:pt>
                <c:pt idx="1431">
                  <c:v>-6.9124128291655929E-2</c:v>
                </c:pt>
                <c:pt idx="1432">
                  <c:v>-7.3001376486485192E-2</c:v>
                </c:pt>
                <c:pt idx="1433">
                  <c:v>-7.7373389248138413E-2</c:v>
                </c:pt>
                <c:pt idx="1434">
                  <c:v>-8.6042010588565643E-2</c:v>
                </c:pt>
                <c:pt idx="1435">
                  <c:v>-8.1115635831016886E-2</c:v>
                </c:pt>
                <c:pt idx="1436">
                  <c:v>-8.6751607306500889E-2</c:v>
                </c:pt>
                <c:pt idx="1437">
                  <c:v>-8.4490602795471381E-2</c:v>
                </c:pt>
                <c:pt idx="1438">
                  <c:v>-8.1884611508800886E-2</c:v>
                </c:pt>
                <c:pt idx="1439">
                  <c:v>-7.9073474397850396E-2</c:v>
                </c:pt>
                <c:pt idx="1440">
                  <c:v>-9.1585816145636434E-2</c:v>
                </c:pt>
                <c:pt idx="1441">
                  <c:v>-8.9043159440150177E-2</c:v>
                </c:pt>
                <c:pt idx="1442">
                  <c:v>-7.2489775915516419E-2</c:v>
                </c:pt>
                <c:pt idx="1443">
                  <c:v>-7.9369220633891846E-2</c:v>
                </c:pt>
                <c:pt idx="1444">
                  <c:v>-7.773702422028328E-2</c:v>
                </c:pt>
                <c:pt idx="1445">
                  <c:v>-7.7346152486758912E-2</c:v>
                </c:pt>
                <c:pt idx="1446">
                  <c:v>-8.4823423515345886E-2</c:v>
                </c:pt>
                <c:pt idx="1447">
                  <c:v>-9.467938496839412E-2</c:v>
                </c:pt>
                <c:pt idx="1448">
                  <c:v>-9.6651114944789285E-2</c:v>
                </c:pt>
                <c:pt idx="1449">
                  <c:v>-0.10065463780663919</c:v>
                </c:pt>
                <c:pt idx="1450">
                  <c:v>-0.10149509374060972</c:v>
                </c:pt>
                <c:pt idx="1451">
                  <c:v>-0.10633460798891092</c:v>
                </c:pt>
                <c:pt idx="1452">
                  <c:v>-8.2781304755518259E-2</c:v>
                </c:pt>
                <c:pt idx="1453">
                  <c:v>-7.0900080597582571E-2</c:v>
                </c:pt>
                <c:pt idx="1454">
                  <c:v>-7.4615977827595548E-2</c:v>
                </c:pt>
                <c:pt idx="1455">
                  <c:v>-7.3458237084542577E-2</c:v>
                </c:pt>
                <c:pt idx="1456">
                  <c:v>-8.5570137379258782E-2</c:v>
                </c:pt>
                <c:pt idx="1457">
                  <c:v>-7.4045568601836531E-2</c:v>
                </c:pt>
                <c:pt idx="1458">
                  <c:v>-6.7221457061355405E-2</c:v>
                </c:pt>
                <c:pt idx="1459">
                  <c:v>-6.0750022456602548E-2</c:v>
                </c:pt>
                <c:pt idx="1460">
                  <c:v>-6.3057154497356271E-2</c:v>
                </c:pt>
                <c:pt idx="1461">
                  <c:v>-5.3671627932664445E-2</c:v>
                </c:pt>
                <c:pt idx="1462">
                  <c:v>-5.1979981878233383E-2</c:v>
                </c:pt>
                <c:pt idx="1463">
                  <c:v>-5.0403267488749015E-2</c:v>
                </c:pt>
                <c:pt idx="1464">
                  <c:v>-5.2894616081968326E-2</c:v>
                </c:pt>
                <c:pt idx="1465">
                  <c:v>-5.1457468488619318E-2</c:v>
                </c:pt>
                <c:pt idx="1466">
                  <c:v>-5.7991381935548647E-2</c:v>
                </c:pt>
                <c:pt idx="1467">
                  <c:v>-5.0450858619613403E-2</c:v>
                </c:pt>
                <c:pt idx="1468">
                  <c:v>-5.3652906932945998E-2</c:v>
                </c:pt>
                <c:pt idx="1469">
                  <c:v>-6.6687334868311354E-2</c:v>
                </c:pt>
                <c:pt idx="1470">
                  <c:v>-6.9311651252377482E-2</c:v>
                </c:pt>
                <c:pt idx="1471">
                  <c:v>-7.6599715604542706E-2</c:v>
                </c:pt>
                <c:pt idx="1472">
                  <c:v>-8.9280924819474361E-2</c:v>
                </c:pt>
                <c:pt idx="1473">
                  <c:v>-8.5410089575140291E-2</c:v>
                </c:pt>
                <c:pt idx="1474">
                  <c:v>-8.6108588051180157E-2</c:v>
                </c:pt>
                <c:pt idx="1475">
                  <c:v>-8.3658824609159743E-2</c:v>
                </c:pt>
                <c:pt idx="1476">
                  <c:v>-8.121058035054296E-2</c:v>
                </c:pt>
                <c:pt idx="1477">
                  <c:v>-8.5882067455848143E-2</c:v>
                </c:pt>
                <c:pt idx="1478">
                  <c:v>-8.4243520115177994E-2</c:v>
                </c:pt>
                <c:pt idx="1479">
                  <c:v>-7.3818266359988782E-2</c:v>
                </c:pt>
                <c:pt idx="1480">
                  <c:v>-5.4625847165366115E-2</c:v>
                </c:pt>
                <c:pt idx="1481">
                  <c:v>-6.235630244754331E-2</c:v>
                </c:pt>
                <c:pt idx="1482">
                  <c:v>-7.6524932874494134E-2</c:v>
                </c:pt>
                <c:pt idx="1483">
                  <c:v>-7.4123274203386713E-2</c:v>
                </c:pt>
                <c:pt idx="1484">
                  <c:v>-7.1341153355073739E-2</c:v>
                </c:pt>
                <c:pt idx="1485">
                  <c:v>-8.094810733000124E-2</c:v>
                </c:pt>
                <c:pt idx="1486">
                  <c:v>-8.1335894828508559E-2</c:v>
                </c:pt>
                <c:pt idx="1487">
                  <c:v>-9.1981913213252109E-2</c:v>
                </c:pt>
                <c:pt idx="1488">
                  <c:v>-8.8276577806569057E-2</c:v>
                </c:pt>
                <c:pt idx="1489">
                  <c:v>-8.2297574459754386E-2</c:v>
                </c:pt>
                <c:pt idx="1490">
                  <c:v>-8.0041660365291034E-2</c:v>
                </c:pt>
                <c:pt idx="1491">
                  <c:v>-7.5118205052480347E-2</c:v>
                </c:pt>
                <c:pt idx="1492">
                  <c:v>-7.680254830245048E-2</c:v>
                </c:pt>
                <c:pt idx="1493">
                  <c:v>-8.731424043681757E-2</c:v>
                </c:pt>
                <c:pt idx="1494">
                  <c:v>-7.7621933752015759E-2</c:v>
                </c:pt>
                <c:pt idx="1495">
                  <c:v>-7.5893069156125925E-2</c:v>
                </c:pt>
                <c:pt idx="1496">
                  <c:v>-8.1698473421287332E-2</c:v>
                </c:pt>
                <c:pt idx="1497">
                  <c:v>-9.0616169872694052E-2</c:v>
                </c:pt>
                <c:pt idx="1498">
                  <c:v>-9.6017657804062129E-2</c:v>
                </c:pt>
                <c:pt idx="1499">
                  <c:v>-9.0536709678638361E-2</c:v>
                </c:pt>
                <c:pt idx="1500">
                  <c:v>-8.9559148170422764E-2</c:v>
                </c:pt>
                <c:pt idx="1501">
                  <c:v>-7.2473745517597332E-2</c:v>
                </c:pt>
                <c:pt idx="1502">
                  <c:v>-6.9604673986184418E-2</c:v>
                </c:pt>
                <c:pt idx="1503">
                  <c:v>-7.8262808920629756E-2</c:v>
                </c:pt>
                <c:pt idx="1504">
                  <c:v>-6.058374156318036E-2</c:v>
                </c:pt>
                <c:pt idx="1505">
                  <c:v>-6.6486394991609576E-2</c:v>
                </c:pt>
                <c:pt idx="1506">
                  <c:v>-6.8406278496434214E-2</c:v>
                </c:pt>
                <c:pt idx="1507">
                  <c:v>-7.4173924799556312E-2</c:v>
                </c:pt>
                <c:pt idx="1508">
                  <c:v>-8.1442957215491774E-2</c:v>
                </c:pt>
                <c:pt idx="1509">
                  <c:v>-9.6892057160102074E-2</c:v>
                </c:pt>
                <c:pt idx="1510">
                  <c:v>-9.8186083903830434E-2</c:v>
                </c:pt>
                <c:pt idx="1511">
                  <c:v>-9.7210703982714919E-2</c:v>
                </c:pt>
                <c:pt idx="1512">
                  <c:v>-0.10093605162325836</c:v>
                </c:pt>
                <c:pt idx="1513">
                  <c:v>-9.9451591524530203E-2</c:v>
                </c:pt>
                <c:pt idx="1514">
                  <c:v>-0.10080703652881151</c:v>
                </c:pt>
                <c:pt idx="1515">
                  <c:v>-0.10404339305232557</c:v>
                </c:pt>
                <c:pt idx="1516">
                  <c:v>-0.10933585104190569</c:v>
                </c:pt>
                <c:pt idx="1517">
                  <c:v>-0.11164869034847824</c:v>
                </c:pt>
                <c:pt idx="1518">
                  <c:v>-0.12077369691383144</c:v>
                </c:pt>
                <c:pt idx="1519">
                  <c:v>-0.12378661584449924</c:v>
                </c:pt>
                <c:pt idx="1520">
                  <c:v>-0.12328779740967599</c:v>
                </c:pt>
                <c:pt idx="1521">
                  <c:v>-0.14270116044697034</c:v>
                </c:pt>
                <c:pt idx="1522">
                  <c:v>-0.14615406001388176</c:v>
                </c:pt>
                <c:pt idx="1523">
                  <c:v>-0.1501271828155899</c:v>
                </c:pt>
                <c:pt idx="1524">
                  <c:v>-0.14373846265892654</c:v>
                </c:pt>
                <c:pt idx="1525">
                  <c:v>-0.1347557675919514</c:v>
                </c:pt>
                <c:pt idx="1526">
                  <c:v>-0.13377052775680764</c:v>
                </c:pt>
                <c:pt idx="1527">
                  <c:v>-0.1388991506146311</c:v>
                </c:pt>
                <c:pt idx="1528">
                  <c:v>-0.134627990246864</c:v>
                </c:pt>
                <c:pt idx="1529">
                  <c:v>-0.13476963143016685</c:v>
                </c:pt>
                <c:pt idx="1530">
                  <c:v>-0.13785622890871885</c:v>
                </c:pt>
                <c:pt idx="1531">
                  <c:v>-0.13758990524613701</c:v>
                </c:pt>
                <c:pt idx="1532">
                  <c:v>-0.1373860019512233</c:v>
                </c:pt>
                <c:pt idx="1533">
                  <c:v>-0.1257662047278969</c:v>
                </c:pt>
                <c:pt idx="1534">
                  <c:v>-0.11524210091099152</c:v>
                </c:pt>
                <c:pt idx="1535">
                  <c:v>-0.10896856068496041</c:v>
                </c:pt>
                <c:pt idx="1536">
                  <c:v>-9.7261581547473996E-2</c:v>
                </c:pt>
                <c:pt idx="1537">
                  <c:v>-9.872982045612344E-2</c:v>
                </c:pt>
                <c:pt idx="1538">
                  <c:v>-0.10637144339900562</c:v>
                </c:pt>
                <c:pt idx="1539">
                  <c:v>-0.1036948692030002</c:v>
                </c:pt>
                <c:pt idx="1540">
                  <c:v>-0.10952829296467492</c:v>
                </c:pt>
                <c:pt idx="1541">
                  <c:v>-0.12381692661764276</c:v>
                </c:pt>
                <c:pt idx="1542">
                  <c:v>-0.11761420949743162</c:v>
                </c:pt>
                <c:pt idx="1543">
                  <c:v>-0.11953184212976564</c:v>
                </c:pt>
                <c:pt idx="1544">
                  <c:v>-0.14288391682670687</c:v>
                </c:pt>
                <c:pt idx="1545">
                  <c:v>-0.16785703268043173</c:v>
                </c:pt>
                <c:pt idx="1546">
                  <c:v>-0.15435162667507618</c:v>
                </c:pt>
                <c:pt idx="1547">
                  <c:v>-0.16426360816488095</c:v>
                </c:pt>
                <c:pt idx="1548">
                  <c:v>-0.15091241406997913</c:v>
                </c:pt>
                <c:pt idx="1549">
                  <c:v>-0.13339703296425143</c:v>
                </c:pt>
                <c:pt idx="1550">
                  <c:v>-0.1375764717596788</c:v>
                </c:pt>
                <c:pt idx="1551">
                  <c:v>-0.12612705902280619</c:v>
                </c:pt>
                <c:pt idx="1552">
                  <c:v>-0.12019085404530094</c:v>
                </c:pt>
                <c:pt idx="1553">
                  <c:v>-0.12030360927502504</c:v>
                </c:pt>
                <c:pt idx="1554">
                  <c:v>-0.10827744863629385</c:v>
                </c:pt>
                <c:pt idx="1555">
                  <c:v>-0.1080359604851131</c:v>
                </c:pt>
                <c:pt idx="1556">
                  <c:v>-0.11280889327158949</c:v>
                </c:pt>
                <c:pt idx="1557">
                  <c:v>-9.7203458363157358E-2</c:v>
                </c:pt>
                <c:pt idx="1558">
                  <c:v>-9.7047761888237494E-2</c:v>
                </c:pt>
                <c:pt idx="1559">
                  <c:v>-8.7186570870166791E-2</c:v>
                </c:pt>
                <c:pt idx="1560">
                  <c:v>-8.4348249876211701E-2</c:v>
                </c:pt>
                <c:pt idx="1561">
                  <c:v>-7.9500456582642487E-2</c:v>
                </c:pt>
                <c:pt idx="1562">
                  <c:v>-7.9845821190597355E-2</c:v>
                </c:pt>
                <c:pt idx="1563">
                  <c:v>-8.4700793938564556E-2</c:v>
                </c:pt>
                <c:pt idx="1564">
                  <c:v>-8.9416583937407035E-2</c:v>
                </c:pt>
                <c:pt idx="1565">
                  <c:v>-9.2165956323402298E-2</c:v>
                </c:pt>
                <c:pt idx="1566">
                  <c:v>-6.426076815213555E-2</c:v>
                </c:pt>
                <c:pt idx="1567">
                  <c:v>-7.5630063573153272E-2</c:v>
                </c:pt>
                <c:pt idx="1568">
                  <c:v>-6.9463893452635261E-2</c:v>
                </c:pt>
                <c:pt idx="1569">
                  <c:v>-5.4802003036266589E-2</c:v>
                </c:pt>
                <c:pt idx="1570">
                  <c:v>-5.6119407434925939E-2</c:v>
                </c:pt>
                <c:pt idx="1571">
                  <c:v>-6.05320916573856E-2</c:v>
                </c:pt>
                <c:pt idx="1572">
                  <c:v>-7.1689184193096445E-2</c:v>
                </c:pt>
                <c:pt idx="1573">
                  <c:v>-6.7453477157898067E-2</c:v>
                </c:pt>
                <c:pt idx="1574">
                  <c:v>-7.8210746985929114E-2</c:v>
                </c:pt>
                <c:pt idx="1575">
                  <c:v>-7.2923863046374882E-2</c:v>
                </c:pt>
                <c:pt idx="1576">
                  <c:v>-6.8149929777408413E-2</c:v>
                </c:pt>
                <c:pt idx="1577">
                  <c:v>-7.261977939775166E-2</c:v>
                </c:pt>
                <c:pt idx="1578">
                  <c:v>-7.6788289952721467E-2</c:v>
                </c:pt>
                <c:pt idx="1579">
                  <c:v>-7.1679549032925616E-2</c:v>
                </c:pt>
                <c:pt idx="1580">
                  <c:v>-7.3683426778417327E-2</c:v>
                </c:pt>
                <c:pt idx="1581">
                  <c:v>-7.5718464498251592E-2</c:v>
                </c:pt>
                <c:pt idx="1582">
                  <c:v>-8.1693407910197635E-2</c:v>
                </c:pt>
                <c:pt idx="1583">
                  <c:v>-7.9658554186427533E-2</c:v>
                </c:pt>
                <c:pt idx="1584">
                  <c:v>-7.5719675705897993E-2</c:v>
                </c:pt>
                <c:pt idx="1585">
                  <c:v>-6.8110806447041483E-2</c:v>
                </c:pt>
                <c:pt idx="1586">
                  <c:v>-6.0975679611963485E-2</c:v>
                </c:pt>
                <c:pt idx="1587">
                  <c:v>-6.1529653293195707E-2</c:v>
                </c:pt>
                <c:pt idx="1588">
                  <c:v>-5.9976290753052663E-2</c:v>
                </c:pt>
                <c:pt idx="1589">
                  <c:v>-6.9018032262277651E-2</c:v>
                </c:pt>
                <c:pt idx="1590">
                  <c:v>-7.2970114706307987E-2</c:v>
                </c:pt>
                <c:pt idx="1591">
                  <c:v>-6.4774999014840406E-2</c:v>
                </c:pt>
                <c:pt idx="1592">
                  <c:v>-6.6766871966237318E-2</c:v>
                </c:pt>
                <c:pt idx="1593">
                  <c:v>-6.7850255967322748E-2</c:v>
                </c:pt>
                <c:pt idx="1594">
                  <c:v>-6.7078493017169394E-2</c:v>
                </c:pt>
                <c:pt idx="1595">
                  <c:v>-5.8961001907011812E-2</c:v>
                </c:pt>
                <c:pt idx="1596">
                  <c:v>-6.9609755321321409E-2</c:v>
                </c:pt>
                <c:pt idx="1597">
                  <c:v>-7.0007943936542749E-2</c:v>
                </c:pt>
                <c:pt idx="1598">
                  <c:v>-6.0969915338190961E-2</c:v>
                </c:pt>
                <c:pt idx="1599">
                  <c:v>-5.5188781252831998E-2</c:v>
                </c:pt>
                <c:pt idx="1600">
                  <c:v>-5.2302792120205166E-2</c:v>
                </c:pt>
                <c:pt idx="1601">
                  <c:v>-5.9183701593105709E-2</c:v>
                </c:pt>
                <c:pt idx="1602">
                  <c:v>-5.762662055582779E-2</c:v>
                </c:pt>
                <c:pt idx="1603">
                  <c:v>-5.9677045277866214E-2</c:v>
                </c:pt>
                <c:pt idx="1604">
                  <c:v>-5.8425828847261996E-2</c:v>
                </c:pt>
                <c:pt idx="1605">
                  <c:v>-5.7408414723515766E-2</c:v>
                </c:pt>
                <c:pt idx="1606">
                  <c:v>-5.8265752827268869E-2</c:v>
                </c:pt>
                <c:pt idx="1607">
                  <c:v>-5.8318813683442938E-2</c:v>
                </c:pt>
                <c:pt idx="1608">
                  <c:v>-6.0600413903566186E-2</c:v>
                </c:pt>
                <c:pt idx="1609">
                  <c:v>-6.0526978053910718E-2</c:v>
                </c:pt>
                <c:pt idx="1610">
                  <c:v>-6.8963267965920894E-2</c:v>
                </c:pt>
                <c:pt idx="1611">
                  <c:v>-7.4003494882752596E-2</c:v>
                </c:pt>
                <c:pt idx="1612">
                  <c:v>-6.748185852211408E-2</c:v>
                </c:pt>
                <c:pt idx="1613">
                  <c:v>-6.7309894812014215E-2</c:v>
                </c:pt>
                <c:pt idx="1614">
                  <c:v>-7.2929126043359438E-2</c:v>
                </c:pt>
                <c:pt idx="1615">
                  <c:v>-7.6674571563675076E-2</c:v>
                </c:pt>
                <c:pt idx="1616">
                  <c:v>-7.8631215997074122E-2</c:v>
                </c:pt>
                <c:pt idx="1617">
                  <c:v>-8.2977099077516048E-2</c:v>
                </c:pt>
                <c:pt idx="1618">
                  <c:v>-7.7580311352099307E-2</c:v>
                </c:pt>
                <c:pt idx="1619">
                  <c:v>-8.3117280562113316E-2</c:v>
                </c:pt>
                <c:pt idx="1620">
                  <c:v>-8.9860069249107721E-2</c:v>
                </c:pt>
                <c:pt idx="1621">
                  <c:v>-9.3132270347057844E-2</c:v>
                </c:pt>
                <c:pt idx="1622">
                  <c:v>-8.4883517691952126E-2</c:v>
                </c:pt>
                <c:pt idx="1623">
                  <c:v>-7.2520678255089233E-2</c:v>
                </c:pt>
                <c:pt idx="1624">
                  <c:v>-7.8340806221729897E-2</c:v>
                </c:pt>
                <c:pt idx="1625">
                  <c:v>-9.153178227017289E-2</c:v>
                </c:pt>
                <c:pt idx="1626">
                  <c:v>-8.410408035157757E-2</c:v>
                </c:pt>
                <c:pt idx="1627">
                  <c:v>-8.5314681629711231E-2</c:v>
                </c:pt>
                <c:pt idx="1628">
                  <c:v>-9.1933629290336771E-2</c:v>
                </c:pt>
                <c:pt idx="1629">
                  <c:v>-8.8731502927251849E-2</c:v>
                </c:pt>
                <c:pt idx="1630">
                  <c:v>-9.5374741084112036E-2</c:v>
                </c:pt>
                <c:pt idx="1631">
                  <c:v>-8.7317555434251237E-2</c:v>
                </c:pt>
                <c:pt idx="1632">
                  <c:v>-8.3661954161662111E-2</c:v>
                </c:pt>
                <c:pt idx="1633">
                  <c:v>-8.1584922584130415E-2</c:v>
                </c:pt>
                <c:pt idx="1634">
                  <c:v>-8.0464642590548641E-2</c:v>
                </c:pt>
                <c:pt idx="1635">
                  <c:v>-6.8419855878487423E-2</c:v>
                </c:pt>
                <c:pt idx="1636">
                  <c:v>-6.3950999569822087E-2</c:v>
                </c:pt>
                <c:pt idx="1637">
                  <c:v>-6.0752060074908187E-2</c:v>
                </c:pt>
                <c:pt idx="1638">
                  <c:v>-5.7210924230467475E-2</c:v>
                </c:pt>
                <c:pt idx="1639">
                  <c:v>-6.2480839299989155E-2</c:v>
                </c:pt>
                <c:pt idx="1640">
                  <c:v>-5.4320754151449768E-2</c:v>
                </c:pt>
                <c:pt idx="1641">
                  <c:v>-6.0919577848811968E-2</c:v>
                </c:pt>
                <c:pt idx="1642">
                  <c:v>-6.5460553258799181E-2</c:v>
                </c:pt>
                <c:pt idx="1643">
                  <c:v>-6.5120472227025106E-2</c:v>
                </c:pt>
                <c:pt idx="1644">
                  <c:v>-6.5591026428548527E-2</c:v>
                </c:pt>
                <c:pt idx="1645">
                  <c:v>-6.6404313436387974E-2</c:v>
                </c:pt>
                <c:pt idx="1646">
                  <c:v>-6.1999817389332579E-2</c:v>
                </c:pt>
                <c:pt idx="1647">
                  <c:v>-6.6116907770390254E-2</c:v>
                </c:pt>
                <c:pt idx="1648">
                  <c:v>-6.6549718790801959E-2</c:v>
                </c:pt>
                <c:pt idx="1649">
                  <c:v>-6.5383904481330135E-2</c:v>
                </c:pt>
                <c:pt idx="1650">
                  <c:v>-5.8402996971494647E-2</c:v>
                </c:pt>
                <c:pt idx="1651">
                  <c:v>-5.6153862608946503E-2</c:v>
                </c:pt>
                <c:pt idx="1652">
                  <c:v>-5.5142020996457597E-2</c:v>
                </c:pt>
                <c:pt idx="1653">
                  <c:v>-4.7802191670829663E-2</c:v>
                </c:pt>
                <c:pt idx="1654">
                  <c:v>-5.0828102068718017E-2</c:v>
                </c:pt>
                <c:pt idx="1655">
                  <c:v>-4.0442737612384372E-2</c:v>
                </c:pt>
                <c:pt idx="1656">
                  <c:v>-3.4628606640640491E-2</c:v>
                </c:pt>
                <c:pt idx="1657">
                  <c:v>-2.9458161307663655E-2</c:v>
                </c:pt>
                <c:pt idx="1658">
                  <c:v>-3.0593583881455721E-2</c:v>
                </c:pt>
                <c:pt idx="1659">
                  <c:v>-4.0964692060559638E-2</c:v>
                </c:pt>
                <c:pt idx="1660">
                  <c:v>-3.9847894259259498E-2</c:v>
                </c:pt>
                <c:pt idx="1661">
                  <c:v>-4.0008158094324342E-2</c:v>
                </c:pt>
                <c:pt idx="1662">
                  <c:v>-4.5171148961696495E-2</c:v>
                </c:pt>
                <c:pt idx="1663">
                  <c:v>-4.6695648062294648E-2</c:v>
                </c:pt>
                <c:pt idx="1664">
                  <c:v>-5.2054445519270076E-2</c:v>
                </c:pt>
                <c:pt idx="1665">
                  <c:v>-5.4625848901441287E-2</c:v>
                </c:pt>
                <c:pt idx="1666">
                  <c:v>-4.7807929644522296E-2</c:v>
                </c:pt>
                <c:pt idx="1667">
                  <c:v>-4.792018865966996E-2</c:v>
                </c:pt>
                <c:pt idx="1668">
                  <c:v>-3.8338235095149997E-2</c:v>
                </c:pt>
                <c:pt idx="1669">
                  <c:v>-3.7596679002084188E-2</c:v>
                </c:pt>
                <c:pt idx="1670">
                  <c:v>-3.8859039685364527E-2</c:v>
                </c:pt>
                <c:pt idx="1671">
                  <c:v>-3.2199776042110551E-2</c:v>
                </c:pt>
                <c:pt idx="1672">
                  <c:v>-2.64709036237607E-2</c:v>
                </c:pt>
                <c:pt idx="1673">
                  <c:v>-3.0135853726804163E-2</c:v>
                </c:pt>
                <c:pt idx="1674">
                  <c:v>-3.5269979240809213E-2</c:v>
                </c:pt>
                <c:pt idx="1675">
                  <c:v>-3.1184782186638782E-2</c:v>
                </c:pt>
                <c:pt idx="1676">
                  <c:v>-2.3925114296762806E-2</c:v>
                </c:pt>
                <c:pt idx="1677">
                  <c:v>-2.0359709435813778E-2</c:v>
                </c:pt>
                <c:pt idx="1678">
                  <c:v>-1.0293883016978422E-2</c:v>
                </c:pt>
                <c:pt idx="1679">
                  <c:v>-9.0875236885112898E-3</c:v>
                </c:pt>
                <c:pt idx="1680">
                  <c:v>-3.2639320040496189E-3</c:v>
                </c:pt>
                <c:pt idx="1681">
                  <c:v>-5.5887780169204815E-3</c:v>
                </c:pt>
                <c:pt idx="1682">
                  <c:v>0</c:v>
                </c:pt>
                <c:pt idx="1683">
                  <c:v>-3.132570267792012E-4</c:v>
                </c:pt>
                <c:pt idx="1684">
                  <c:v>0</c:v>
                </c:pt>
                <c:pt idx="1685">
                  <c:v>-2.9963192509784298E-3</c:v>
                </c:pt>
                <c:pt idx="1686">
                  <c:v>-2.8821771771481153E-3</c:v>
                </c:pt>
                <c:pt idx="1687">
                  <c:v>-1.2356216467893644E-2</c:v>
                </c:pt>
                <c:pt idx="1688">
                  <c:v>-2.4223617613484794E-2</c:v>
                </c:pt>
                <c:pt idx="1689">
                  <c:v>-2.3573154760941462E-2</c:v>
                </c:pt>
                <c:pt idx="1690">
                  <c:v>-2.505694985311846E-2</c:v>
                </c:pt>
                <c:pt idx="1691">
                  <c:v>-1.7024407800687924E-2</c:v>
                </c:pt>
                <c:pt idx="1692">
                  <c:v>-1.0173102316827221E-2</c:v>
                </c:pt>
                <c:pt idx="1693">
                  <c:v>-3.1891611229818428E-3</c:v>
                </c:pt>
                <c:pt idx="1694">
                  <c:v>-1.4947111638805577E-3</c:v>
                </c:pt>
                <c:pt idx="1695">
                  <c:v>-1.2261277205548593E-3</c:v>
                </c:pt>
                <c:pt idx="1696">
                  <c:v>0</c:v>
                </c:pt>
                <c:pt idx="1697">
                  <c:v>-3.2627223312416964E-3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-2.4838221554586148E-3</c:v>
                </c:pt>
                <c:pt idx="1702">
                  <c:v>-6.983978757037046E-3</c:v>
                </c:pt>
                <c:pt idx="1703">
                  <c:v>0</c:v>
                </c:pt>
                <c:pt idx="1704">
                  <c:v>-1.6196231840382991E-3</c:v>
                </c:pt>
                <c:pt idx="1705">
                  <c:v>-5.7990565313059683E-4</c:v>
                </c:pt>
                <c:pt idx="1706">
                  <c:v>-4.1363240724423544E-4</c:v>
                </c:pt>
                <c:pt idx="1707">
                  <c:v>-4.7247233480474105E-3</c:v>
                </c:pt>
                <c:pt idx="1708">
                  <c:v>-5.7769301409352769E-3</c:v>
                </c:pt>
                <c:pt idx="1709">
                  <c:v>-3.7065051624509682E-3</c:v>
                </c:pt>
                <c:pt idx="1710">
                  <c:v>0</c:v>
                </c:pt>
                <c:pt idx="1711">
                  <c:v>-4.6133454069314794E-3</c:v>
                </c:pt>
                <c:pt idx="1712">
                  <c:v>-1.1455291795319678E-2</c:v>
                </c:pt>
                <c:pt idx="1713">
                  <c:v>-1.1721222221506067E-2</c:v>
                </c:pt>
                <c:pt idx="1714">
                  <c:v>-4.3877539597124704E-3</c:v>
                </c:pt>
                <c:pt idx="1715">
                  <c:v>0</c:v>
                </c:pt>
                <c:pt idx="1716">
                  <c:v>0</c:v>
                </c:pt>
                <c:pt idx="1717">
                  <c:v>-6.2314125702561673E-3</c:v>
                </c:pt>
                <c:pt idx="1718">
                  <c:v>-4.962289671316289E-3</c:v>
                </c:pt>
                <c:pt idx="1719">
                  <c:v>-8.4033844543610625E-3</c:v>
                </c:pt>
                <c:pt idx="1720">
                  <c:v>-2.52061526553371E-3</c:v>
                </c:pt>
                <c:pt idx="1721">
                  <c:v>0</c:v>
                </c:pt>
                <c:pt idx="1722">
                  <c:v>-2.7949561882532059E-3</c:v>
                </c:pt>
                <c:pt idx="1723">
                  <c:v>-4.4154104710667497E-3</c:v>
                </c:pt>
                <c:pt idx="1724">
                  <c:v>-9.6686317378065212E-3</c:v>
                </c:pt>
                <c:pt idx="1725">
                  <c:v>-1.3690032750751757E-2</c:v>
                </c:pt>
                <c:pt idx="1726">
                  <c:v>-1.3812822048481999E-2</c:v>
                </c:pt>
                <c:pt idx="1727">
                  <c:v>-1.016129793342968E-2</c:v>
                </c:pt>
                <c:pt idx="1728">
                  <c:v>-1.3500595124703807E-2</c:v>
                </c:pt>
                <c:pt idx="1729">
                  <c:v>-8.7884063201444373E-3</c:v>
                </c:pt>
                <c:pt idx="1730">
                  <c:v>-1.2752244973617266E-2</c:v>
                </c:pt>
                <c:pt idx="1731">
                  <c:v>-1.608746013660467E-2</c:v>
                </c:pt>
                <c:pt idx="1732">
                  <c:v>-1.7899741276486081E-2</c:v>
                </c:pt>
                <c:pt idx="1733">
                  <c:v>-3.4112775979775134E-2</c:v>
                </c:pt>
                <c:pt idx="1734">
                  <c:v>-3.9586061414874529E-2</c:v>
                </c:pt>
                <c:pt idx="1735">
                  <c:v>-3.773547497709584E-2</c:v>
                </c:pt>
                <c:pt idx="1736">
                  <c:v>-4.8771861588890353E-2</c:v>
                </c:pt>
                <c:pt idx="1737">
                  <c:v>-5.749722160834736E-2</c:v>
                </c:pt>
                <c:pt idx="1738">
                  <c:v>-5.749722160834736E-2</c:v>
                </c:pt>
                <c:pt idx="1739">
                  <c:v>-5.8509823573185016E-2</c:v>
                </c:pt>
                <c:pt idx="1740">
                  <c:v>-5.8097521666678253E-2</c:v>
                </c:pt>
                <c:pt idx="1741">
                  <c:v>-7.5229601540709345E-2</c:v>
                </c:pt>
                <c:pt idx="1742">
                  <c:v>-7.8598461422825006E-2</c:v>
                </c:pt>
                <c:pt idx="1743">
                  <c:v>-7.4630787030780188E-2</c:v>
                </c:pt>
                <c:pt idx="1744">
                  <c:v>-8.1868307357603309E-2</c:v>
                </c:pt>
                <c:pt idx="1745">
                  <c:v>-8.2124738622381566E-2</c:v>
                </c:pt>
                <c:pt idx="1746">
                  <c:v>-8.576387239868255E-2</c:v>
                </c:pt>
                <c:pt idx="1747">
                  <c:v>-8.8074259566223057E-2</c:v>
                </c:pt>
                <c:pt idx="1748">
                  <c:v>-8.701627719200844E-2</c:v>
                </c:pt>
                <c:pt idx="1749">
                  <c:v>-8.8957524074696037E-2</c:v>
                </c:pt>
                <c:pt idx="1750">
                  <c:v>-6.3883794862243493E-2</c:v>
                </c:pt>
                <c:pt idx="1751">
                  <c:v>-6.6559994441772408E-2</c:v>
                </c:pt>
                <c:pt idx="1752">
                  <c:v>-7.0270805204759257E-2</c:v>
                </c:pt>
                <c:pt idx="1753">
                  <c:v>-6.9566183766693324E-2</c:v>
                </c:pt>
                <c:pt idx="1754">
                  <c:v>-6.7411750838843876E-2</c:v>
                </c:pt>
                <c:pt idx="1755">
                  <c:v>-6.2544589216291913E-2</c:v>
                </c:pt>
                <c:pt idx="1756">
                  <c:v>-6.2776790571194341E-2</c:v>
                </c:pt>
                <c:pt idx="1757">
                  <c:v>-7.423971335739854E-2</c:v>
                </c:pt>
                <c:pt idx="1758">
                  <c:v>-8.4425035298899775E-2</c:v>
                </c:pt>
                <c:pt idx="1759">
                  <c:v>-8.0817768178217286E-2</c:v>
                </c:pt>
                <c:pt idx="1760">
                  <c:v>-7.2131231253356853E-2</c:v>
                </c:pt>
                <c:pt idx="1761">
                  <c:v>-6.8297429547478528E-2</c:v>
                </c:pt>
                <c:pt idx="1762">
                  <c:v>-7.9747143750334759E-2</c:v>
                </c:pt>
                <c:pt idx="1763">
                  <c:v>-7.3682407785748305E-2</c:v>
                </c:pt>
                <c:pt idx="1764">
                  <c:v>-7.0906956786939035E-2</c:v>
                </c:pt>
                <c:pt idx="1765">
                  <c:v>-8.6858404616218743E-2</c:v>
                </c:pt>
                <c:pt idx="1766">
                  <c:v>-8.1857899058512595E-2</c:v>
                </c:pt>
                <c:pt idx="1767">
                  <c:v>-7.8807587938385604E-2</c:v>
                </c:pt>
                <c:pt idx="1768">
                  <c:v>-8.9824042792874592E-2</c:v>
                </c:pt>
                <c:pt idx="1769">
                  <c:v>-0.10774418725905055</c:v>
                </c:pt>
                <c:pt idx="1770">
                  <c:v>-0.12090866711916992</c:v>
                </c:pt>
                <c:pt idx="1771">
                  <c:v>-0.10435575506236383</c:v>
                </c:pt>
                <c:pt idx="1772">
                  <c:v>-0.11143775907353937</c:v>
                </c:pt>
                <c:pt idx="1773">
                  <c:v>-0.12470068501131637</c:v>
                </c:pt>
                <c:pt idx="1774">
                  <c:v>-0.11957490417682293</c:v>
                </c:pt>
                <c:pt idx="1775">
                  <c:v>-0.13012429626073863</c:v>
                </c:pt>
                <c:pt idx="1776">
                  <c:v>-0.14397223997947406</c:v>
                </c:pt>
                <c:pt idx="1777">
                  <c:v>-0.16844887301315969</c:v>
                </c:pt>
                <c:pt idx="1778">
                  <c:v>-0.16164978429602339</c:v>
                </c:pt>
                <c:pt idx="1779">
                  <c:v>-0.15633725245886865</c:v>
                </c:pt>
                <c:pt idx="1780">
                  <c:v>-0.14951073996390696</c:v>
                </c:pt>
                <c:pt idx="1781">
                  <c:v>-0.17749515817891004</c:v>
                </c:pt>
                <c:pt idx="1782">
                  <c:v>-0.17073706555426105</c:v>
                </c:pt>
                <c:pt idx="1783">
                  <c:v>-0.18530828358661322</c:v>
                </c:pt>
                <c:pt idx="1784">
                  <c:v>-0.17209118852959004</c:v>
                </c:pt>
                <c:pt idx="1785">
                  <c:v>-0.15780748987765536</c:v>
                </c:pt>
                <c:pt idx="1786">
                  <c:v>-0.17335434858027987</c:v>
                </c:pt>
                <c:pt idx="1787">
                  <c:v>-0.1856671683950365</c:v>
                </c:pt>
                <c:pt idx="1788">
                  <c:v>-0.17366701660431627</c:v>
                </c:pt>
                <c:pt idx="1789">
                  <c:v>-0.17215430701998968</c:v>
                </c:pt>
                <c:pt idx="1790">
                  <c:v>-0.16665393388342398</c:v>
                </c:pt>
                <c:pt idx="1791">
                  <c:v>-0.15904198863696406</c:v>
                </c:pt>
                <c:pt idx="1792">
                  <c:v>-0.12746374817882156</c:v>
                </c:pt>
                <c:pt idx="1793">
                  <c:v>-0.13484960218240105</c:v>
                </c:pt>
                <c:pt idx="1794">
                  <c:v>-0.13636828751818619</c:v>
                </c:pt>
                <c:pt idx="1795">
                  <c:v>-0.15243736767663529</c:v>
                </c:pt>
                <c:pt idx="1796">
                  <c:v>-0.13269626652183308</c:v>
                </c:pt>
                <c:pt idx="1797">
                  <c:v>-0.13001378045157652</c:v>
                </c:pt>
                <c:pt idx="1798">
                  <c:v>-0.12779235458085836</c:v>
                </c:pt>
                <c:pt idx="1799">
                  <c:v>-0.1315882529725001</c:v>
                </c:pt>
                <c:pt idx="1800">
                  <c:v>-0.12812061865740065</c:v>
                </c:pt>
                <c:pt idx="1801">
                  <c:v>-0.1374291719503159</c:v>
                </c:pt>
                <c:pt idx="1802">
                  <c:v>-0.14237150626835438</c:v>
                </c:pt>
                <c:pt idx="1803">
                  <c:v>-0.16091024656997144</c:v>
                </c:pt>
                <c:pt idx="1804">
                  <c:v>-0.14178450195905179</c:v>
                </c:pt>
                <c:pt idx="1805">
                  <c:v>-0.14539590048692419</c:v>
                </c:pt>
                <c:pt idx="1806">
                  <c:v>-0.12871397533811035</c:v>
                </c:pt>
                <c:pt idx="1807">
                  <c:v>-0.12885639370077129</c:v>
                </c:pt>
                <c:pt idx="1808">
                  <c:v>-0.12885639370077129</c:v>
                </c:pt>
                <c:pt idx="1809">
                  <c:v>-0.12054198204663735</c:v>
                </c:pt>
                <c:pt idx="1810">
                  <c:v>-0.12461626625027233</c:v>
                </c:pt>
                <c:pt idx="1811">
                  <c:v>-0.12120803713650996</c:v>
                </c:pt>
                <c:pt idx="1812">
                  <c:v>-0.12343386663479017</c:v>
                </c:pt>
                <c:pt idx="1813">
                  <c:v>-0.12556625118589404</c:v>
                </c:pt>
                <c:pt idx="1814">
                  <c:v>-0.13393658132967901</c:v>
                </c:pt>
                <c:pt idx="1815">
                  <c:v>-0.15281110842405166</c:v>
                </c:pt>
                <c:pt idx="1816">
                  <c:v>-0.15412659284579244</c:v>
                </c:pt>
                <c:pt idx="1817">
                  <c:v>-0.15086705991933824</c:v>
                </c:pt>
                <c:pt idx="1818">
                  <c:v>-0.1488151554035938</c:v>
                </c:pt>
                <c:pt idx="1819">
                  <c:v>-0.14675322057688966</c:v>
                </c:pt>
                <c:pt idx="1820">
                  <c:v>-0.1456328649328954</c:v>
                </c:pt>
                <c:pt idx="1821">
                  <c:v>-0.1436303981736673</c:v>
                </c:pt>
                <c:pt idx="1822">
                  <c:v>-0.14350515479996284</c:v>
                </c:pt>
                <c:pt idx="1823">
                  <c:v>-0.14659440625478148</c:v>
                </c:pt>
                <c:pt idx="1824">
                  <c:v>-0.13642133291241765</c:v>
                </c:pt>
                <c:pt idx="1825">
                  <c:v>-0.13889361879187168</c:v>
                </c:pt>
                <c:pt idx="1826">
                  <c:v>-0.13903522059449702</c:v>
                </c:pt>
                <c:pt idx="1827">
                  <c:v>-0.13903522059449702</c:v>
                </c:pt>
                <c:pt idx="1828">
                  <c:v>-0.1495494397555247</c:v>
                </c:pt>
                <c:pt idx="1829">
                  <c:v>-0.15291908841665747</c:v>
                </c:pt>
                <c:pt idx="1830">
                  <c:v>-0.14297482610476475</c:v>
                </c:pt>
                <c:pt idx="1831">
                  <c:v>-0.15510944269144689</c:v>
                </c:pt>
                <c:pt idx="1832">
                  <c:v>-0.15708427614944531</c:v>
                </c:pt>
                <c:pt idx="1833">
                  <c:v>-0.15930593812947591</c:v>
                </c:pt>
                <c:pt idx="1834">
                  <c:v>-0.16931539599169199</c:v>
                </c:pt>
                <c:pt idx="1835">
                  <c:v>-0.16618145844097332</c:v>
                </c:pt>
                <c:pt idx="1836">
                  <c:v>-0.16528779325212128</c:v>
                </c:pt>
                <c:pt idx="1837">
                  <c:v>-0.16941614684861195</c:v>
                </c:pt>
                <c:pt idx="1838">
                  <c:v>-0.15075622341239181</c:v>
                </c:pt>
                <c:pt idx="1839">
                  <c:v>-0.13699414472208171</c:v>
                </c:pt>
                <c:pt idx="1840">
                  <c:v>-0.13283190538780898</c:v>
                </c:pt>
                <c:pt idx="1841">
                  <c:v>-0.12926514945218204</c:v>
                </c:pt>
                <c:pt idx="1842">
                  <c:v>-0.13338791646011505</c:v>
                </c:pt>
                <c:pt idx="1843">
                  <c:v>-0.14212147480202542</c:v>
                </c:pt>
                <c:pt idx="1844">
                  <c:v>-0.13767259451821479</c:v>
                </c:pt>
                <c:pt idx="1845">
                  <c:v>-0.14540424609236535</c:v>
                </c:pt>
                <c:pt idx="1846">
                  <c:v>-0.14170822469949296</c:v>
                </c:pt>
                <c:pt idx="1847">
                  <c:v>-0.13588156197844337</c:v>
                </c:pt>
                <c:pt idx="1848">
                  <c:v>-0.13588156197844337</c:v>
                </c:pt>
                <c:pt idx="1849">
                  <c:v>-0.14242178245441772</c:v>
                </c:pt>
                <c:pt idx="1850">
                  <c:v>-0.14194183123833337</c:v>
                </c:pt>
                <c:pt idx="1851">
                  <c:v>-0.14147539241789187</c:v>
                </c:pt>
                <c:pt idx="1852">
                  <c:v>-0.13619760418139237</c:v>
                </c:pt>
                <c:pt idx="1853">
                  <c:v>-0.13316361152036571</c:v>
                </c:pt>
                <c:pt idx="1854">
                  <c:v>-0.12924777586476943</c:v>
                </c:pt>
                <c:pt idx="1855">
                  <c:v>-0.12814696502615575</c:v>
                </c:pt>
                <c:pt idx="1856">
                  <c:v>-0.14820217521006795</c:v>
                </c:pt>
                <c:pt idx="1857">
                  <c:v>-0.14796226256945799</c:v>
                </c:pt>
                <c:pt idx="1858">
                  <c:v>-0.13930692649138277</c:v>
                </c:pt>
                <c:pt idx="1859">
                  <c:v>-0.13843711440346573</c:v>
                </c:pt>
                <c:pt idx="1860">
                  <c:v>-0.14500559478312836</c:v>
                </c:pt>
                <c:pt idx="1861">
                  <c:v>-0.1462016943497374</c:v>
                </c:pt>
                <c:pt idx="1862">
                  <c:v>-0.14317280813001088</c:v>
                </c:pt>
                <c:pt idx="1863">
                  <c:v>-0.13527125824738806</c:v>
                </c:pt>
                <c:pt idx="1864">
                  <c:v>-0.14044578686924059</c:v>
                </c:pt>
                <c:pt idx="1865">
                  <c:v>-0.14399194118943548</c:v>
                </c:pt>
                <c:pt idx="1866">
                  <c:v>-0.15103825788792002</c:v>
                </c:pt>
                <c:pt idx="1867">
                  <c:v>-0.15403575946187942</c:v>
                </c:pt>
                <c:pt idx="1868">
                  <c:v>-0.15410904474124676</c:v>
                </c:pt>
                <c:pt idx="1869">
                  <c:v>-0.14305464969020065</c:v>
                </c:pt>
                <c:pt idx="1870">
                  <c:v>-0.13739880159547946</c:v>
                </c:pt>
                <c:pt idx="1871">
                  <c:v>-0.12328221908368708</c:v>
                </c:pt>
                <c:pt idx="1872">
                  <c:v>-0.11814598842133561</c:v>
                </c:pt>
                <c:pt idx="1873">
                  <c:v>-0.12222547059493405</c:v>
                </c:pt>
                <c:pt idx="1874">
                  <c:v>-0.11149510284075448</c:v>
                </c:pt>
                <c:pt idx="1875">
                  <c:v>-0.11684973333401827</c:v>
                </c:pt>
                <c:pt idx="1876">
                  <c:v>-0.11844635991926911</c:v>
                </c:pt>
                <c:pt idx="1877">
                  <c:v>-0.11705825597130526</c:v>
                </c:pt>
                <c:pt idx="1878">
                  <c:v>-0.1126820355573831</c:v>
                </c:pt>
                <c:pt idx="1879">
                  <c:v>-0.11283291226989689</c:v>
                </c:pt>
                <c:pt idx="1880">
                  <c:v>-0.11642783536175094</c:v>
                </c:pt>
                <c:pt idx="1881">
                  <c:v>-0.12273684268971319</c:v>
                </c:pt>
                <c:pt idx="1882">
                  <c:v>-0.1209876857745793</c:v>
                </c:pt>
                <c:pt idx="1883">
                  <c:v>-0.12389634780559367</c:v>
                </c:pt>
                <c:pt idx="1884">
                  <c:v>-0.1309144325727537</c:v>
                </c:pt>
                <c:pt idx="1885">
                  <c:v>-0.1367238416500548</c:v>
                </c:pt>
                <c:pt idx="1886">
                  <c:v>-0.1373245510279576</c:v>
                </c:pt>
                <c:pt idx="1887">
                  <c:v>-0.13108314532722876</c:v>
                </c:pt>
                <c:pt idx="1888">
                  <c:v>-0.13432483931862738</c:v>
                </c:pt>
                <c:pt idx="1889">
                  <c:v>-0.13350477603062882</c:v>
                </c:pt>
                <c:pt idx="1890">
                  <c:v>-0.12851281609029441</c:v>
                </c:pt>
                <c:pt idx="1891">
                  <c:v>-0.13973867838283249</c:v>
                </c:pt>
                <c:pt idx="1892">
                  <c:v>-0.14465930170286057</c:v>
                </c:pt>
                <c:pt idx="1893">
                  <c:v>-0.13847813418750587</c:v>
                </c:pt>
                <c:pt idx="1894">
                  <c:v>-0.1354906566172801</c:v>
                </c:pt>
                <c:pt idx="1895">
                  <c:v>-0.14265304292453629</c:v>
                </c:pt>
                <c:pt idx="1896">
                  <c:v>-0.14613933241972854</c:v>
                </c:pt>
                <c:pt idx="1897">
                  <c:v>-0.15007486457107344</c:v>
                </c:pt>
                <c:pt idx="1898">
                  <c:v>-0.15189850665986837</c:v>
                </c:pt>
                <c:pt idx="1899">
                  <c:v>-0.15496582493965083</c:v>
                </c:pt>
                <c:pt idx="1900">
                  <c:v>-0.16201035046982204</c:v>
                </c:pt>
                <c:pt idx="1901">
                  <c:v>-0.17276868833108883</c:v>
                </c:pt>
                <c:pt idx="1902">
                  <c:v>-0.17227679313285493</c:v>
                </c:pt>
                <c:pt idx="1903">
                  <c:v>-0.17707904937100283</c:v>
                </c:pt>
                <c:pt idx="1904">
                  <c:v>-0.17707904937100283</c:v>
                </c:pt>
                <c:pt idx="1905">
                  <c:v>-0.1802283825619746</c:v>
                </c:pt>
                <c:pt idx="1906">
                  <c:v>-0.1822652666149478</c:v>
                </c:pt>
                <c:pt idx="1907">
                  <c:v>-0.1778044924555936</c:v>
                </c:pt>
                <c:pt idx="1908">
                  <c:v>-0.18499216576812882</c:v>
                </c:pt>
                <c:pt idx="1909">
                  <c:v>-0.17774521376511909</c:v>
                </c:pt>
                <c:pt idx="1910">
                  <c:v>-0.18272970202957883</c:v>
                </c:pt>
                <c:pt idx="1911">
                  <c:v>-0.17780164071173021</c:v>
                </c:pt>
                <c:pt idx="1912">
                  <c:v>-0.189042927622741</c:v>
                </c:pt>
                <c:pt idx="1913">
                  <c:v>-0.18692432920313562</c:v>
                </c:pt>
                <c:pt idx="1914">
                  <c:v>-0.19804684301410502</c:v>
                </c:pt>
                <c:pt idx="1915">
                  <c:v>-0.20022395380028302</c:v>
                </c:pt>
                <c:pt idx="1916">
                  <c:v>-0.20382586013825188</c:v>
                </c:pt>
                <c:pt idx="1917">
                  <c:v>-0.2138798742025656</c:v>
                </c:pt>
                <c:pt idx="1918">
                  <c:v>-0.2138798742025656</c:v>
                </c:pt>
                <c:pt idx="1919">
                  <c:v>-0.20696023817993392</c:v>
                </c:pt>
                <c:pt idx="1920">
                  <c:v>-0.20145363899211444</c:v>
                </c:pt>
                <c:pt idx="1921">
                  <c:v>-0.21214302821006092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9-406E-AFE2-37BF15C64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457088"/>
        <c:axId val="1233253296"/>
      </c:lineChart>
      <c:dateAx>
        <c:axId val="123545708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253296"/>
        <c:crosses val="autoZero"/>
        <c:auto val="1"/>
        <c:lblOffset val="100"/>
        <c:baseTimeUnit val="days"/>
        <c:majorUnit val="12"/>
        <c:majorTimeUnit val="months"/>
      </c:dateAx>
      <c:valAx>
        <c:axId val="12332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45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Share of money vs share of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weights!$A$5</c:f>
              <c:strCache>
                <c:ptCount val="1"/>
                <c:pt idx="0">
                  <c:v>Weight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layout>
                <c:manualLayout>
                  <c:x val="-2.774910006609529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7D-4336-83BE-D531A27BB5BA}"/>
                </c:ext>
              </c:extLst>
            </c:dLbl>
            <c:dLbl>
              <c:idx val="1"/>
              <c:layout>
                <c:manualLayout>
                  <c:x val="0"/>
                  <c:y val="4.60016756200890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7D-4336-83BE-D531A27BB5BA}"/>
                </c:ext>
              </c:extLst>
            </c:dLbl>
            <c:dLbl>
              <c:idx val="5"/>
              <c:layout>
                <c:manualLayout>
                  <c:x val="-5.5575405651231069E-3"/>
                  <c:y val="9.24665424005688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7D-4336-83BE-D531A27BB5BA}"/>
                </c:ext>
              </c:extLst>
            </c:dLbl>
            <c:dLbl>
              <c:idx val="6"/>
              <c:layout>
                <c:manualLayout>
                  <c:x val="-1.1121645154535729E-2"/>
                  <c:y val="9.174434501391312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7D-4336-83BE-D531A27BB5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weights!$B$1:$I$1</c:f>
              <c:strCache>
                <c:ptCount val="8"/>
                <c:pt idx="0">
                  <c:v>Reliance</c:v>
                </c:pt>
                <c:pt idx="1">
                  <c:v>TCS</c:v>
                </c:pt>
                <c:pt idx="2">
                  <c:v>HDFC Bank</c:v>
                </c:pt>
                <c:pt idx="3">
                  <c:v>Infosys</c:v>
                </c:pt>
                <c:pt idx="4">
                  <c:v>ITC</c:v>
                </c:pt>
                <c:pt idx="5">
                  <c:v>Maruti Suzuki</c:v>
                </c:pt>
                <c:pt idx="6">
                  <c:v>Sun Pharma</c:v>
                </c:pt>
                <c:pt idx="7">
                  <c:v>L&amp;T</c:v>
                </c:pt>
              </c:strCache>
            </c:strRef>
          </c:cat>
          <c:val>
            <c:numRef>
              <c:f>weights!$B$5:$J$5</c:f>
              <c:numCache>
                <c:formatCode>0%</c:formatCode>
                <c:ptCount val="9"/>
                <c:pt idx="0">
                  <c:v>0.12728722498173772</c:v>
                </c:pt>
                <c:pt idx="1">
                  <c:v>8.7784293090853602E-2</c:v>
                </c:pt>
                <c:pt idx="2">
                  <c:v>7.4350161094628331E-2</c:v>
                </c:pt>
                <c:pt idx="3">
                  <c:v>8.4762005285868511E-2</c:v>
                </c:pt>
                <c:pt idx="4">
                  <c:v>8.3614539169038063E-2</c:v>
                </c:pt>
                <c:pt idx="5">
                  <c:v>0.19437950612974728</c:v>
                </c:pt>
                <c:pt idx="6">
                  <c:v>0.15083013634781808</c:v>
                </c:pt>
                <c:pt idx="7">
                  <c:v>0.1969921339003084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8-4DF0-A5E6-F1DF64E60C81}"/>
            </c:ext>
          </c:extLst>
        </c:ser>
        <c:ser>
          <c:idx val="1"/>
          <c:order val="1"/>
          <c:tx>
            <c:strRef>
              <c:f>weights!$A$7</c:f>
              <c:strCache>
                <c:ptCount val="1"/>
                <c:pt idx="0">
                  <c:v>Risk contribution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dLbl>
              <c:idx val="0"/>
              <c:layout>
                <c:manualLayout>
                  <c:x val="8.3247300198285631E-3"/>
                  <c:y val="9.200335124017897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7D-4336-83BE-D531A27BB5BA}"/>
                </c:ext>
              </c:extLst>
            </c:dLbl>
            <c:dLbl>
              <c:idx val="5"/>
              <c:layout>
                <c:manualLayout>
                  <c:x val="5.5575405651231069E-3"/>
                  <c:y val="4.5859534052690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7D-4336-83BE-D531A27BB5BA}"/>
                </c:ext>
              </c:extLst>
            </c:dLbl>
            <c:dLbl>
              <c:idx val="6"/>
              <c:layout>
                <c:manualLayout>
                  <c:x val="2.7787702825614515E-3"/>
                  <c:y val="9.24665424005688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F8-4DF0-A5E6-F1DF64E60C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weights!$B$1:$I$1</c:f>
              <c:strCache>
                <c:ptCount val="8"/>
                <c:pt idx="0">
                  <c:v>Reliance</c:v>
                </c:pt>
                <c:pt idx="1">
                  <c:v>TCS</c:v>
                </c:pt>
                <c:pt idx="2">
                  <c:v>HDFC Bank</c:v>
                </c:pt>
                <c:pt idx="3">
                  <c:v>Infosys</c:v>
                </c:pt>
                <c:pt idx="4">
                  <c:v>ITC</c:v>
                </c:pt>
                <c:pt idx="5">
                  <c:v>Maruti Suzuki</c:v>
                </c:pt>
                <c:pt idx="6">
                  <c:v>Sun Pharma</c:v>
                </c:pt>
                <c:pt idx="7">
                  <c:v>L&amp;T</c:v>
                </c:pt>
              </c:strCache>
            </c:strRef>
          </c:cat>
          <c:val>
            <c:numRef>
              <c:f>weights!$B$7:$I$7</c:f>
              <c:numCache>
                <c:formatCode>0%</c:formatCode>
                <c:ptCount val="8"/>
                <c:pt idx="0">
                  <c:v>0.13675982796029459</c:v>
                </c:pt>
                <c:pt idx="1">
                  <c:v>6.8343538934934583E-2</c:v>
                </c:pt>
                <c:pt idx="2">
                  <c:v>6.7074955182333293E-2</c:v>
                </c:pt>
                <c:pt idx="3">
                  <c:v>7.3853256148775068E-2</c:v>
                </c:pt>
                <c:pt idx="4">
                  <c:v>5.7450531436253387E-2</c:v>
                </c:pt>
                <c:pt idx="5">
                  <c:v>0.23589208927419902</c:v>
                </c:pt>
                <c:pt idx="6">
                  <c:v>0.12416569969245234</c:v>
                </c:pt>
                <c:pt idx="7">
                  <c:v>0.23646010137075707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8-4DF0-A5E6-F1DF64E60C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429172768"/>
        <c:axId val="1233170736"/>
      </c:barChart>
      <c:catAx>
        <c:axId val="142917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170736"/>
        <c:crosses val="autoZero"/>
        <c:auto val="1"/>
        <c:lblAlgn val="ctr"/>
        <c:lblOffset val="100"/>
        <c:noMultiLvlLbl val="0"/>
      </c:catAx>
      <c:valAx>
        <c:axId val="123317073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17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</xdr:colOff>
      <xdr:row>1900</xdr:row>
      <xdr:rowOff>133350</xdr:rowOff>
    </xdr:from>
    <xdr:to>
      <xdr:col>10</xdr:col>
      <xdr:colOff>445770</xdr:colOff>
      <xdr:row>1916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5CD27A-B00A-BCBA-D898-27A4929FE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509905</xdr:colOff>
      <xdr:row>4</xdr:row>
      <xdr:rowOff>132080</xdr:rowOff>
    </xdr:from>
    <xdr:to>
      <xdr:col>18</xdr:col>
      <xdr:colOff>407352</xdr:colOff>
      <xdr:row>20</xdr:row>
      <xdr:rowOff>71120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CDAD82-FA97-4C60-AFDA-1778FA589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5DB9-7EF4-4AA0-A693-5D279FF78D15}">
  <dimension ref="A1:J1924"/>
  <sheetViews>
    <sheetView workbookViewId="0">
      <selection activeCell="J1" sqref="J1"/>
    </sheetView>
  </sheetViews>
  <sheetFormatPr defaultRowHeight="13.8"/>
  <cols>
    <col min="1" max="1" width="12.8984375" customWidth="1"/>
    <col min="2" max="2" width="10.8984375" customWidth="1"/>
    <col min="4" max="4" width="17.3984375" customWidth="1"/>
    <col min="5" max="5" width="11.796875" customWidth="1"/>
    <col min="6" max="6" width="9.796875" customWidth="1"/>
    <col min="7" max="7" width="10.69921875" customWidth="1"/>
    <col min="8" max="8" width="10.796875" customWidth="1"/>
    <col min="9" max="9" width="10.5" customWidth="1"/>
    <col min="10" max="10" width="8.79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43467</v>
      </c>
      <c r="B2" s="1">
        <v>489.73</v>
      </c>
      <c r="C2" s="1">
        <v>1569.21</v>
      </c>
      <c r="D2" s="1">
        <v>491.66</v>
      </c>
      <c r="E2" s="1">
        <v>544.98</v>
      </c>
      <c r="F2" s="1">
        <v>195.04</v>
      </c>
      <c r="G2" s="1">
        <v>6741.01</v>
      </c>
      <c r="H2" s="1">
        <v>407.73</v>
      </c>
      <c r="I2" s="1">
        <v>1268.4100000000001</v>
      </c>
      <c r="J2" s="1">
        <v>10792.5</v>
      </c>
    </row>
    <row r="3" spans="1:10">
      <c r="A3" s="2">
        <v>43468</v>
      </c>
      <c r="B3" s="1">
        <v>483.69</v>
      </c>
      <c r="C3" s="1">
        <v>1550.16</v>
      </c>
      <c r="D3" s="1">
        <v>487.8</v>
      </c>
      <c r="E3" s="1">
        <v>545.07000000000005</v>
      </c>
      <c r="F3" s="1">
        <v>193.83</v>
      </c>
      <c r="G3" s="1">
        <v>6681.74</v>
      </c>
      <c r="H3" s="1">
        <v>404.07</v>
      </c>
      <c r="I3" s="1">
        <v>1241.27</v>
      </c>
      <c r="J3" s="1">
        <v>10672.25</v>
      </c>
    </row>
    <row r="4" spans="1:10">
      <c r="A4" s="2">
        <v>43469</v>
      </c>
      <c r="B4" s="1">
        <v>486.3</v>
      </c>
      <c r="C4" s="1">
        <v>1531.32</v>
      </c>
      <c r="D4" s="1">
        <v>489.11</v>
      </c>
      <c r="E4" s="1">
        <v>538.47</v>
      </c>
      <c r="F4" s="1">
        <v>195.29</v>
      </c>
      <c r="G4" s="1">
        <v>6710.08</v>
      </c>
      <c r="H4" s="1">
        <v>401.93</v>
      </c>
      <c r="I4" s="1">
        <v>1235.0899999999999</v>
      </c>
      <c r="J4" s="1">
        <v>10727.35</v>
      </c>
    </row>
    <row r="5" spans="1:10">
      <c r="A5" s="2">
        <v>43472</v>
      </c>
      <c r="B5" s="1">
        <v>489</v>
      </c>
      <c r="C5" s="1">
        <v>1548.49</v>
      </c>
      <c r="D5" s="1">
        <v>489.85</v>
      </c>
      <c r="E5" s="1">
        <v>547.14</v>
      </c>
      <c r="F5" s="1">
        <v>195.77</v>
      </c>
      <c r="G5" s="1">
        <v>6828.38</v>
      </c>
      <c r="H5" s="1">
        <v>399.16</v>
      </c>
      <c r="I5" s="1">
        <v>1231.31</v>
      </c>
      <c r="J5" s="1">
        <v>10771.8</v>
      </c>
    </row>
    <row r="6" spans="1:10">
      <c r="A6" s="2">
        <v>43473</v>
      </c>
      <c r="B6" s="1">
        <v>488.96</v>
      </c>
      <c r="C6" s="1">
        <v>1544.94</v>
      </c>
      <c r="D6" s="1">
        <v>485.77</v>
      </c>
      <c r="E6" s="1">
        <v>545.79999999999995</v>
      </c>
      <c r="F6" s="1">
        <v>197.58</v>
      </c>
      <c r="G6" s="1">
        <v>6900.22</v>
      </c>
      <c r="H6" s="1">
        <v>415.14</v>
      </c>
      <c r="I6" s="1">
        <v>1229.8900000000001</v>
      </c>
      <c r="J6" s="1">
        <v>10802.15</v>
      </c>
    </row>
    <row r="7" spans="1:10">
      <c r="A7" s="2">
        <v>43474</v>
      </c>
      <c r="B7" s="1">
        <v>491.66</v>
      </c>
      <c r="C7" s="1">
        <v>1539.56</v>
      </c>
      <c r="D7" s="1">
        <v>488.96</v>
      </c>
      <c r="E7" s="1">
        <v>550.73</v>
      </c>
      <c r="F7" s="1">
        <v>201.85</v>
      </c>
      <c r="G7" s="1">
        <v>6949.75</v>
      </c>
      <c r="H7" s="1">
        <v>415.79</v>
      </c>
      <c r="I7" s="1">
        <v>1233.31</v>
      </c>
      <c r="J7" s="1">
        <v>10855.15</v>
      </c>
    </row>
    <row r="8" spans="1:10">
      <c r="A8" s="2">
        <v>43475</v>
      </c>
      <c r="B8" s="1">
        <v>490.22</v>
      </c>
      <c r="C8" s="1">
        <v>1540.86</v>
      </c>
      <c r="D8" s="1">
        <v>487.04</v>
      </c>
      <c r="E8" s="1">
        <v>553.66</v>
      </c>
      <c r="F8" s="1">
        <v>201.3</v>
      </c>
      <c r="G8" s="1">
        <v>6855.79</v>
      </c>
      <c r="H8" s="1">
        <v>411.94</v>
      </c>
      <c r="I8" s="1">
        <v>1239.1400000000001</v>
      </c>
      <c r="J8" s="1">
        <v>10821.6</v>
      </c>
    </row>
    <row r="9" spans="1:10">
      <c r="A9" s="2">
        <v>43476</v>
      </c>
      <c r="B9" s="1">
        <v>486.04</v>
      </c>
      <c r="C9" s="1">
        <v>1503.33</v>
      </c>
      <c r="D9" s="1">
        <v>487.82</v>
      </c>
      <c r="E9" s="1">
        <v>556.75</v>
      </c>
      <c r="F9" s="1">
        <v>205.3</v>
      </c>
      <c r="G9" s="1">
        <v>6789.84</v>
      </c>
      <c r="H9" s="1">
        <v>411.76</v>
      </c>
      <c r="I9" s="1">
        <v>1218.67</v>
      </c>
      <c r="J9" s="1">
        <v>10794.95</v>
      </c>
    </row>
    <row r="10" spans="1:10">
      <c r="A10" s="2">
        <v>43479</v>
      </c>
      <c r="B10" s="1">
        <v>485.48</v>
      </c>
      <c r="C10" s="1">
        <v>1479.42</v>
      </c>
      <c r="D10" s="1">
        <v>485.46</v>
      </c>
      <c r="E10" s="1">
        <v>571.74</v>
      </c>
      <c r="F10" s="1">
        <v>204.57</v>
      </c>
      <c r="G10" s="1">
        <v>6871.65</v>
      </c>
      <c r="H10" s="1">
        <v>417.73</v>
      </c>
      <c r="I10" s="1">
        <v>1186.9100000000001</v>
      </c>
      <c r="J10" s="1">
        <v>10737.6</v>
      </c>
    </row>
    <row r="11" spans="1:10">
      <c r="A11" s="2">
        <v>43480</v>
      </c>
      <c r="B11" s="1">
        <v>500.03</v>
      </c>
      <c r="C11" s="1">
        <v>1523.93</v>
      </c>
      <c r="D11" s="1">
        <v>490.13</v>
      </c>
      <c r="E11" s="1">
        <v>591.86</v>
      </c>
      <c r="F11" s="1">
        <v>206.13</v>
      </c>
      <c r="G11" s="1">
        <v>6821.98</v>
      </c>
      <c r="H11" s="1">
        <v>419.21</v>
      </c>
      <c r="I11" s="1">
        <v>1193.1400000000001</v>
      </c>
      <c r="J11" s="1">
        <v>10886.8</v>
      </c>
    </row>
    <row r="12" spans="1:10">
      <c r="A12" s="2">
        <v>43481</v>
      </c>
      <c r="B12" s="1">
        <v>502.79</v>
      </c>
      <c r="C12" s="1">
        <v>1525.85</v>
      </c>
      <c r="D12" s="1">
        <v>489.74</v>
      </c>
      <c r="E12" s="1">
        <v>600.16999999999996</v>
      </c>
      <c r="F12" s="1">
        <v>204.39</v>
      </c>
      <c r="G12" s="1">
        <v>6780.34</v>
      </c>
      <c r="H12" s="1">
        <v>420.47</v>
      </c>
      <c r="I12" s="1">
        <v>1194.25</v>
      </c>
      <c r="J12" s="1">
        <v>10890.3</v>
      </c>
    </row>
    <row r="13" spans="1:10">
      <c r="A13" s="2">
        <v>43482</v>
      </c>
      <c r="B13" s="1">
        <v>502.15</v>
      </c>
      <c r="C13" s="1">
        <v>1548.87</v>
      </c>
      <c r="D13" s="1">
        <v>492.54</v>
      </c>
      <c r="E13" s="1">
        <v>597.36</v>
      </c>
      <c r="F13" s="1">
        <v>204.32</v>
      </c>
      <c r="G13" s="1">
        <v>6804.45</v>
      </c>
      <c r="H13" s="1">
        <v>395.22</v>
      </c>
      <c r="I13" s="1">
        <v>1197.72</v>
      </c>
      <c r="J13" s="1">
        <v>10905.2</v>
      </c>
    </row>
    <row r="14" spans="1:10">
      <c r="A14" s="2">
        <v>43483</v>
      </c>
      <c r="B14" s="1">
        <v>524.24</v>
      </c>
      <c r="C14" s="1">
        <v>1554.06</v>
      </c>
      <c r="D14" s="1">
        <v>492.06</v>
      </c>
      <c r="E14" s="1">
        <v>595.41</v>
      </c>
      <c r="F14" s="1">
        <v>202.58</v>
      </c>
      <c r="G14" s="1">
        <v>6824.58</v>
      </c>
      <c r="H14" s="1">
        <v>362.05</v>
      </c>
      <c r="I14" s="1">
        <v>1172.67</v>
      </c>
      <c r="J14" s="1">
        <v>10906.95</v>
      </c>
    </row>
    <row r="15" spans="1:10">
      <c r="A15" s="2">
        <v>43486</v>
      </c>
      <c r="B15" s="1">
        <v>547.85</v>
      </c>
      <c r="C15" s="1">
        <v>1560.64</v>
      </c>
      <c r="D15" s="1">
        <v>496.2</v>
      </c>
      <c r="E15" s="1">
        <v>606.85</v>
      </c>
      <c r="F15" s="1">
        <v>201.51</v>
      </c>
      <c r="G15" s="1">
        <v>6685.87</v>
      </c>
      <c r="H15" s="1">
        <v>369.04</v>
      </c>
      <c r="I15" s="1">
        <v>1169.69</v>
      </c>
      <c r="J15" s="1">
        <v>10961.85</v>
      </c>
    </row>
    <row r="16" spans="1:10">
      <c r="A16" s="2">
        <v>43487</v>
      </c>
      <c r="B16" s="1">
        <v>546.72</v>
      </c>
      <c r="C16" s="1">
        <v>1555.08</v>
      </c>
      <c r="D16" s="1">
        <v>493.36</v>
      </c>
      <c r="E16" s="1">
        <v>607.14</v>
      </c>
      <c r="F16" s="1">
        <v>201.4</v>
      </c>
      <c r="G16" s="1">
        <v>6556.44</v>
      </c>
      <c r="H16" s="1">
        <v>388.18</v>
      </c>
      <c r="I16" s="1">
        <v>1157.77</v>
      </c>
      <c r="J16" s="1">
        <v>10922.75</v>
      </c>
    </row>
    <row r="17" spans="1:10">
      <c r="A17" s="2">
        <v>43488</v>
      </c>
      <c r="B17" s="1">
        <v>542.80999999999995</v>
      </c>
      <c r="C17" s="1">
        <v>1533.58</v>
      </c>
      <c r="D17" s="1">
        <v>486.32</v>
      </c>
      <c r="E17" s="1">
        <v>595.98</v>
      </c>
      <c r="F17" s="1">
        <v>192.75</v>
      </c>
      <c r="G17" s="1">
        <v>6534.69</v>
      </c>
      <c r="H17" s="1">
        <v>399.34</v>
      </c>
      <c r="I17" s="1">
        <v>1158.03</v>
      </c>
      <c r="J17" s="1">
        <v>10831.5</v>
      </c>
    </row>
    <row r="18" spans="1:10">
      <c r="A18" s="2">
        <v>43489</v>
      </c>
      <c r="B18" s="1">
        <v>552.16999999999996</v>
      </c>
      <c r="C18" s="1">
        <v>1554.79</v>
      </c>
      <c r="D18" s="1">
        <v>485.6</v>
      </c>
      <c r="E18" s="1">
        <v>599.54</v>
      </c>
      <c r="F18" s="1">
        <v>193.86</v>
      </c>
      <c r="G18" s="1">
        <v>6530.24</v>
      </c>
      <c r="H18" s="1">
        <v>391.93</v>
      </c>
      <c r="I18" s="1">
        <v>1152.6099999999999</v>
      </c>
      <c r="J18" s="1">
        <v>10849.8</v>
      </c>
    </row>
    <row r="19" spans="1:10">
      <c r="A19" s="2">
        <v>43490</v>
      </c>
      <c r="B19" s="1">
        <v>551.53</v>
      </c>
      <c r="C19" s="1">
        <v>1570.53</v>
      </c>
      <c r="D19" s="1">
        <v>484.15</v>
      </c>
      <c r="E19" s="1">
        <v>598.19000000000005</v>
      </c>
      <c r="F19" s="1">
        <v>194.07</v>
      </c>
      <c r="G19" s="1">
        <v>6041.25</v>
      </c>
      <c r="H19" s="1">
        <v>391.37</v>
      </c>
      <c r="I19" s="1">
        <v>1143.8</v>
      </c>
      <c r="J19" s="1">
        <v>10780.55</v>
      </c>
    </row>
    <row r="20" spans="1:10">
      <c r="A20" s="2">
        <v>43493</v>
      </c>
      <c r="B20" s="1">
        <v>544.24</v>
      </c>
      <c r="C20" s="1">
        <v>1598.5</v>
      </c>
      <c r="D20" s="1">
        <v>481.41</v>
      </c>
      <c r="E20" s="1">
        <v>596.22</v>
      </c>
      <c r="F20" s="1">
        <v>190.98</v>
      </c>
      <c r="G20" s="1">
        <v>6039.07</v>
      </c>
      <c r="H20" s="1">
        <v>381.5</v>
      </c>
      <c r="I20" s="1">
        <v>1157.1400000000001</v>
      </c>
      <c r="J20" s="1">
        <v>10661.55</v>
      </c>
    </row>
    <row r="21" spans="1:10">
      <c r="A21" s="2">
        <v>43494</v>
      </c>
      <c r="B21" s="1">
        <v>535.88</v>
      </c>
      <c r="C21" s="1">
        <v>1621.19</v>
      </c>
      <c r="D21" s="1">
        <v>475.28</v>
      </c>
      <c r="E21" s="1">
        <v>596.17999999999995</v>
      </c>
      <c r="F21" s="1">
        <v>193.55</v>
      </c>
      <c r="G21" s="1">
        <v>6053.82</v>
      </c>
      <c r="H21" s="1">
        <v>391.37</v>
      </c>
      <c r="I21" s="1">
        <v>1137.21</v>
      </c>
      <c r="J21" s="1">
        <v>10652.2</v>
      </c>
    </row>
    <row r="22" spans="1:10">
      <c r="A22" s="2">
        <v>43495</v>
      </c>
      <c r="B22" s="1">
        <v>529.26</v>
      </c>
      <c r="C22" s="1">
        <v>1620.08</v>
      </c>
      <c r="D22" s="1">
        <v>469.99</v>
      </c>
      <c r="E22" s="1">
        <v>594.54</v>
      </c>
      <c r="F22" s="1">
        <v>191.5</v>
      </c>
      <c r="G22" s="1">
        <v>6073.57</v>
      </c>
      <c r="H22" s="1">
        <v>387.25</v>
      </c>
      <c r="I22" s="1">
        <v>1151.81</v>
      </c>
      <c r="J22" s="1">
        <v>10651.8</v>
      </c>
    </row>
    <row r="23" spans="1:10">
      <c r="A23" s="2">
        <v>43496</v>
      </c>
      <c r="B23" s="1">
        <v>543.17999999999995</v>
      </c>
      <c r="C23" s="1">
        <v>1646.82</v>
      </c>
      <c r="D23" s="1">
        <v>480.44</v>
      </c>
      <c r="E23" s="1">
        <v>613.91</v>
      </c>
      <c r="F23" s="1">
        <v>193.69</v>
      </c>
      <c r="G23" s="1">
        <v>6159.74</v>
      </c>
      <c r="H23" s="1">
        <v>392.35</v>
      </c>
      <c r="I23" s="1">
        <v>1169.47</v>
      </c>
      <c r="J23" s="1">
        <v>10830.95</v>
      </c>
    </row>
    <row r="24" spans="1:10">
      <c r="A24" s="2">
        <v>43497</v>
      </c>
      <c r="B24" s="1">
        <v>553.27</v>
      </c>
      <c r="C24" s="1">
        <v>1659.78</v>
      </c>
      <c r="D24" s="1">
        <v>482.87</v>
      </c>
      <c r="E24" s="1">
        <v>620.05999999999995</v>
      </c>
      <c r="F24" s="1">
        <v>195.22</v>
      </c>
      <c r="G24" s="1">
        <v>6457.61</v>
      </c>
      <c r="H24" s="1">
        <v>392.16</v>
      </c>
      <c r="I24" s="1">
        <v>1178.6300000000001</v>
      </c>
      <c r="J24" s="1">
        <v>10893.65</v>
      </c>
    </row>
    <row r="25" spans="1:10">
      <c r="A25" s="2">
        <v>43500</v>
      </c>
      <c r="B25" s="1">
        <v>571.4</v>
      </c>
      <c r="C25" s="1">
        <v>1676.38</v>
      </c>
      <c r="D25" s="1">
        <v>486.21</v>
      </c>
      <c r="E25" s="1">
        <v>619.11</v>
      </c>
      <c r="F25" s="1">
        <v>192.61</v>
      </c>
      <c r="G25" s="1">
        <v>6481.63</v>
      </c>
      <c r="H25" s="1">
        <v>384.33</v>
      </c>
      <c r="I25" s="1">
        <v>1163.33</v>
      </c>
      <c r="J25" s="1">
        <v>10912.25</v>
      </c>
    </row>
    <row r="26" spans="1:10">
      <c r="A26" s="2">
        <v>43501</v>
      </c>
      <c r="B26" s="1">
        <v>571.69000000000005</v>
      </c>
      <c r="C26" s="1">
        <v>1671.72</v>
      </c>
      <c r="D26" s="1">
        <v>488.32</v>
      </c>
      <c r="E26" s="1">
        <v>618.25</v>
      </c>
      <c r="F26" s="1">
        <v>190.56</v>
      </c>
      <c r="G26" s="1">
        <v>6579.39</v>
      </c>
      <c r="H26" s="1">
        <v>379.79</v>
      </c>
      <c r="I26" s="1">
        <v>1160.8399999999999</v>
      </c>
      <c r="J26" s="1">
        <v>10934.35</v>
      </c>
    </row>
    <row r="27" spans="1:10">
      <c r="A27" s="2">
        <v>43502</v>
      </c>
      <c r="B27" s="1">
        <v>579.97</v>
      </c>
      <c r="C27" s="1">
        <v>1696.45</v>
      </c>
      <c r="D27" s="1">
        <v>490.31</v>
      </c>
      <c r="E27" s="1">
        <v>625.16999999999996</v>
      </c>
      <c r="F27" s="1">
        <v>193.03</v>
      </c>
      <c r="G27" s="1">
        <v>6662.68</v>
      </c>
      <c r="H27" s="1">
        <v>386</v>
      </c>
      <c r="I27" s="1">
        <v>1169.56</v>
      </c>
      <c r="J27" s="1">
        <v>11062.45</v>
      </c>
    </row>
    <row r="28" spans="1:10">
      <c r="A28" s="2">
        <v>43503</v>
      </c>
      <c r="B28" s="1">
        <v>571.17999999999995</v>
      </c>
      <c r="C28" s="1">
        <v>1703.07</v>
      </c>
      <c r="D28" s="1">
        <v>489.06</v>
      </c>
      <c r="E28" s="1">
        <v>625.75</v>
      </c>
      <c r="F28" s="1">
        <v>194.83</v>
      </c>
      <c r="G28" s="1">
        <v>6773.2</v>
      </c>
      <c r="H28" s="1">
        <v>402.95</v>
      </c>
      <c r="I28" s="1">
        <v>1153.23</v>
      </c>
      <c r="J28" s="1">
        <v>11069.4</v>
      </c>
    </row>
    <row r="29" spans="1:10">
      <c r="A29" s="2">
        <v>43504</v>
      </c>
      <c r="B29" s="1">
        <v>565.55999999999995</v>
      </c>
      <c r="C29" s="1">
        <v>1685.49</v>
      </c>
      <c r="D29" s="1">
        <v>490.31</v>
      </c>
      <c r="E29" s="1">
        <v>623.21</v>
      </c>
      <c r="F29" s="1">
        <v>191.5</v>
      </c>
      <c r="G29" s="1">
        <v>6617.1</v>
      </c>
      <c r="H29" s="1">
        <v>399.39</v>
      </c>
      <c r="I29" s="1">
        <v>1122.71</v>
      </c>
      <c r="J29" s="1">
        <v>10943.6</v>
      </c>
    </row>
    <row r="30" spans="1:10">
      <c r="A30" s="2">
        <v>43507</v>
      </c>
      <c r="B30" s="1">
        <v>554.74</v>
      </c>
      <c r="C30" s="1">
        <v>1689.17</v>
      </c>
      <c r="D30" s="1">
        <v>494.23</v>
      </c>
      <c r="E30" s="1">
        <v>624.77</v>
      </c>
      <c r="F30" s="1">
        <v>192.61</v>
      </c>
      <c r="G30" s="1">
        <v>6657.58</v>
      </c>
      <c r="H30" s="1">
        <v>397.07</v>
      </c>
      <c r="I30" s="1">
        <v>1109.1400000000001</v>
      </c>
      <c r="J30" s="1">
        <v>10888.8</v>
      </c>
    </row>
    <row r="31" spans="1:10">
      <c r="A31" s="2">
        <v>43508</v>
      </c>
      <c r="B31" s="1">
        <v>556.13</v>
      </c>
      <c r="C31" s="1">
        <v>1677.48</v>
      </c>
      <c r="D31" s="1">
        <v>491.94</v>
      </c>
      <c r="E31" s="1">
        <v>614.65</v>
      </c>
      <c r="F31" s="1">
        <v>191.36</v>
      </c>
      <c r="G31" s="1">
        <v>6643.3</v>
      </c>
      <c r="H31" s="1">
        <v>404.53</v>
      </c>
      <c r="I31" s="1">
        <v>1109.45</v>
      </c>
      <c r="J31" s="1">
        <v>10831.4</v>
      </c>
    </row>
    <row r="32" spans="1:10">
      <c r="A32" s="2">
        <v>43510</v>
      </c>
      <c r="B32" s="1">
        <v>541.88</v>
      </c>
      <c r="C32" s="1">
        <v>1671.76</v>
      </c>
      <c r="D32" s="1">
        <v>487.43</v>
      </c>
      <c r="E32" s="1">
        <v>606.13</v>
      </c>
      <c r="F32" s="1">
        <v>193.17</v>
      </c>
      <c r="G32" s="1">
        <v>6508.81</v>
      </c>
      <c r="H32" s="1">
        <v>408.51</v>
      </c>
      <c r="I32" s="1">
        <v>1092.32</v>
      </c>
      <c r="J32" s="1">
        <v>10746.05</v>
      </c>
    </row>
    <row r="33" spans="1:10">
      <c r="A33" s="2">
        <v>43511</v>
      </c>
      <c r="B33" s="1">
        <v>550.84</v>
      </c>
      <c r="C33" s="1">
        <v>1659.58</v>
      </c>
      <c r="D33" s="1">
        <v>485.23</v>
      </c>
      <c r="E33" s="1">
        <v>607.69000000000005</v>
      </c>
      <c r="F33" s="1">
        <v>194.7</v>
      </c>
      <c r="G33" s="1">
        <v>6427.7</v>
      </c>
      <c r="H33" s="1">
        <v>391.84</v>
      </c>
      <c r="I33" s="1">
        <v>1106.1099999999999</v>
      </c>
      <c r="J33" s="1">
        <v>10724.4</v>
      </c>
    </row>
    <row r="34" spans="1:10">
      <c r="A34" s="2">
        <v>43514</v>
      </c>
      <c r="B34" s="1">
        <v>540.05999999999995</v>
      </c>
      <c r="C34" s="1">
        <v>1611.01</v>
      </c>
      <c r="D34" s="1">
        <v>482.74</v>
      </c>
      <c r="E34" s="1">
        <v>606.95000000000005</v>
      </c>
      <c r="F34" s="1">
        <v>190.94</v>
      </c>
      <c r="G34" s="1">
        <v>6346.68</v>
      </c>
      <c r="H34" s="1">
        <v>384.19</v>
      </c>
      <c r="I34" s="1">
        <v>1107.3599999999999</v>
      </c>
      <c r="J34" s="1">
        <v>10640.95</v>
      </c>
    </row>
    <row r="35" spans="1:10">
      <c r="A35" s="2">
        <v>43515</v>
      </c>
      <c r="B35" s="1">
        <v>538.29</v>
      </c>
      <c r="C35" s="1">
        <v>1557.45</v>
      </c>
      <c r="D35" s="1">
        <v>481.39</v>
      </c>
      <c r="E35" s="1">
        <v>593.23</v>
      </c>
      <c r="F35" s="1">
        <v>191.78</v>
      </c>
      <c r="G35" s="1">
        <v>6311.3</v>
      </c>
      <c r="H35" s="1">
        <v>383.26</v>
      </c>
      <c r="I35" s="1">
        <v>1119.6400000000001</v>
      </c>
      <c r="J35" s="1">
        <v>10604.35</v>
      </c>
    </row>
    <row r="36" spans="1:10">
      <c r="A36" s="2">
        <v>43516</v>
      </c>
      <c r="B36" s="1">
        <v>546.37</v>
      </c>
      <c r="C36" s="1">
        <v>1565.59</v>
      </c>
      <c r="D36" s="1">
        <v>487</v>
      </c>
      <c r="E36" s="1">
        <v>606.66</v>
      </c>
      <c r="F36" s="1">
        <v>191.74</v>
      </c>
      <c r="G36" s="1">
        <v>6353.36</v>
      </c>
      <c r="H36" s="1">
        <v>391.33</v>
      </c>
      <c r="I36" s="1">
        <v>1135.8800000000001</v>
      </c>
      <c r="J36" s="1">
        <v>10735.45</v>
      </c>
    </row>
    <row r="37" spans="1:10">
      <c r="A37" s="2">
        <v>43517</v>
      </c>
      <c r="B37" s="1">
        <v>551.91999999999996</v>
      </c>
      <c r="C37" s="1">
        <v>1565.14</v>
      </c>
      <c r="D37" s="1">
        <v>488.75</v>
      </c>
      <c r="E37" s="1">
        <v>600.73</v>
      </c>
      <c r="F37" s="1">
        <v>191.19</v>
      </c>
      <c r="G37" s="1">
        <v>6308.51</v>
      </c>
      <c r="H37" s="1">
        <v>398.14</v>
      </c>
      <c r="I37" s="1">
        <v>1142.5999999999999</v>
      </c>
      <c r="J37" s="1">
        <v>10789.85</v>
      </c>
    </row>
    <row r="38" spans="1:10">
      <c r="A38" s="2">
        <v>43518</v>
      </c>
      <c r="B38" s="1">
        <v>545.48</v>
      </c>
      <c r="C38" s="1">
        <v>1574.5</v>
      </c>
      <c r="D38" s="1">
        <v>483.1</v>
      </c>
      <c r="E38" s="1">
        <v>601.95000000000005</v>
      </c>
      <c r="F38" s="1">
        <v>190.66</v>
      </c>
      <c r="G38" s="1">
        <v>6411.33</v>
      </c>
      <c r="H38" s="1">
        <v>398.88</v>
      </c>
      <c r="I38" s="1">
        <v>1139.26</v>
      </c>
      <c r="J38" s="1">
        <v>10791.65</v>
      </c>
    </row>
    <row r="39" spans="1:10">
      <c r="A39" s="2">
        <v>43521</v>
      </c>
      <c r="B39" s="1">
        <v>545.46</v>
      </c>
      <c r="C39" s="1">
        <v>1623.15</v>
      </c>
      <c r="D39" s="1">
        <v>490.94</v>
      </c>
      <c r="E39" s="1">
        <v>618.29</v>
      </c>
      <c r="F39" s="1">
        <v>192.33</v>
      </c>
      <c r="G39" s="1">
        <v>6422.92</v>
      </c>
      <c r="H39" s="1">
        <v>404.07</v>
      </c>
      <c r="I39" s="1">
        <v>1135.25</v>
      </c>
      <c r="J39" s="1">
        <v>10880.1</v>
      </c>
    </row>
    <row r="40" spans="1:10">
      <c r="A40" s="2">
        <v>43522</v>
      </c>
      <c r="B40" s="1">
        <v>540.13</v>
      </c>
      <c r="C40" s="1">
        <v>1666.93</v>
      </c>
      <c r="D40" s="1">
        <v>487.54</v>
      </c>
      <c r="E40" s="1">
        <v>608.14</v>
      </c>
      <c r="F40" s="1">
        <v>191.5</v>
      </c>
      <c r="G40" s="1">
        <v>6403.82</v>
      </c>
      <c r="H40" s="1">
        <v>403.74</v>
      </c>
      <c r="I40" s="1">
        <v>1126.3599999999999</v>
      </c>
      <c r="J40" s="1">
        <v>10835.3</v>
      </c>
    </row>
    <row r="41" spans="1:10">
      <c r="A41" s="2">
        <v>43523</v>
      </c>
      <c r="B41" s="1">
        <v>541.57000000000005</v>
      </c>
      <c r="C41" s="1">
        <v>1682.8</v>
      </c>
      <c r="D41" s="1">
        <v>483.29</v>
      </c>
      <c r="E41" s="1">
        <v>602.20000000000005</v>
      </c>
      <c r="F41" s="1">
        <v>191.22</v>
      </c>
      <c r="G41" s="1">
        <v>6463.36</v>
      </c>
      <c r="H41" s="1">
        <v>410.18</v>
      </c>
      <c r="I41" s="1">
        <v>1143.1300000000001</v>
      </c>
      <c r="J41" s="1">
        <v>10806.65</v>
      </c>
    </row>
    <row r="42" spans="1:10">
      <c r="A42" s="2">
        <v>43524</v>
      </c>
      <c r="B42" s="1">
        <v>544.91</v>
      </c>
      <c r="C42" s="1">
        <v>1621.76</v>
      </c>
      <c r="D42" s="1">
        <v>479.89</v>
      </c>
      <c r="E42" s="1">
        <v>601.41999999999996</v>
      </c>
      <c r="F42" s="1">
        <v>191.88</v>
      </c>
      <c r="G42" s="1">
        <v>6334.62</v>
      </c>
      <c r="H42" s="1">
        <v>412.45</v>
      </c>
      <c r="I42" s="1">
        <v>1150.47</v>
      </c>
      <c r="J42" s="1">
        <v>10792.5</v>
      </c>
    </row>
    <row r="43" spans="1:10">
      <c r="A43" s="2">
        <v>43525</v>
      </c>
      <c r="B43" s="1">
        <v>542.70000000000005</v>
      </c>
      <c r="C43" s="1">
        <v>1631.53</v>
      </c>
      <c r="D43" s="1">
        <v>481.23</v>
      </c>
      <c r="E43" s="1">
        <v>607.65</v>
      </c>
      <c r="F43" s="1">
        <v>193.37</v>
      </c>
      <c r="G43" s="1">
        <v>6432.43</v>
      </c>
      <c r="H43" s="1">
        <v>414.49</v>
      </c>
      <c r="I43" s="1">
        <v>1164.3499999999999</v>
      </c>
      <c r="J43" s="1">
        <v>10863.5</v>
      </c>
    </row>
    <row r="44" spans="1:10">
      <c r="A44" s="2">
        <v>43529</v>
      </c>
      <c r="B44" s="1">
        <v>547.83000000000004</v>
      </c>
      <c r="C44" s="1">
        <v>1625.56</v>
      </c>
      <c r="D44" s="1">
        <v>486.72</v>
      </c>
      <c r="E44" s="1">
        <v>599.95000000000005</v>
      </c>
      <c r="F44" s="1">
        <v>196.4</v>
      </c>
      <c r="G44" s="1">
        <v>6601.79</v>
      </c>
      <c r="H44" s="1">
        <v>422.41</v>
      </c>
      <c r="I44" s="1">
        <v>1161.9000000000001</v>
      </c>
      <c r="J44" s="1">
        <v>10987.45</v>
      </c>
    </row>
    <row r="45" spans="1:10">
      <c r="A45" s="2">
        <v>43530</v>
      </c>
      <c r="B45" s="1">
        <v>559.85</v>
      </c>
      <c r="C45" s="1">
        <v>1634.96</v>
      </c>
      <c r="D45" s="1">
        <v>486.06</v>
      </c>
      <c r="E45" s="1">
        <v>599.95000000000005</v>
      </c>
      <c r="F45" s="1">
        <v>198.62</v>
      </c>
      <c r="G45" s="1">
        <v>6545.35</v>
      </c>
      <c r="H45" s="1">
        <v>426.72</v>
      </c>
      <c r="I45" s="1">
        <v>1171.8699999999999</v>
      </c>
      <c r="J45" s="1">
        <v>11053</v>
      </c>
    </row>
    <row r="46" spans="1:10">
      <c r="A46" s="2">
        <v>43531</v>
      </c>
      <c r="B46" s="1">
        <v>562.26</v>
      </c>
      <c r="C46" s="1">
        <v>1646.17</v>
      </c>
      <c r="D46" s="1">
        <v>491.2</v>
      </c>
      <c r="E46" s="1">
        <v>592.13</v>
      </c>
      <c r="F46" s="1">
        <v>201.65</v>
      </c>
      <c r="G46" s="1">
        <v>6519.52</v>
      </c>
      <c r="H46" s="1">
        <v>417.78</v>
      </c>
      <c r="I46" s="1">
        <v>1203.3699999999999</v>
      </c>
      <c r="J46" s="1">
        <v>11058.2</v>
      </c>
    </row>
    <row r="47" spans="1:10">
      <c r="A47" s="2">
        <v>43532</v>
      </c>
      <c r="B47" s="1">
        <v>560.87</v>
      </c>
      <c r="C47" s="1">
        <v>1653.85</v>
      </c>
      <c r="D47" s="1">
        <v>491.59</v>
      </c>
      <c r="E47" s="1">
        <v>583.44000000000005</v>
      </c>
      <c r="F47" s="1">
        <v>202.97</v>
      </c>
      <c r="G47" s="1">
        <v>6462.62</v>
      </c>
      <c r="H47" s="1">
        <v>421.53</v>
      </c>
      <c r="I47" s="1">
        <v>1191.8</v>
      </c>
      <c r="J47" s="1">
        <v>11035.4</v>
      </c>
    </row>
    <row r="48" spans="1:10">
      <c r="A48" s="2">
        <v>43535</v>
      </c>
      <c r="B48" s="1">
        <v>577.24</v>
      </c>
      <c r="C48" s="1">
        <v>1647.39</v>
      </c>
      <c r="D48" s="1">
        <v>491.65</v>
      </c>
      <c r="E48" s="1">
        <v>582.54</v>
      </c>
      <c r="F48" s="1">
        <v>203.63</v>
      </c>
      <c r="G48" s="1">
        <v>6568.54</v>
      </c>
      <c r="H48" s="1">
        <v>425.7</v>
      </c>
      <c r="I48" s="1">
        <v>1198.1600000000001</v>
      </c>
      <c r="J48" s="1">
        <v>11168.05</v>
      </c>
    </row>
    <row r="49" spans="1:10">
      <c r="A49" s="2">
        <v>43536</v>
      </c>
      <c r="B49" s="1">
        <v>589.30999999999995</v>
      </c>
      <c r="C49" s="1">
        <v>1645.47</v>
      </c>
      <c r="D49" s="1">
        <v>501.48</v>
      </c>
      <c r="E49" s="1">
        <v>579.02</v>
      </c>
      <c r="F49" s="1">
        <v>204.7</v>
      </c>
      <c r="G49" s="1">
        <v>6638.38</v>
      </c>
      <c r="H49" s="1">
        <v>435.75</v>
      </c>
      <c r="I49" s="1">
        <v>1235.8499999999999</v>
      </c>
      <c r="J49" s="1">
        <v>11301.2</v>
      </c>
    </row>
    <row r="50" spans="1:10">
      <c r="A50" s="2">
        <v>43537</v>
      </c>
      <c r="B50" s="1">
        <v>596.37</v>
      </c>
      <c r="C50" s="1">
        <v>1635.7</v>
      </c>
      <c r="D50" s="1">
        <v>514.30999999999995</v>
      </c>
      <c r="E50" s="1">
        <v>580.25</v>
      </c>
      <c r="F50" s="1">
        <v>204.98</v>
      </c>
      <c r="G50" s="1">
        <v>6577.03</v>
      </c>
      <c r="H50" s="1">
        <v>422.97</v>
      </c>
      <c r="I50" s="1">
        <v>1226.68</v>
      </c>
      <c r="J50" s="1">
        <v>11341.7</v>
      </c>
    </row>
    <row r="51" spans="1:10">
      <c r="A51" s="2">
        <v>43538</v>
      </c>
      <c r="B51" s="1">
        <v>593.82000000000005</v>
      </c>
      <c r="C51" s="1">
        <v>1624.99</v>
      </c>
      <c r="D51" s="1">
        <v>513.89</v>
      </c>
      <c r="E51" s="1">
        <v>580.16999999999996</v>
      </c>
      <c r="F51" s="1">
        <v>205.4</v>
      </c>
      <c r="G51" s="1">
        <v>6572.62</v>
      </c>
      <c r="H51" s="1">
        <v>431.91</v>
      </c>
      <c r="I51" s="1">
        <v>1227.71</v>
      </c>
      <c r="J51" s="1">
        <v>11343.25</v>
      </c>
    </row>
    <row r="52" spans="1:10">
      <c r="A52" s="2">
        <v>43539</v>
      </c>
      <c r="B52" s="1">
        <v>585.01</v>
      </c>
      <c r="C52" s="1">
        <v>1667.96</v>
      </c>
      <c r="D52" s="1">
        <v>520.41999999999996</v>
      </c>
      <c r="E52" s="1">
        <v>588.52</v>
      </c>
      <c r="F52" s="1">
        <v>202.13</v>
      </c>
      <c r="G52" s="1">
        <v>6570.49</v>
      </c>
      <c r="H52" s="1">
        <v>430.24</v>
      </c>
      <c r="I52" s="1">
        <v>1242.6099999999999</v>
      </c>
      <c r="J52" s="1">
        <v>11426.85</v>
      </c>
    </row>
    <row r="53" spans="1:10">
      <c r="A53" s="2">
        <v>43542</v>
      </c>
      <c r="B53" s="1">
        <v>597.58000000000004</v>
      </c>
      <c r="C53" s="1">
        <v>1653.93</v>
      </c>
      <c r="D53" s="1">
        <v>522.37</v>
      </c>
      <c r="E53" s="1">
        <v>581.67999999999995</v>
      </c>
      <c r="F53" s="1">
        <v>204.04</v>
      </c>
      <c r="G53" s="1">
        <v>6394.26</v>
      </c>
      <c r="H53" s="1">
        <v>430.75</v>
      </c>
      <c r="I53" s="1">
        <v>1226.95</v>
      </c>
      <c r="J53" s="1">
        <v>11462.2</v>
      </c>
    </row>
    <row r="54" spans="1:10">
      <c r="A54" s="2">
        <v>43543</v>
      </c>
      <c r="B54" s="1">
        <v>609.30999999999995</v>
      </c>
      <c r="C54" s="1">
        <v>1653.93</v>
      </c>
      <c r="D54" s="1">
        <v>523.82000000000005</v>
      </c>
      <c r="E54" s="1">
        <v>591.54999999999995</v>
      </c>
      <c r="F54" s="1">
        <v>208.15</v>
      </c>
      <c r="G54" s="1">
        <v>6330.45</v>
      </c>
      <c r="H54" s="1">
        <v>434.5</v>
      </c>
      <c r="I54" s="1">
        <v>1208.31</v>
      </c>
      <c r="J54" s="1">
        <v>11532.4</v>
      </c>
    </row>
    <row r="55" spans="1:10">
      <c r="A55" s="2">
        <v>43544</v>
      </c>
      <c r="B55" s="1">
        <v>608.83000000000004</v>
      </c>
      <c r="C55" s="1">
        <v>1647.6</v>
      </c>
      <c r="D55" s="1">
        <v>531.04</v>
      </c>
      <c r="E55" s="1">
        <v>605.23</v>
      </c>
      <c r="F55" s="1">
        <v>207.76</v>
      </c>
      <c r="G55" s="1">
        <v>6189.79</v>
      </c>
      <c r="H55" s="1">
        <v>439.88</v>
      </c>
      <c r="I55" s="1">
        <v>1219.83</v>
      </c>
      <c r="J55" s="1">
        <v>11521.05</v>
      </c>
    </row>
    <row r="56" spans="1:10">
      <c r="A56" s="2">
        <v>43546</v>
      </c>
      <c r="B56" s="1">
        <v>593.91</v>
      </c>
      <c r="C56" s="1">
        <v>1639.91</v>
      </c>
      <c r="D56" s="1">
        <v>525.76</v>
      </c>
      <c r="E56" s="1">
        <v>608.63</v>
      </c>
      <c r="F56" s="1">
        <v>207.28</v>
      </c>
      <c r="G56" s="1">
        <v>6077.7</v>
      </c>
      <c r="H56" s="1">
        <v>438.49</v>
      </c>
      <c r="I56" s="1">
        <v>1241.01</v>
      </c>
      <c r="J56" s="1">
        <v>11456.9</v>
      </c>
    </row>
    <row r="57" spans="1:10">
      <c r="A57" s="2">
        <v>43549</v>
      </c>
      <c r="B57" s="1">
        <v>586.25</v>
      </c>
      <c r="C57" s="1">
        <v>1622.41</v>
      </c>
      <c r="D57" s="1">
        <v>526.95000000000005</v>
      </c>
      <c r="E57" s="1">
        <v>602.20000000000005</v>
      </c>
      <c r="F57" s="1">
        <v>205.09</v>
      </c>
      <c r="G57" s="1">
        <v>6049.78</v>
      </c>
      <c r="H57" s="1">
        <v>430.52</v>
      </c>
      <c r="I57" s="1">
        <v>1225.04</v>
      </c>
      <c r="J57" s="1">
        <v>11354.25</v>
      </c>
    </row>
    <row r="58" spans="1:10">
      <c r="A58" s="2">
        <v>43550</v>
      </c>
      <c r="B58" s="1">
        <v>605.20000000000005</v>
      </c>
      <c r="C58" s="1">
        <v>1621.11</v>
      </c>
      <c r="D58" s="1">
        <v>533.89</v>
      </c>
      <c r="E58" s="1">
        <v>596.05999999999995</v>
      </c>
      <c r="F58" s="1">
        <v>203.94</v>
      </c>
      <c r="G58" s="1">
        <v>6108.31</v>
      </c>
      <c r="H58" s="1">
        <v>435.29</v>
      </c>
      <c r="I58" s="1">
        <v>1221.52</v>
      </c>
      <c r="J58" s="1">
        <v>11483.25</v>
      </c>
    </row>
    <row r="59" spans="1:10">
      <c r="A59" s="2">
        <v>43551</v>
      </c>
      <c r="B59" s="1">
        <v>597.23</v>
      </c>
      <c r="C59" s="1">
        <v>1609.04</v>
      </c>
      <c r="D59" s="1">
        <v>531.15</v>
      </c>
      <c r="E59" s="1">
        <v>597.65</v>
      </c>
      <c r="F59" s="1">
        <v>203.73</v>
      </c>
      <c r="G59" s="1">
        <v>6045.52</v>
      </c>
      <c r="H59" s="1">
        <v>430.7</v>
      </c>
      <c r="I59" s="1">
        <v>1215.8699999999999</v>
      </c>
      <c r="J59" s="1">
        <v>11445.05</v>
      </c>
    </row>
    <row r="60" spans="1:10">
      <c r="A60" s="2">
        <v>43552</v>
      </c>
      <c r="B60" s="1">
        <v>601.99</v>
      </c>
      <c r="C60" s="1">
        <v>1635.54</v>
      </c>
      <c r="D60" s="1">
        <v>531.91999999999996</v>
      </c>
      <c r="E60" s="1">
        <v>604.29</v>
      </c>
      <c r="F60" s="1">
        <v>208.53</v>
      </c>
      <c r="G60" s="1">
        <v>6118.09</v>
      </c>
      <c r="H60" s="1">
        <v>440.53</v>
      </c>
      <c r="I60" s="1">
        <v>1233.8900000000001</v>
      </c>
      <c r="J60" s="1">
        <v>11570</v>
      </c>
    </row>
    <row r="61" spans="1:10">
      <c r="A61" s="2">
        <v>43556</v>
      </c>
      <c r="B61" s="1">
        <v>616.08000000000004</v>
      </c>
      <c r="C61" s="1">
        <v>1661.17</v>
      </c>
      <c r="D61" s="1">
        <v>534</v>
      </c>
      <c r="E61" s="1">
        <v>618.46</v>
      </c>
      <c r="F61" s="1">
        <v>206.62</v>
      </c>
      <c r="G61" s="1">
        <v>6344.83</v>
      </c>
      <c r="H61" s="1">
        <v>443.68</v>
      </c>
      <c r="I61" s="1">
        <v>1256.58</v>
      </c>
      <c r="J61" s="1">
        <v>11669.15</v>
      </c>
    </row>
    <row r="62" spans="1:10">
      <c r="A62" s="2">
        <v>43557</v>
      </c>
      <c r="B62" s="1">
        <v>615.13</v>
      </c>
      <c r="C62" s="1">
        <v>1700.13</v>
      </c>
      <c r="D62" s="1">
        <v>530.08000000000004</v>
      </c>
      <c r="E62" s="1">
        <v>621.98</v>
      </c>
      <c r="F62" s="1">
        <v>207.07</v>
      </c>
      <c r="G62" s="1">
        <v>6390.27</v>
      </c>
      <c r="H62" s="1">
        <v>435.2</v>
      </c>
      <c r="I62" s="1">
        <v>1254.4000000000001</v>
      </c>
      <c r="J62" s="1">
        <v>11713.2</v>
      </c>
    </row>
    <row r="63" spans="1:10">
      <c r="A63" s="2">
        <v>43558</v>
      </c>
      <c r="B63" s="1">
        <v>608.71</v>
      </c>
      <c r="C63" s="1">
        <v>1700.13</v>
      </c>
      <c r="D63" s="1">
        <v>529.6</v>
      </c>
      <c r="E63" s="1">
        <v>616.98</v>
      </c>
      <c r="F63" s="1">
        <v>205.85</v>
      </c>
      <c r="G63" s="1">
        <v>6560.19</v>
      </c>
      <c r="H63" s="1">
        <v>428.06</v>
      </c>
      <c r="I63" s="1">
        <v>1226.19</v>
      </c>
      <c r="J63" s="1">
        <v>11643.95</v>
      </c>
    </row>
    <row r="64" spans="1:10">
      <c r="A64" s="2">
        <v>43559</v>
      </c>
      <c r="B64" s="1">
        <v>598.91</v>
      </c>
      <c r="C64" s="1">
        <v>1647.15</v>
      </c>
      <c r="D64" s="1">
        <v>527.57000000000005</v>
      </c>
      <c r="E64" s="1">
        <v>612.55999999999995</v>
      </c>
      <c r="F64" s="1">
        <v>204.91</v>
      </c>
      <c r="G64" s="1">
        <v>6597.48</v>
      </c>
      <c r="H64" s="1">
        <v>431.4</v>
      </c>
      <c r="I64" s="1">
        <v>1217.8699999999999</v>
      </c>
      <c r="J64" s="1">
        <v>11598</v>
      </c>
    </row>
    <row r="65" spans="1:10">
      <c r="A65" s="2">
        <v>43560</v>
      </c>
      <c r="B65" s="1">
        <v>599.29</v>
      </c>
      <c r="C65" s="1">
        <v>1674.78</v>
      </c>
      <c r="D65" s="1">
        <v>532.57000000000005</v>
      </c>
      <c r="E65" s="1">
        <v>621.9</v>
      </c>
      <c r="F65" s="1">
        <v>204.74</v>
      </c>
      <c r="G65" s="1">
        <v>6592.47</v>
      </c>
      <c r="H65" s="1">
        <v>429.13</v>
      </c>
      <c r="I65" s="1">
        <v>1222.4100000000001</v>
      </c>
      <c r="J65" s="1">
        <v>11665.95</v>
      </c>
    </row>
    <row r="66" spans="1:10">
      <c r="A66" s="2">
        <v>43563</v>
      </c>
      <c r="B66" s="1">
        <v>588.38</v>
      </c>
      <c r="C66" s="1">
        <v>1693.14</v>
      </c>
      <c r="D66" s="1">
        <v>528.82000000000005</v>
      </c>
      <c r="E66" s="1">
        <v>628.41</v>
      </c>
      <c r="F66" s="1">
        <v>203.49</v>
      </c>
      <c r="G66" s="1">
        <v>6612.64</v>
      </c>
      <c r="H66" s="1">
        <v>428.48</v>
      </c>
      <c r="I66" s="1">
        <v>1222.28</v>
      </c>
      <c r="J66" s="1">
        <v>11604.5</v>
      </c>
    </row>
    <row r="67" spans="1:10">
      <c r="A67" s="2">
        <v>43564</v>
      </c>
      <c r="B67" s="1">
        <v>590.67999999999995</v>
      </c>
      <c r="C67" s="1">
        <v>1710.11</v>
      </c>
      <c r="D67" s="1">
        <v>528.33000000000004</v>
      </c>
      <c r="E67" s="1">
        <v>622.96</v>
      </c>
      <c r="F67" s="1">
        <v>205.96</v>
      </c>
      <c r="G67" s="1">
        <v>6693.43</v>
      </c>
      <c r="H67" s="1">
        <v>436.36</v>
      </c>
      <c r="I67" s="1">
        <v>1223.6600000000001</v>
      </c>
      <c r="J67" s="1">
        <v>11671.95</v>
      </c>
    </row>
    <row r="68" spans="1:10">
      <c r="A68" s="2">
        <v>43565</v>
      </c>
      <c r="B68" s="1">
        <v>589.33000000000004</v>
      </c>
      <c r="C68" s="1">
        <v>1668.2</v>
      </c>
      <c r="D68" s="1">
        <v>516.79999999999995</v>
      </c>
      <c r="E68" s="1">
        <v>616.49</v>
      </c>
      <c r="F68" s="1">
        <v>204.84</v>
      </c>
      <c r="G68" s="1">
        <v>6665.42</v>
      </c>
      <c r="H68" s="1">
        <v>437.28</v>
      </c>
      <c r="I68" s="1">
        <v>1220.4100000000001</v>
      </c>
      <c r="J68" s="1">
        <v>11584.3</v>
      </c>
    </row>
    <row r="69" spans="1:10">
      <c r="A69" s="2">
        <v>43566</v>
      </c>
      <c r="B69" s="1">
        <v>596.14</v>
      </c>
      <c r="C69" s="1">
        <v>1651.24</v>
      </c>
      <c r="D69" s="1">
        <v>521.46</v>
      </c>
      <c r="E69" s="1">
        <v>608.29999999999995</v>
      </c>
      <c r="F69" s="1">
        <v>206.03</v>
      </c>
      <c r="G69" s="1">
        <v>6666.81</v>
      </c>
      <c r="H69" s="1">
        <v>431.35</v>
      </c>
      <c r="I69" s="1">
        <v>1226.1500000000001</v>
      </c>
      <c r="J69" s="1">
        <v>11596.7</v>
      </c>
    </row>
    <row r="70" spans="1:10">
      <c r="A70" s="2">
        <v>43567</v>
      </c>
      <c r="B70" s="1">
        <v>594.51</v>
      </c>
      <c r="C70" s="1">
        <v>1647.15</v>
      </c>
      <c r="D70" s="1">
        <v>523.25</v>
      </c>
      <c r="E70" s="1">
        <v>612.44000000000005</v>
      </c>
      <c r="F70" s="1">
        <v>212.52</v>
      </c>
      <c r="G70" s="1">
        <v>6810.58</v>
      </c>
      <c r="H70" s="1">
        <v>430.89</v>
      </c>
      <c r="I70" s="1">
        <v>1210.93</v>
      </c>
      <c r="J70" s="1">
        <v>11643.45</v>
      </c>
    </row>
    <row r="71" spans="1:10">
      <c r="A71" s="2">
        <v>43570</v>
      </c>
      <c r="B71" s="1">
        <v>593.20000000000005</v>
      </c>
      <c r="C71" s="1">
        <v>1727.93</v>
      </c>
      <c r="D71" s="1">
        <v>528.69000000000005</v>
      </c>
      <c r="E71" s="1">
        <v>595.85</v>
      </c>
      <c r="F71" s="1">
        <v>212.35</v>
      </c>
      <c r="G71" s="1">
        <v>6819.53</v>
      </c>
      <c r="H71" s="1">
        <v>424.96</v>
      </c>
      <c r="I71" s="1">
        <v>1207.3699999999999</v>
      </c>
      <c r="J71" s="1">
        <v>11690.35</v>
      </c>
    </row>
    <row r="72" spans="1:10">
      <c r="A72" s="2">
        <v>43571</v>
      </c>
      <c r="B72" s="1">
        <v>594.79</v>
      </c>
      <c r="C72" s="1">
        <v>1743.06</v>
      </c>
      <c r="D72" s="1">
        <v>532.44000000000005</v>
      </c>
      <c r="E72" s="1">
        <v>593.07000000000005</v>
      </c>
      <c r="F72" s="1">
        <v>213.53</v>
      </c>
      <c r="G72" s="1">
        <v>6917.89</v>
      </c>
      <c r="H72" s="1">
        <v>428.57</v>
      </c>
      <c r="I72" s="1">
        <v>1229.17</v>
      </c>
      <c r="J72" s="1">
        <v>11787.15</v>
      </c>
    </row>
    <row r="73" spans="1:10">
      <c r="A73" s="2">
        <v>43573</v>
      </c>
      <c r="B73" s="1">
        <v>613.47</v>
      </c>
      <c r="C73" s="1">
        <v>1757.98</v>
      </c>
      <c r="D73" s="1">
        <v>529.80999999999995</v>
      </c>
      <c r="E73" s="1">
        <v>587.29</v>
      </c>
      <c r="F73" s="1">
        <v>211.59</v>
      </c>
      <c r="G73" s="1">
        <v>6907.59</v>
      </c>
      <c r="H73" s="1">
        <v>429.18</v>
      </c>
      <c r="I73" s="1">
        <v>1210.75</v>
      </c>
      <c r="J73" s="1">
        <v>11752.8</v>
      </c>
    </row>
    <row r="74" spans="1:10">
      <c r="A74" s="2">
        <v>43577</v>
      </c>
      <c r="B74" s="1">
        <v>595.5</v>
      </c>
      <c r="C74" s="1">
        <v>1767.3</v>
      </c>
      <c r="D74" s="1">
        <v>524.04</v>
      </c>
      <c r="E74" s="1">
        <v>590.57000000000005</v>
      </c>
      <c r="F74" s="1">
        <v>209.78</v>
      </c>
      <c r="G74" s="1">
        <v>6790.54</v>
      </c>
      <c r="H74" s="1">
        <v>421.11</v>
      </c>
      <c r="I74" s="1">
        <v>1210.26</v>
      </c>
      <c r="J74" s="1">
        <v>11594.45</v>
      </c>
    </row>
    <row r="75" spans="1:10">
      <c r="A75" s="2">
        <v>43578</v>
      </c>
      <c r="B75" s="1">
        <v>603.69000000000005</v>
      </c>
      <c r="C75" s="1">
        <v>1762.07</v>
      </c>
      <c r="D75" s="1">
        <v>518.64</v>
      </c>
      <c r="E75" s="1">
        <v>596.42999999999995</v>
      </c>
      <c r="F75" s="1">
        <v>210.89</v>
      </c>
      <c r="G75" s="1">
        <v>6537.93</v>
      </c>
      <c r="H75" s="1">
        <v>434.13</v>
      </c>
      <c r="I75" s="1">
        <v>1199.6300000000001</v>
      </c>
      <c r="J75" s="1">
        <v>11575.95</v>
      </c>
    </row>
    <row r="76" spans="1:10">
      <c r="A76" s="2">
        <v>43579</v>
      </c>
      <c r="B76" s="1">
        <v>615.04</v>
      </c>
      <c r="C76" s="1">
        <v>1785.29</v>
      </c>
      <c r="D76" s="1">
        <v>526.6</v>
      </c>
      <c r="E76" s="1">
        <v>603.17999999999995</v>
      </c>
      <c r="F76" s="1">
        <v>213.01</v>
      </c>
      <c r="G76" s="1">
        <v>6508.07</v>
      </c>
      <c r="H76" s="1">
        <v>434.87</v>
      </c>
      <c r="I76" s="1">
        <v>1210.71</v>
      </c>
      <c r="J76" s="1">
        <v>11726.15</v>
      </c>
    </row>
    <row r="77" spans="1:10">
      <c r="A77" s="2">
        <v>43580</v>
      </c>
      <c r="B77" s="1">
        <v>607.48</v>
      </c>
      <c r="C77" s="1">
        <v>1794.73</v>
      </c>
      <c r="D77" s="1">
        <v>522.83000000000004</v>
      </c>
      <c r="E77" s="1">
        <v>596.71</v>
      </c>
      <c r="F77" s="1">
        <v>211.41</v>
      </c>
      <c r="G77" s="1">
        <v>6404.7</v>
      </c>
      <c r="H77" s="1">
        <v>427.14</v>
      </c>
      <c r="I77" s="1">
        <v>1205.82</v>
      </c>
      <c r="J77" s="1">
        <v>11641.8</v>
      </c>
    </row>
    <row r="78" spans="1:10">
      <c r="A78" s="2">
        <v>43581</v>
      </c>
      <c r="B78" s="1">
        <v>616.51</v>
      </c>
      <c r="C78" s="1">
        <v>1830.34</v>
      </c>
      <c r="D78" s="1">
        <v>526.87</v>
      </c>
      <c r="E78" s="1">
        <v>604.45000000000005</v>
      </c>
      <c r="F78" s="1">
        <v>211.69</v>
      </c>
      <c r="G78" s="1">
        <v>6346.82</v>
      </c>
      <c r="H78" s="1">
        <v>430.01</v>
      </c>
      <c r="I78" s="1">
        <v>1208.53</v>
      </c>
      <c r="J78" s="1">
        <v>11754.65</v>
      </c>
    </row>
    <row r="79" spans="1:10">
      <c r="A79" s="2">
        <v>43585</v>
      </c>
      <c r="B79" s="1">
        <v>616.51</v>
      </c>
      <c r="C79" s="1">
        <v>1848.17</v>
      </c>
      <c r="D79" s="1">
        <v>535.29999999999995</v>
      </c>
      <c r="E79" s="1">
        <v>615.39</v>
      </c>
      <c r="F79" s="1">
        <v>209.47</v>
      </c>
      <c r="G79" s="1">
        <v>6183.16</v>
      </c>
      <c r="H79" s="1">
        <v>424.03</v>
      </c>
      <c r="I79" s="1">
        <v>1199.94</v>
      </c>
      <c r="J79" s="1">
        <v>11748.15</v>
      </c>
    </row>
    <row r="80" spans="1:10">
      <c r="A80" s="2">
        <v>43587</v>
      </c>
      <c r="B80" s="1">
        <v>621.92999999999995</v>
      </c>
      <c r="C80" s="1">
        <v>1811.41</v>
      </c>
      <c r="D80" s="1">
        <v>544.16</v>
      </c>
      <c r="E80" s="1">
        <v>598.55999999999995</v>
      </c>
      <c r="F80" s="1">
        <v>212</v>
      </c>
      <c r="G80" s="1">
        <v>6198.79</v>
      </c>
      <c r="H80" s="1">
        <v>418.98</v>
      </c>
      <c r="I80" s="1">
        <v>1209.02</v>
      </c>
      <c r="J80" s="1">
        <v>11724.75</v>
      </c>
    </row>
    <row r="81" spans="1:10">
      <c r="A81" s="2">
        <v>43588</v>
      </c>
      <c r="B81" s="1">
        <v>623.61</v>
      </c>
      <c r="C81" s="1">
        <v>1743.22</v>
      </c>
      <c r="D81" s="1">
        <v>546.97</v>
      </c>
      <c r="E81" s="1">
        <v>592.66</v>
      </c>
      <c r="F81" s="1">
        <v>211.48</v>
      </c>
      <c r="G81" s="1">
        <v>6223.6</v>
      </c>
      <c r="H81" s="1">
        <v>419.96</v>
      </c>
      <c r="I81" s="1">
        <v>1213.33</v>
      </c>
      <c r="J81" s="1">
        <v>11712.25</v>
      </c>
    </row>
    <row r="82" spans="1:10">
      <c r="A82" s="2">
        <v>43591</v>
      </c>
      <c r="B82" s="1">
        <v>613.01</v>
      </c>
      <c r="C82" s="1">
        <v>1764.36</v>
      </c>
      <c r="D82" s="1">
        <v>537.84</v>
      </c>
      <c r="E82" s="1">
        <v>588.4</v>
      </c>
      <c r="F82" s="1">
        <v>213.39</v>
      </c>
      <c r="G82" s="1">
        <v>6223.27</v>
      </c>
      <c r="H82" s="1">
        <v>419.86</v>
      </c>
      <c r="I82" s="1">
        <v>1203.6400000000001</v>
      </c>
      <c r="J82" s="1">
        <v>11598.25</v>
      </c>
    </row>
    <row r="83" spans="1:10">
      <c r="A83" s="2">
        <v>43592</v>
      </c>
      <c r="B83" s="1">
        <v>594.67999999999995</v>
      </c>
      <c r="C83" s="1">
        <v>1759.53</v>
      </c>
      <c r="D83" s="1">
        <v>536.44000000000005</v>
      </c>
      <c r="E83" s="1">
        <v>593.44000000000005</v>
      </c>
      <c r="F83" s="1">
        <v>209.85</v>
      </c>
      <c r="G83" s="1">
        <v>6216.18</v>
      </c>
      <c r="H83" s="1">
        <v>415.28</v>
      </c>
      <c r="I83" s="1">
        <v>1216</v>
      </c>
      <c r="J83" s="1">
        <v>11497.9</v>
      </c>
    </row>
    <row r="84" spans="1:10">
      <c r="A84" s="2">
        <v>43593</v>
      </c>
      <c r="B84" s="1">
        <v>575.17999999999995</v>
      </c>
      <c r="C84" s="1">
        <v>1760.27</v>
      </c>
      <c r="D84" s="1">
        <v>532.95000000000005</v>
      </c>
      <c r="E84" s="1">
        <v>589.17999999999995</v>
      </c>
      <c r="F84" s="1">
        <v>208.98</v>
      </c>
      <c r="G84" s="1">
        <v>6168.09</v>
      </c>
      <c r="H84" s="1">
        <v>406.89</v>
      </c>
      <c r="I84" s="1">
        <v>1210.44</v>
      </c>
      <c r="J84" s="1">
        <v>11359.45</v>
      </c>
    </row>
    <row r="85" spans="1:10">
      <c r="A85" s="2">
        <v>43594</v>
      </c>
      <c r="B85" s="1">
        <v>556.15</v>
      </c>
      <c r="C85" s="1">
        <v>1776.38</v>
      </c>
      <c r="D85" s="1">
        <v>529.16999999999996</v>
      </c>
      <c r="E85" s="1">
        <v>590.57000000000005</v>
      </c>
      <c r="F85" s="1">
        <v>208.42</v>
      </c>
      <c r="G85" s="1">
        <v>6144.71</v>
      </c>
      <c r="H85" s="1">
        <v>407.08</v>
      </c>
      <c r="I85" s="1">
        <v>1206.97</v>
      </c>
      <c r="J85" s="1">
        <v>11301.8</v>
      </c>
    </row>
    <row r="86" spans="1:10">
      <c r="A86" s="2">
        <v>43595</v>
      </c>
      <c r="B86" s="1">
        <v>553.80999999999995</v>
      </c>
      <c r="C86" s="1">
        <v>1746.33</v>
      </c>
      <c r="D86" s="1">
        <v>530.46</v>
      </c>
      <c r="E86" s="1">
        <v>587.13</v>
      </c>
      <c r="F86" s="1">
        <v>206.96</v>
      </c>
      <c r="G86" s="1">
        <v>6150.88</v>
      </c>
      <c r="H86" s="1">
        <v>405.59</v>
      </c>
      <c r="I86" s="1">
        <v>1206.1300000000001</v>
      </c>
      <c r="J86" s="1">
        <v>11278.9</v>
      </c>
    </row>
    <row r="87" spans="1:10">
      <c r="A87" s="2">
        <v>43598</v>
      </c>
      <c r="B87" s="1">
        <v>545.35</v>
      </c>
      <c r="C87" s="1">
        <v>1740.56</v>
      </c>
      <c r="D87" s="1">
        <v>528.32000000000005</v>
      </c>
      <c r="E87" s="1">
        <v>589.46</v>
      </c>
      <c r="F87" s="1">
        <v>201.09</v>
      </c>
      <c r="G87" s="1">
        <v>6069.4</v>
      </c>
      <c r="H87" s="1">
        <v>368.86</v>
      </c>
      <c r="I87" s="1">
        <v>1172.45</v>
      </c>
      <c r="J87" s="1">
        <v>11148.2</v>
      </c>
    </row>
    <row r="88" spans="1:10">
      <c r="A88" s="2">
        <v>43599</v>
      </c>
      <c r="B88" s="1">
        <v>557.91999999999996</v>
      </c>
      <c r="C88" s="1">
        <v>1710.8</v>
      </c>
      <c r="D88" s="1">
        <v>528.48</v>
      </c>
      <c r="E88" s="1">
        <v>584.66999999999996</v>
      </c>
      <c r="F88" s="1">
        <v>204.6</v>
      </c>
      <c r="G88" s="1">
        <v>6099.5</v>
      </c>
      <c r="H88" s="1">
        <v>388.64</v>
      </c>
      <c r="I88" s="1">
        <v>1193.94</v>
      </c>
      <c r="J88" s="1">
        <v>11222.05</v>
      </c>
    </row>
    <row r="89" spans="1:10">
      <c r="A89" s="2">
        <v>43600</v>
      </c>
      <c r="B89" s="1">
        <v>556.35</v>
      </c>
      <c r="C89" s="1">
        <v>1713.29</v>
      </c>
      <c r="D89" s="1">
        <v>528.20000000000005</v>
      </c>
      <c r="E89" s="1">
        <v>586.52</v>
      </c>
      <c r="F89" s="1">
        <v>206.48</v>
      </c>
      <c r="G89" s="1">
        <v>6023.02</v>
      </c>
      <c r="H89" s="1">
        <v>379.65</v>
      </c>
      <c r="I89" s="1">
        <v>1179.7</v>
      </c>
      <c r="J89" s="1">
        <v>11157</v>
      </c>
    </row>
    <row r="90" spans="1:10">
      <c r="A90" s="2">
        <v>43601</v>
      </c>
      <c r="B90" s="1">
        <v>560.09</v>
      </c>
      <c r="C90" s="1">
        <v>1724.21</v>
      </c>
      <c r="D90" s="1">
        <v>533.73</v>
      </c>
      <c r="E90" s="1">
        <v>600.44000000000005</v>
      </c>
      <c r="F90" s="1">
        <v>204.88</v>
      </c>
      <c r="G90" s="1">
        <v>6009.95</v>
      </c>
      <c r="H90" s="1">
        <v>382.11</v>
      </c>
      <c r="I90" s="1">
        <v>1189.8</v>
      </c>
      <c r="J90" s="1">
        <v>11257.1</v>
      </c>
    </row>
    <row r="91" spans="1:10">
      <c r="A91" s="2">
        <v>43602</v>
      </c>
      <c r="B91" s="1">
        <v>561</v>
      </c>
      <c r="C91" s="1">
        <v>1713.34</v>
      </c>
      <c r="D91" s="1">
        <v>545.62</v>
      </c>
      <c r="E91" s="1">
        <v>592.9</v>
      </c>
      <c r="F91" s="1">
        <v>209.5</v>
      </c>
      <c r="G91" s="1">
        <v>6220.68</v>
      </c>
      <c r="H91" s="1">
        <v>379.05</v>
      </c>
      <c r="I91" s="1">
        <v>1211.82</v>
      </c>
      <c r="J91" s="1">
        <v>11407.15</v>
      </c>
    </row>
    <row r="92" spans="1:10">
      <c r="A92" s="2">
        <v>43605</v>
      </c>
      <c r="B92" s="1">
        <v>586.89</v>
      </c>
      <c r="C92" s="1">
        <v>1752.99</v>
      </c>
      <c r="D92" s="1">
        <v>561.84</v>
      </c>
      <c r="E92" s="1">
        <v>591.67999999999995</v>
      </c>
      <c r="F92" s="1">
        <v>213.39</v>
      </c>
      <c r="G92" s="1">
        <v>6571.04</v>
      </c>
      <c r="H92" s="1">
        <v>383.13</v>
      </c>
      <c r="I92" s="1">
        <v>1291.5</v>
      </c>
      <c r="J92" s="1">
        <v>11828.25</v>
      </c>
    </row>
    <row r="93" spans="1:10">
      <c r="A93" s="2">
        <v>43606</v>
      </c>
      <c r="B93" s="1">
        <v>593.04999999999995</v>
      </c>
      <c r="C93" s="1">
        <v>1725.03</v>
      </c>
      <c r="D93" s="1">
        <v>555.23</v>
      </c>
      <c r="E93" s="1">
        <v>580.95000000000005</v>
      </c>
      <c r="F93" s="1">
        <v>212.63</v>
      </c>
      <c r="G93" s="1">
        <v>6376.96</v>
      </c>
      <c r="H93" s="1">
        <v>378.82</v>
      </c>
      <c r="I93" s="1">
        <v>1289.4100000000001</v>
      </c>
      <c r="J93" s="1">
        <v>11709.1</v>
      </c>
    </row>
    <row r="94" spans="1:10">
      <c r="A94" s="2">
        <v>43607</v>
      </c>
      <c r="B94" s="1">
        <v>593.30999999999995</v>
      </c>
      <c r="C94" s="1">
        <v>1702.13</v>
      </c>
      <c r="D94" s="1">
        <v>555.70000000000005</v>
      </c>
      <c r="E94" s="1">
        <v>581.30999999999995</v>
      </c>
      <c r="F94" s="1">
        <v>212.5</v>
      </c>
      <c r="G94" s="1">
        <v>6399.64</v>
      </c>
      <c r="H94" s="1">
        <v>390.26</v>
      </c>
      <c r="I94" s="1">
        <v>1300.0899999999999</v>
      </c>
      <c r="J94" s="1">
        <v>11737.9</v>
      </c>
    </row>
    <row r="95" spans="1:10">
      <c r="A95" s="2">
        <v>43608</v>
      </c>
      <c r="B95" s="1">
        <v>590.42999999999995</v>
      </c>
      <c r="C95" s="1">
        <v>1679.48</v>
      </c>
      <c r="D95" s="1">
        <v>538.69000000000005</v>
      </c>
      <c r="E95" s="1">
        <v>574.19000000000005</v>
      </c>
      <c r="F95" s="1">
        <v>204.31</v>
      </c>
      <c r="G95" s="1">
        <v>6426.96</v>
      </c>
      <c r="H95" s="1">
        <v>382.62</v>
      </c>
      <c r="I95" s="1">
        <v>1313.44</v>
      </c>
      <c r="J95" s="1">
        <v>11657.05</v>
      </c>
    </row>
    <row r="96" spans="1:10">
      <c r="A96" s="2">
        <v>43609</v>
      </c>
      <c r="B96" s="1">
        <v>591.74</v>
      </c>
      <c r="C96" s="1">
        <v>1674.54</v>
      </c>
      <c r="D96" s="1">
        <v>548.22</v>
      </c>
      <c r="E96" s="1">
        <v>580.86</v>
      </c>
      <c r="F96" s="1">
        <v>205.91</v>
      </c>
      <c r="G96" s="1">
        <v>6578.98</v>
      </c>
      <c r="H96" s="1">
        <v>385.21</v>
      </c>
      <c r="I96" s="1">
        <v>1373.99</v>
      </c>
      <c r="J96" s="1">
        <v>11844.1</v>
      </c>
    </row>
    <row r="97" spans="1:10">
      <c r="A97" s="2">
        <v>43612</v>
      </c>
      <c r="B97" s="1">
        <v>580.14</v>
      </c>
      <c r="C97" s="1">
        <v>1680.38</v>
      </c>
      <c r="D97" s="1">
        <v>556.29999999999995</v>
      </c>
      <c r="E97" s="1">
        <v>579.96</v>
      </c>
      <c r="F97" s="1">
        <v>206.19</v>
      </c>
      <c r="G97" s="1">
        <v>6556.07</v>
      </c>
      <c r="H97" s="1">
        <v>384.38</v>
      </c>
      <c r="I97" s="1">
        <v>1420.12</v>
      </c>
      <c r="J97" s="1">
        <v>11924.75</v>
      </c>
    </row>
    <row r="98" spans="1:10">
      <c r="A98" s="2">
        <v>43613</v>
      </c>
      <c r="B98" s="1">
        <v>585.94000000000005</v>
      </c>
      <c r="C98" s="1">
        <v>1695.59</v>
      </c>
      <c r="D98" s="1">
        <v>558.11</v>
      </c>
      <c r="E98" s="1">
        <v>596.34</v>
      </c>
      <c r="F98" s="1">
        <v>204.81</v>
      </c>
      <c r="G98" s="1">
        <v>6543.27</v>
      </c>
      <c r="H98" s="1">
        <v>382.43</v>
      </c>
      <c r="I98" s="1">
        <v>1400.99</v>
      </c>
      <c r="J98" s="1">
        <v>11928.75</v>
      </c>
    </row>
    <row r="99" spans="1:10">
      <c r="A99" s="2">
        <v>43614</v>
      </c>
      <c r="B99" s="1">
        <v>581.20000000000005</v>
      </c>
      <c r="C99" s="1">
        <v>1723.23</v>
      </c>
      <c r="D99" s="1">
        <v>558.28</v>
      </c>
      <c r="E99" s="1">
        <v>596.1</v>
      </c>
      <c r="F99" s="1">
        <v>204.24</v>
      </c>
      <c r="G99" s="1">
        <v>6391.9</v>
      </c>
      <c r="H99" s="1">
        <v>392.67</v>
      </c>
      <c r="I99" s="1">
        <v>1381.37</v>
      </c>
      <c r="J99" s="1">
        <v>11861.1</v>
      </c>
    </row>
    <row r="100" spans="1:10">
      <c r="A100" s="2">
        <v>43615</v>
      </c>
      <c r="B100" s="1">
        <v>588.6</v>
      </c>
      <c r="C100" s="1">
        <v>1754.91</v>
      </c>
      <c r="D100" s="1">
        <v>563.51</v>
      </c>
      <c r="E100" s="1">
        <v>600.80999999999995</v>
      </c>
      <c r="F100" s="1">
        <v>204.63</v>
      </c>
      <c r="G100" s="1">
        <v>6369.87</v>
      </c>
      <c r="H100" s="1">
        <v>382.43</v>
      </c>
      <c r="I100" s="1">
        <v>1386.85</v>
      </c>
      <c r="J100" s="1">
        <v>11945.9</v>
      </c>
    </row>
    <row r="101" spans="1:10">
      <c r="A101" s="2">
        <v>43616</v>
      </c>
      <c r="B101" s="1">
        <v>588.77</v>
      </c>
      <c r="C101" s="1">
        <v>1796</v>
      </c>
      <c r="D101" s="1">
        <v>560.23</v>
      </c>
      <c r="E101" s="1">
        <v>604.25</v>
      </c>
      <c r="F101" s="1">
        <v>197.47</v>
      </c>
      <c r="G101" s="1">
        <v>6371.86</v>
      </c>
      <c r="H101" s="1">
        <v>379.74</v>
      </c>
      <c r="I101" s="1">
        <v>1385.91</v>
      </c>
      <c r="J101" s="1">
        <v>11922.8</v>
      </c>
    </row>
    <row r="102" spans="1:10">
      <c r="A102" s="2">
        <v>43619</v>
      </c>
      <c r="B102" s="1">
        <v>602.08000000000004</v>
      </c>
      <c r="C102" s="1">
        <v>1833.41</v>
      </c>
      <c r="D102" s="1">
        <v>567.55999999999995</v>
      </c>
      <c r="E102" s="1">
        <v>609.9</v>
      </c>
      <c r="F102" s="1">
        <v>197.47</v>
      </c>
      <c r="G102" s="1">
        <v>6513.82</v>
      </c>
      <c r="H102" s="1">
        <v>386.18</v>
      </c>
      <c r="I102" s="1">
        <v>1387.56</v>
      </c>
      <c r="J102" s="1">
        <v>12088.55</v>
      </c>
    </row>
    <row r="103" spans="1:10">
      <c r="A103" s="2">
        <v>43620</v>
      </c>
      <c r="B103" s="1">
        <v>598.29</v>
      </c>
      <c r="C103" s="1">
        <v>1799.45</v>
      </c>
      <c r="D103" s="1">
        <v>566.45000000000005</v>
      </c>
      <c r="E103" s="1">
        <v>602.24</v>
      </c>
      <c r="F103" s="1">
        <v>197.97</v>
      </c>
      <c r="G103" s="1">
        <v>6540.62</v>
      </c>
      <c r="H103" s="1">
        <v>380.95</v>
      </c>
      <c r="I103" s="1">
        <v>1396.81</v>
      </c>
      <c r="J103" s="1">
        <v>12021.65</v>
      </c>
    </row>
    <row r="104" spans="1:10">
      <c r="A104" s="2">
        <v>43622</v>
      </c>
      <c r="B104" s="1">
        <v>587.53</v>
      </c>
      <c r="C104" s="1">
        <v>1785.44</v>
      </c>
      <c r="D104" s="1">
        <v>559.77</v>
      </c>
      <c r="E104" s="1">
        <v>602.49</v>
      </c>
      <c r="F104" s="1">
        <v>195.49</v>
      </c>
      <c r="G104" s="1">
        <v>6482.1</v>
      </c>
      <c r="H104" s="1">
        <v>374.46</v>
      </c>
      <c r="I104" s="1">
        <v>1348.85</v>
      </c>
      <c r="J104" s="1">
        <v>11843.75</v>
      </c>
    </row>
    <row r="105" spans="1:10">
      <c r="A105" s="2">
        <v>43623</v>
      </c>
      <c r="B105" s="1">
        <v>582.02</v>
      </c>
      <c r="C105" s="1">
        <v>1798.33</v>
      </c>
      <c r="D105" s="1">
        <v>565.38</v>
      </c>
      <c r="E105" s="1">
        <v>605.35</v>
      </c>
      <c r="F105" s="1">
        <v>195.13</v>
      </c>
      <c r="G105" s="1">
        <v>6444.58</v>
      </c>
      <c r="H105" s="1">
        <v>369.92</v>
      </c>
      <c r="I105" s="1">
        <v>1347.03</v>
      </c>
      <c r="J105" s="1">
        <v>11870.65</v>
      </c>
    </row>
    <row r="106" spans="1:10">
      <c r="A106" s="2">
        <v>43626</v>
      </c>
      <c r="B106" s="1">
        <v>583.91</v>
      </c>
      <c r="C106" s="1">
        <v>1839.34</v>
      </c>
      <c r="D106" s="1">
        <v>563.66</v>
      </c>
      <c r="E106" s="1">
        <v>617.15</v>
      </c>
      <c r="F106" s="1">
        <v>198.08</v>
      </c>
      <c r="G106" s="1">
        <v>6464.71</v>
      </c>
      <c r="H106" s="1">
        <v>372.52</v>
      </c>
      <c r="I106" s="1">
        <v>1363.27</v>
      </c>
      <c r="J106" s="1">
        <v>11922.7</v>
      </c>
    </row>
    <row r="107" spans="1:10">
      <c r="A107" s="2">
        <v>43627</v>
      </c>
      <c r="B107" s="1">
        <v>588.33000000000004</v>
      </c>
      <c r="C107" s="1">
        <v>1856.9</v>
      </c>
      <c r="D107" s="1">
        <v>565.54999999999995</v>
      </c>
      <c r="E107" s="1">
        <v>618.29</v>
      </c>
      <c r="F107" s="1">
        <v>198.39</v>
      </c>
      <c r="G107" s="1">
        <v>6472.45</v>
      </c>
      <c r="H107" s="1">
        <v>361.31</v>
      </c>
      <c r="I107" s="1">
        <v>1356.33</v>
      </c>
      <c r="J107" s="1">
        <v>11965.6</v>
      </c>
    </row>
    <row r="108" spans="1:10">
      <c r="A108" s="2">
        <v>43628</v>
      </c>
      <c r="B108" s="1">
        <v>589.66</v>
      </c>
      <c r="C108" s="1">
        <v>1863.57</v>
      </c>
      <c r="D108" s="1">
        <v>560.62</v>
      </c>
      <c r="E108" s="1">
        <v>617.39</v>
      </c>
      <c r="F108" s="1">
        <v>198.47</v>
      </c>
      <c r="G108" s="1">
        <v>6355.31</v>
      </c>
      <c r="H108" s="1">
        <v>362.65</v>
      </c>
      <c r="I108" s="1">
        <v>1342.93</v>
      </c>
      <c r="J108" s="1">
        <v>11906.2</v>
      </c>
    </row>
    <row r="109" spans="1:10">
      <c r="A109" s="2">
        <v>43629</v>
      </c>
      <c r="B109" s="1">
        <v>587.49</v>
      </c>
      <c r="C109" s="1">
        <v>1857.97</v>
      </c>
      <c r="D109" s="1">
        <v>564.70000000000005</v>
      </c>
      <c r="E109" s="1">
        <v>616.85</v>
      </c>
      <c r="F109" s="1">
        <v>198.93</v>
      </c>
      <c r="G109" s="1">
        <v>6292.89</v>
      </c>
      <c r="H109" s="1">
        <v>361.12</v>
      </c>
      <c r="I109" s="1">
        <v>1350.32</v>
      </c>
      <c r="J109" s="1">
        <v>11914.05</v>
      </c>
    </row>
    <row r="110" spans="1:10">
      <c r="A110" s="2">
        <v>43630</v>
      </c>
      <c r="B110" s="1">
        <v>583.20000000000005</v>
      </c>
      <c r="C110" s="1">
        <v>1858.3</v>
      </c>
      <c r="D110" s="1">
        <v>562.48</v>
      </c>
      <c r="E110" s="1">
        <v>615.03</v>
      </c>
      <c r="F110" s="1">
        <v>197.12</v>
      </c>
      <c r="G110" s="1">
        <v>6258.29</v>
      </c>
      <c r="H110" s="1">
        <v>363.71</v>
      </c>
      <c r="I110" s="1">
        <v>1358.11</v>
      </c>
      <c r="J110" s="1">
        <v>11823.3</v>
      </c>
    </row>
    <row r="111" spans="1:10">
      <c r="A111" s="2">
        <v>43633</v>
      </c>
      <c r="B111" s="1">
        <v>567.59</v>
      </c>
      <c r="C111" s="1">
        <v>1853.93</v>
      </c>
      <c r="D111" s="1">
        <v>559.45000000000005</v>
      </c>
      <c r="E111" s="1">
        <v>615.11</v>
      </c>
      <c r="F111" s="1">
        <v>194.96</v>
      </c>
      <c r="G111" s="1">
        <v>6104.55</v>
      </c>
      <c r="H111" s="1">
        <v>354.77</v>
      </c>
      <c r="I111" s="1">
        <v>1333.59</v>
      </c>
      <c r="J111" s="1">
        <v>11672.15</v>
      </c>
    </row>
    <row r="112" spans="1:10">
      <c r="A112" s="2">
        <v>43634</v>
      </c>
      <c r="B112" s="1">
        <v>567.02</v>
      </c>
      <c r="C112" s="1">
        <v>1855.29</v>
      </c>
      <c r="D112" s="1">
        <v>558.36</v>
      </c>
      <c r="E112" s="1">
        <v>623.08000000000004</v>
      </c>
      <c r="F112" s="1">
        <v>195.03</v>
      </c>
      <c r="G112" s="1">
        <v>5972.24</v>
      </c>
      <c r="H112" s="1">
        <v>350.65</v>
      </c>
      <c r="I112" s="1">
        <v>1339.42</v>
      </c>
      <c r="J112" s="1">
        <v>11691.5</v>
      </c>
    </row>
    <row r="113" spans="1:10">
      <c r="A113" s="2">
        <v>43635</v>
      </c>
      <c r="B113" s="1">
        <v>565.4</v>
      </c>
      <c r="C113" s="1">
        <v>1862.75</v>
      </c>
      <c r="D113" s="1">
        <v>560.91999999999996</v>
      </c>
      <c r="E113" s="1">
        <v>624.54</v>
      </c>
      <c r="F113" s="1">
        <v>196.52</v>
      </c>
      <c r="G113" s="1">
        <v>5958.93</v>
      </c>
      <c r="H113" s="1">
        <v>347.64</v>
      </c>
      <c r="I113" s="1">
        <v>1339.29</v>
      </c>
      <c r="J113" s="1">
        <v>11691.45</v>
      </c>
    </row>
    <row r="114" spans="1:10">
      <c r="A114" s="2">
        <v>43636</v>
      </c>
      <c r="B114" s="1">
        <v>573.99</v>
      </c>
      <c r="C114" s="1">
        <v>1877.63</v>
      </c>
      <c r="D114" s="1">
        <v>563.94000000000005</v>
      </c>
      <c r="E114" s="1">
        <v>627.03</v>
      </c>
      <c r="F114" s="1">
        <v>196.37</v>
      </c>
      <c r="G114" s="1">
        <v>6137.11</v>
      </c>
      <c r="H114" s="1">
        <v>361.82</v>
      </c>
      <c r="I114" s="1">
        <v>1385.51</v>
      </c>
      <c r="J114" s="1">
        <v>11831.75</v>
      </c>
    </row>
    <row r="115" spans="1:10">
      <c r="A115" s="2">
        <v>43637</v>
      </c>
      <c r="B115" s="1">
        <v>566.35</v>
      </c>
      <c r="C115" s="1">
        <v>1854.47</v>
      </c>
      <c r="D115" s="1">
        <v>561.12</v>
      </c>
      <c r="E115" s="1">
        <v>623.12</v>
      </c>
      <c r="F115" s="1">
        <v>194.42</v>
      </c>
      <c r="G115" s="1">
        <v>5952.07</v>
      </c>
      <c r="H115" s="1">
        <v>354.68</v>
      </c>
      <c r="I115" s="1">
        <v>1370.07</v>
      </c>
      <c r="J115" s="1">
        <v>11724.1</v>
      </c>
    </row>
    <row r="116" spans="1:10">
      <c r="A116" s="2">
        <v>43640</v>
      </c>
      <c r="B116" s="1">
        <v>558.79</v>
      </c>
      <c r="C116" s="1">
        <v>1875.61</v>
      </c>
      <c r="D116" s="1">
        <v>561.99</v>
      </c>
      <c r="E116" s="1">
        <v>619.22</v>
      </c>
      <c r="F116" s="1">
        <v>195.84</v>
      </c>
      <c r="G116" s="1">
        <v>5991.63</v>
      </c>
      <c r="H116" s="1">
        <v>355.28</v>
      </c>
      <c r="I116" s="1">
        <v>1371.19</v>
      </c>
      <c r="J116" s="1">
        <v>11699.65</v>
      </c>
    </row>
    <row r="117" spans="1:10">
      <c r="A117" s="2">
        <v>43641</v>
      </c>
      <c r="B117" s="1">
        <v>573.59</v>
      </c>
      <c r="C117" s="1">
        <v>1869.26</v>
      </c>
      <c r="D117" s="1">
        <v>564.49</v>
      </c>
      <c r="E117" s="1">
        <v>621.38</v>
      </c>
      <c r="F117" s="1">
        <v>197.44</v>
      </c>
      <c r="G117" s="1">
        <v>6049.69</v>
      </c>
      <c r="H117" s="1">
        <v>357.41</v>
      </c>
      <c r="I117" s="1">
        <v>1365.85</v>
      </c>
      <c r="J117" s="1">
        <v>11796.45</v>
      </c>
    </row>
    <row r="118" spans="1:10">
      <c r="A118" s="2">
        <v>43642</v>
      </c>
      <c r="B118" s="1">
        <v>572.84</v>
      </c>
      <c r="C118" s="1">
        <v>1858.05</v>
      </c>
      <c r="D118" s="1">
        <v>573.6</v>
      </c>
      <c r="E118" s="1">
        <v>613.99</v>
      </c>
      <c r="F118" s="1">
        <v>196.66</v>
      </c>
      <c r="G118" s="1">
        <v>6010.55</v>
      </c>
      <c r="H118" s="1">
        <v>370.11</v>
      </c>
      <c r="I118" s="1">
        <v>1380.26</v>
      </c>
      <c r="J118" s="1">
        <v>11847.55</v>
      </c>
    </row>
    <row r="119" spans="1:10">
      <c r="A119" s="2">
        <v>43643</v>
      </c>
      <c r="B119" s="1">
        <v>563.99</v>
      </c>
      <c r="C119" s="1">
        <v>1856.69</v>
      </c>
      <c r="D119" s="1">
        <v>572.29999999999995</v>
      </c>
      <c r="E119" s="1">
        <v>606.79999999999995</v>
      </c>
      <c r="F119" s="1">
        <v>193.89</v>
      </c>
      <c r="G119" s="1">
        <v>6016.49</v>
      </c>
      <c r="H119" s="1">
        <v>373.21</v>
      </c>
      <c r="I119" s="1">
        <v>1379.99</v>
      </c>
      <c r="J119" s="1">
        <v>11841.55</v>
      </c>
    </row>
    <row r="120" spans="1:10">
      <c r="A120" s="2">
        <v>43644</v>
      </c>
      <c r="B120" s="1">
        <v>554.66999999999996</v>
      </c>
      <c r="C120" s="1">
        <v>1835.8</v>
      </c>
      <c r="D120" s="1">
        <v>567.99</v>
      </c>
      <c r="E120" s="1">
        <v>608.01</v>
      </c>
      <c r="F120" s="1">
        <v>194.14</v>
      </c>
      <c r="G120" s="1">
        <v>6060.96</v>
      </c>
      <c r="H120" s="1">
        <v>371.5</v>
      </c>
      <c r="I120" s="1">
        <v>1382.04</v>
      </c>
      <c r="J120" s="1">
        <v>11788.85</v>
      </c>
    </row>
    <row r="121" spans="1:10">
      <c r="A121" s="2">
        <v>43647</v>
      </c>
      <c r="B121" s="1">
        <v>561.64</v>
      </c>
      <c r="C121" s="1">
        <v>1845.98</v>
      </c>
      <c r="D121" s="1">
        <v>577.70000000000005</v>
      </c>
      <c r="E121" s="1">
        <v>607.42999999999995</v>
      </c>
      <c r="F121" s="1">
        <v>194.92</v>
      </c>
      <c r="G121" s="1">
        <v>6036.1</v>
      </c>
      <c r="H121" s="1">
        <v>375.57</v>
      </c>
      <c r="I121" s="1">
        <v>1385.11</v>
      </c>
      <c r="J121" s="1">
        <v>11865.6</v>
      </c>
    </row>
    <row r="122" spans="1:10">
      <c r="A122" s="2">
        <v>43648</v>
      </c>
      <c r="B122" s="1">
        <v>565.91</v>
      </c>
      <c r="C122" s="1">
        <v>1856.32</v>
      </c>
      <c r="D122" s="1">
        <v>579.9</v>
      </c>
      <c r="E122" s="1">
        <v>614.65</v>
      </c>
      <c r="F122" s="1">
        <v>194.14</v>
      </c>
      <c r="G122" s="1">
        <v>6084.47</v>
      </c>
      <c r="H122" s="1">
        <v>366.49</v>
      </c>
      <c r="I122" s="1">
        <v>1391.52</v>
      </c>
      <c r="J122" s="1">
        <v>11910.3</v>
      </c>
    </row>
    <row r="123" spans="1:10">
      <c r="A123" s="2">
        <v>43649</v>
      </c>
      <c r="B123" s="1">
        <v>567.70000000000005</v>
      </c>
      <c r="C123" s="1">
        <v>1844.41</v>
      </c>
      <c r="D123" s="1">
        <v>578.65</v>
      </c>
      <c r="E123" s="1">
        <v>607.42999999999995</v>
      </c>
      <c r="F123" s="1">
        <v>196.16</v>
      </c>
      <c r="G123" s="1">
        <v>6060.17</v>
      </c>
      <c r="H123" s="1">
        <v>366.63</v>
      </c>
      <c r="I123" s="1">
        <v>1404.15</v>
      </c>
      <c r="J123" s="1">
        <v>11916.75</v>
      </c>
    </row>
    <row r="124" spans="1:10">
      <c r="A124" s="2">
        <v>43650</v>
      </c>
      <c r="B124" s="1">
        <v>568.35</v>
      </c>
      <c r="C124" s="1">
        <v>1848.53</v>
      </c>
      <c r="D124" s="1">
        <v>577.29</v>
      </c>
      <c r="E124" s="1">
        <v>609.5</v>
      </c>
      <c r="F124" s="1">
        <v>196.83</v>
      </c>
      <c r="G124" s="1">
        <v>6070.05</v>
      </c>
      <c r="H124" s="1">
        <v>363.3</v>
      </c>
      <c r="I124" s="1">
        <v>1398.5</v>
      </c>
      <c r="J124" s="1">
        <v>11946.75</v>
      </c>
    </row>
    <row r="125" spans="1:10">
      <c r="A125" s="2">
        <v>43651</v>
      </c>
      <c r="B125" s="1">
        <v>559.21</v>
      </c>
      <c r="C125" s="1">
        <v>1782.96</v>
      </c>
      <c r="D125" s="1">
        <v>574.64</v>
      </c>
      <c r="E125" s="1">
        <v>596.38</v>
      </c>
      <c r="F125" s="1">
        <v>198.11</v>
      </c>
      <c r="G125" s="1">
        <v>5898.97</v>
      </c>
      <c r="H125" s="1">
        <v>347.69</v>
      </c>
      <c r="I125" s="1">
        <v>1386.62</v>
      </c>
      <c r="J125" s="1">
        <v>11811.15</v>
      </c>
    </row>
    <row r="126" spans="1:10">
      <c r="A126" s="2">
        <v>43654</v>
      </c>
      <c r="B126" s="1">
        <v>554.20000000000005</v>
      </c>
      <c r="C126" s="1">
        <v>1793.1</v>
      </c>
      <c r="D126" s="1">
        <v>560.04999999999995</v>
      </c>
      <c r="E126" s="1">
        <v>596.04999999999995</v>
      </c>
      <c r="F126" s="1">
        <v>196.69</v>
      </c>
      <c r="G126" s="1">
        <v>5600.96</v>
      </c>
      <c r="H126" s="1">
        <v>339.86</v>
      </c>
      <c r="I126" s="1">
        <v>1326.12</v>
      </c>
      <c r="J126" s="1">
        <v>11558.6</v>
      </c>
    </row>
    <row r="127" spans="1:10">
      <c r="A127" s="2">
        <v>43655</v>
      </c>
      <c r="B127" s="1">
        <v>566.62</v>
      </c>
      <c r="C127" s="1">
        <v>1758.44</v>
      </c>
      <c r="D127" s="1">
        <v>552.97</v>
      </c>
      <c r="E127" s="1">
        <v>594.29999999999995</v>
      </c>
      <c r="F127" s="1">
        <v>193.61</v>
      </c>
      <c r="G127" s="1">
        <v>5514.47</v>
      </c>
      <c r="H127" s="1">
        <v>358.02</v>
      </c>
      <c r="I127" s="1">
        <v>1358.37</v>
      </c>
      <c r="J127" s="1">
        <v>11555.9</v>
      </c>
    </row>
    <row r="128" spans="1:10">
      <c r="A128" s="2">
        <v>43656</v>
      </c>
      <c r="B128" s="1">
        <v>566.07000000000005</v>
      </c>
      <c r="C128" s="1">
        <v>1737.71</v>
      </c>
      <c r="D128" s="1">
        <v>555.20000000000005</v>
      </c>
      <c r="E128" s="1">
        <v>595.76</v>
      </c>
      <c r="F128" s="1">
        <v>193.64</v>
      </c>
      <c r="G128" s="1">
        <v>5498.19</v>
      </c>
      <c r="H128" s="1">
        <v>363.39</v>
      </c>
      <c r="I128" s="1">
        <v>1334.3</v>
      </c>
      <c r="J128" s="1">
        <v>11498.9</v>
      </c>
    </row>
    <row r="129" spans="1:10">
      <c r="A129" s="2">
        <v>43657</v>
      </c>
      <c r="B129" s="1">
        <v>567.26</v>
      </c>
      <c r="C129" s="1">
        <v>1733.05</v>
      </c>
      <c r="D129" s="1">
        <v>559.48</v>
      </c>
      <c r="E129" s="1">
        <v>599.29</v>
      </c>
      <c r="F129" s="1">
        <v>195.42</v>
      </c>
      <c r="G129" s="1">
        <v>5594.01</v>
      </c>
      <c r="H129" s="1">
        <v>368.9</v>
      </c>
      <c r="I129" s="1">
        <v>1330.43</v>
      </c>
      <c r="J129" s="1">
        <v>11582.9</v>
      </c>
    </row>
    <row r="130" spans="1:10">
      <c r="A130" s="2">
        <v>43658</v>
      </c>
      <c r="B130" s="1">
        <v>566.79999999999995</v>
      </c>
      <c r="C130" s="1">
        <v>1737.22</v>
      </c>
      <c r="D130" s="1">
        <v>556.4</v>
      </c>
      <c r="E130" s="1">
        <v>603.65</v>
      </c>
      <c r="F130" s="1">
        <v>194.99</v>
      </c>
      <c r="G130" s="1">
        <v>5538.59</v>
      </c>
      <c r="H130" s="1">
        <v>377.75</v>
      </c>
      <c r="I130" s="1">
        <v>1305.21</v>
      </c>
      <c r="J130" s="1">
        <v>11552.5</v>
      </c>
    </row>
    <row r="131" spans="1:10">
      <c r="A131" s="2">
        <v>43661</v>
      </c>
      <c r="B131" s="1">
        <v>564.85</v>
      </c>
      <c r="C131" s="1">
        <v>1768.62</v>
      </c>
      <c r="D131" s="1">
        <v>556.6</v>
      </c>
      <c r="E131" s="1">
        <v>647.34</v>
      </c>
      <c r="F131" s="1">
        <v>192.09</v>
      </c>
      <c r="G131" s="1">
        <v>5638.99</v>
      </c>
      <c r="H131" s="1">
        <v>391.88</v>
      </c>
      <c r="I131" s="1">
        <v>1281.8499999999999</v>
      </c>
      <c r="J131" s="1">
        <v>11588.35</v>
      </c>
    </row>
    <row r="132" spans="1:10">
      <c r="A132" s="2">
        <v>43662</v>
      </c>
      <c r="B132" s="1">
        <v>572.33000000000004</v>
      </c>
      <c r="C132" s="1">
        <v>1739.95</v>
      </c>
      <c r="D132" s="1">
        <v>555.77</v>
      </c>
      <c r="E132" s="1">
        <v>651.91</v>
      </c>
      <c r="F132" s="1">
        <v>192.79</v>
      </c>
      <c r="G132" s="1">
        <v>5711.66</v>
      </c>
      <c r="H132" s="1">
        <v>401.47</v>
      </c>
      <c r="I132" s="1">
        <v>1300.18</v>
      </c>
      <c r="J132" s="1">
        <v>11662.6</v>
      </c>
    </row>
    <row r="133" spans="1:10">
      <c r="A133" s="2">
        <v>43663</v>
      </c>
      <c r="B133" s="1">
        <v>567.39</v>
      </c>
      <c r="C133" s="1">
        <v>1749.25</v>
      </c>
      <c r="D133" s="1">
        <v>557.22</v>
      </c>
      <c r="E133" s="1">
        <v>659.63</v>
      </c>
      <c r="F133" s="1">
        <v>193.47</v>
      </c>
      <c r="G133" s="1">
        <v>5635.28</v>
      </c>
      <c r="H133" s="1">
        <v>398.46</v>
      </c>
      <c r="I133" s="1">
        <v>1295.06</v>
      </c>
      <c r="J133" s="1">
        <v>11687.5</v>
      </c>
    </row>
    <row r="134" spans="1:10">
      <c r="A134" s="2">
        <v>43664</v>
      </c>
      <c r="B134" s="1">
        <v>558.54</v>
      </c>
      <c r="C134" s="1">
        <v>1706.86</v>
      </c>
      <c r="D134" s="1">
        <v>560.58000000000004</v>
      </c>
      <c r="E134" s="1">
        <v>658.43</v>
      </c>
      <c r="F134" s="1">
        <v>193.54</v>
      </c>
      <c r="G134" s="1">
        <v>5455.94</v>
      </c>
      <c r="H134" s="1">
        <v>394.89</v>
      </c>
      <c r="I134" s="1">
        <v>1277.04</v>
      </c>
      <c r="J134" s="1">
        <v>11596.9</v>
      </c>
    </row>
    <row r="135" spans="1:10">
      <c r="A135" s="2">
        <v>43665</v>
      </c>
      <c r="B135" s="1">
        <v>552.85</v>
      </c>
      <c r="C135" s="1">
        <v>1715.95</v>
      </c>
      <c r="D135" s="1">
        <v>552.16</v>
      </c>
      <c r="E135" s="1">
        <v>652.36</v>
      </c>
      <c r="F135" s="1">
        <v>190.21</v>
      </c>
      <c r="G135" s="1">
        <v>5350.9</v>
      </c>
      <c r="H135" s="1">
        <v>390.4</v>
      </c>
      <c r="I135" s="1">
        <v>1256</v>
      </c>
      <c r="J135" s="1">
        <v>11419.25</v>
      </c>
    </row>
    <row r="136" spans="1:10">
      <c r="A136" s="2">
        <v>43668</v>
      </c>
      <c r="B136" s="1">
        <v>566.79999999999995</v>
      </c>
      <c r="C136" s="1">
        <v>1743.17</v>
      </c>
      <c r="D136" s="1">
        <v>533.94000000000005</v>
      </c>
      <c r="E136" s="1">
        <v>651.53</v>
      </c>
      <c r="F136" s="1">
        <v>187.44</v>
      </c>
      <c r="G136" s="1">
        <v>5483.91</v>
      </c>
      <c r="H136" s="1">
        <v>398.65</v>
      </c>
      <c r="I136" s="1">
        <v>1249.02</v>
      </c>
      <c r="J136" s="1">
        <v>11346.2</v>
      </c>
    </row>
    <row r="137" spans="1:10">
      <c r="A137" s="2">
        <v>43669</v>
      </c>
      <c r="B137" s="1">
        <v>563.72</v>
      </c>
      <c r="C137" s="1">
        <v>1745.28</v>
      </c>
      <c r="D137" s="1">
        <v>526.09</v>
      </c>
      <c r="E137" s="1">
        <v>656.22</v>
      </c>
      <c r="F137" s="1">
        <v>191.87</v>
      </c>
      <c r="G137" s="1">
        <v>5447.97</v>
      </c>
      <c r="H137" s="1">
        <v>398.65</v>
      </c>
      <c r="I137" s="1">
        <v>1254.18</v>
      </c>
      <c r="J137" s="1">
        <v>11331.05</v>
      </c>
    </row>
    <row r="138" spans="1:10">
      <c r="A138" s="2">
        <v>43670</v>
      </c>
      <c r="B138" s="1">
        <v>557.32000000000005</v>
      </c>
      <c r="C138" s="1">
        <v>1732.35</v>
      </c>
      <c r="D138" s="1">
        <v>530.14</v>
      </c>
      <c r="E138" s="1">
        <v>653.11</v>
      </c>
      <c r="F138" s="1">
        <v>192.01</v>
      </c>
      <c r="G138" s="1">
        <v>5349.88</v>
      </c>
      <c r="H138" s="1">
        <v>394.29</v>
      </c>
      <c r="I138" s="1">
        <v>1250.44</v>
      </c>
      <c r="J138" s="1">
        <v>11271.3</v>
      </c>
    </row>
    <row r="139" spans="1:10">
      <c r="A139" s="2">
        <v>43671</v>
      </c>
      <c r="B139" s="1">
        <v>545.11</v>
      </c>
      <c r="C139" s="1">
        <v>1758.04</v>
      </c>
      <c r="D139" s="1">
        <v>531.33000000000004</v>
      </c>
      <c r="E139" s="1">
        <v>659.92</v>
      </c>
      <c r="F139" s="1">
        <v>189.89</v>
      </c>
      <c r="G139" s="1">
        <v>5339.45</v>
      </c>
      <c r="H139" s="1">
        <v>405.04</v>
      </c>
      <c r="I139" s="1">
        <v>1236.96</v>
      </c>
      <c r="J139" s="1">
        <v>11252.15</v>
      </c>
    </row>
    <row r="140" spans="1:10">
      <c r="A140" s="2">
        <v>43672</v>
      </c>
      <c r="B140" s="1">
        <v>537.27</v>
      </c>
      <c r="C140" s="1">
        <v>1742.47</v>
      </c>
      <c r="D140" s="1">
        <v>529.29999999999995</v>
      </c>
      <c r="E140" s="1">
        <v>653.69000000000005</v>
      </c>
      <c r="F140" s="1">
        <v>191.7</v>
      </c>
      <c r="G140" s="1">
        <v>5384.81</v>
      </c>
      <c r="H140" s="1">
        <v>407.63</v>
      </c>
      <c r="I140" s="1">
        <v>1254.76</v>
      </c>
      <c r="J140" s="1">
        <v>11284.3</v>
      </c>
    </row>
    <row r="141" spans="1:10">
      <c r="A141" s="2">
        <v>43675</v>
      </c>
      <c r="B141" s="1">
        <v>536.01</v>
      </c>
      <c r="C141" s="1">
        <v>1759.78</v>
      </c>
      <c r="D141" s="1">
        <v>521.63</v>
      </c>
      <c r="E141" s="1">
        <v>657.39</v>
      </c>
      <c r="F141" s="1">
        <v>189.82</v>
      </c>
      <c r="G141" s="1">
        <v>5158.12</v>
      </c>
      <c r="H141" s="1">
        <v>399.39</v>
      </c>
      <c r="I141" s="1">
        <v>1236.1500000000001</v>
      </c>
      <c r="J141" s="1">
        <v>11189.2</v>
      </c>
    </row>
    <row r="142" spans="1:10">
      <c r="A142" s="2">
        <v>43676</v>
      </c>
      <c r="B142" s="1">
        <v>522.71</v>
      </c>
      <c r="C142" s="1">
        <v>1800.39</v>
      </c>
      <c r="D142" s="1">
        <v>523.48</v>
      </c>
      <c r="E142" s="1">
        <v>658.43</v>
      </c>
      <c r="F142" s="1">
        <v>190.63</v>
      </c>
      <c r="G142" s="1">
        <v>5107.9399999999996</v>
      </c>
      <c r="H142" s="1">
        <v>380.21</v>
      </c>
      <c r="I142" s="1">
        <v>1240.52</v>
      </c>
      <c r="J142" s="1">
        <v>11085.4</v>
      </c>
    </row>
    <row r="143" spans="1:10">
      <c r="A143" s="2">
        <v>43677</v>
      </c>
      <c r="B143" s="1">
        <v>516.23</v>
      </c>
      <c r="C143" s="1">
        <v>1822.32</v>
      </c>
      <c r="D143" s="1">
        <v>523.34</v>
      </c>
      <c r="E143" s="1">
        <v>659.22</v>
      </c>
      <c r="F143" s="1">
        <v>191.55</v>
      </c>
      <c r="G143" s="1">
        <v>5073.21</v>
      </c>
      <c r="H143" s="1">
        <v>395.4</v>
      </c>
      <c r="I143" s="1">
        <v>1250.3900000000001</v>
      </c>
      <c r="J143" s="1">
        <v>11118</v>
      </c>
    </row>
    <row r="144" spans="1:10">
      <c r="A144" s="2">
        <v>43678</v>
      </c>
      <c r="B144" s="1">
        <v>522.41999999999996</v>
      </c>
      <c r="C144" s="1">
        <v>1801.13</v>
      </c>
      <c r="D144" s="1">
        <v>517.54999999999995</v>
      </c>
      <c r="E144" s="1">
        <v>638.62</v>
      </c>
      <c r="F144" s="1">
        <v>189.67</v>
      </c>
      <c r="G144" s="1">
        <v>5168.6499999999996</v>
      </c>
      <c r="H144" s="1">
        <v>393.87</v>
      </c>
      <c r="I144" s="1">
        <v>1224.03</v>
      </c>
      <c r="J144" s="1">
        <v>10980</v>
      </c>
    </row>
    <row r="145" spans="1:10">
      <c r="A145" s="2">
        <v>43679</v>
      </c>
      <c r="B145" s="1">
        <v>527.38</v>
      </c>
      <c r="C145" s="1">
        <v>1821.99</v>
      </c>
      <c r="D145" s="1">
        <v>515.80999999999995</v>
      </c>
      <c r="E145" s="1">
        <v>644.22</v>
      </c>
      <c r="F145" s="1">
        <v>187.51</v>
      </c>
      <c r="G145" s="1">
        <v>5276.94</v>
      </c>
      <c r="H145" s="1">
        <v>389.75</v>
      </c>
      <c r="I145" s="1">
        <v>1235.02</v>
      </c>
      <c r="J145" s="1">
        <v>10997.35</v>
      </c>
    </row>
    <row r="146" spans="1:10">
      <c r="A146" s="2">
        <v>43682</v>
      </c>
      <c r="B146" s="1">
        <v>509.13</v>
      </c>
      <c r="C146" s="1">
        <v>1857.77</v>
      </c>
      <c r="D146" s="1">
        <v>507.64</v>
      </c>
      <c r="E146" s="1">
        <v>645.14</v>
      </c>
      <c r="F146" s="1">
        <v>184.18</v>
      </c>
      <c r="G146" s="1">
        <v>5259.31</v>
      </c>
      <c r="H146" s="1">
        <v>386.51</v>
      </c>
      <c r="I146" s="1">
        <v>1212.99</v>
      </c>
      <c r="J146" s="1">
        <v>10862.6</v>
      </c>
    </row>
    <row r="147" spans="1:10">
      <c r="A147" s="2">
        <v>43683</v>
      </c>
      <c r="B147" s="1">
        <v>502.43</v>
      </c>
      <c r="C147" s="1">
        <v>1829.92</v>
      </c>
      <c r="D147" s="1">
        <v>509.93</v>
      </c>
      <c r="E147" s="1">
        <v>643.27</v>
      </c>
      <c r="F147" s="1">
        <v>183.54</v>
      </c>
      <c r="G147" s="1">
        <v>5410.45</v>
      </c>
      <c r="H147" s="1">
        <v>387.48</v>
      </c>
      <c r="I147" s="1">
        <v>1241.56</v>
      </c>
      <c r="J147" s="1">
        <v>10948.25</v>
      </c>
    </row>
    <row r="148" spans="1:10">
      <c r="A148" s="2">
        <v>43684</v>
      </c>
      <c r="B148" s="1">
        <v>494.01</v>
      </c>
      <c r="C148" s="1">
        <v>1828.72</v>
      </c>
      <c r="D148" s="1">
        <v>508.74</v>
      </c>
      <c r="E148" s="1">
        <v>644.64</v>
      </c>
      <c r="F148" s="1">
        <v>179.82</v>
      </c>
      <c r="G148" s="1">
        <v>5356.38</v>
      </c>
      <c r="H148" s="1">
        <v>390.12</v>
      </c>
      <c r="I148" s="1">
        <v>1225.83</v>
      </c>
      <c r="J148" s="1">
        <v>10855.5</v>
      </c>
    </row>
    <row r="149" spans="1:10">
      <c r="A149" s="2">
        <v>43685</v>
      </c>
      <c r="B149" s="1">
        <v>513.13</v>
      </c>
      <c r="C149" s="1">
        <v>1865.61</v>
      </c>
      <c r="D149" s="1">
        <v>520.19000000000005</v>
      </c>
      <c r="E149" s="1">
        <v>655.15</v>
      </c>
      <c r="F149" s="1">
        <v>182.73</v>
      </c>
      <c r="G149" s="1">
        <v>5474.4</v>
      </c>
      <c r="H149" s="1">
        <v>395.12</v>
      </c>
      <c r="I149" s="1">
        <v>1226.3699999999999</v>
      </c>
      <c r="J149" s="1">
        <v>11032.45</v>
      </c>
    </row>
    <row r="150" spans="1:10">
      <c r="A150" s="2">
        <v>43686</v>
      </c>
      <c r="B150" s="1">
        <v>517.48</v>
      </c>
      <c r="C150" s="1">
        <v>1855.82</v>
      </c>
      <c r="D150" s="1">
        <v>531.57000000000005</v>
      </c>
      <c r="E150" s="1">
        <v>656.06</v>
      </c>
      <c r="F150" s="1">
        <v>180.21</v>
      </c>
      <c r="G150" s="1">
        <v>5657.73</v>
      </c>
      <c r="H150" s="1">
        <v>391</v>
      </c>
      <c r="I150" s="1">
        <v>1229.93</v>
      </c>
      <c r="J150" s="1">
        <v>11109.65</v>
      </c>
    </row>
    <row r="151" spans="1:10">
      <c r="A151" s="2">
        <v>43690</v>
      </c>
      <c r="B151" s="1">
        <v>567.64</v>
      </c>
      <c r="C151" s="1">
        <v>1817.16</v>
      </c>
      <c r="D151" s="1">
        <v>517.21</v>
      </c>
      <c r="E151" s="1">
        <v>635.21</v>
      </c>
      <c r="F151" s="1">
        <v>174.61</v>
      </c>
      <c r="G151" s="1">
        <v>5393.9</v>
      </c>
      <c r="H151" s="1">
        <v>406.98</v>
      </c>
      <c r="I151" s="1">
        <v>1183.6500000000001</v>
      </c>
      <c r="J151" s="1">
        <v>10925.85</v>
      </c>
    </row>
    <row r="152" spans="1:10">
      <c r="A152" s="2">
        <v>43691</v>
      </c>
      <c r="B152" s="1">
        <v>573.65</v>
      </c>
      <c r="C152" s="1">
        <v>1821.25</v>
      </c>
      <c r="D152" s="1">
        <v>519.33000000000004</v>
      </c>
      <c r="E152" s="1">
        <v>643.55999999999995</v>
      </c>
      <c r="F152" s="1">
        <v>176.35</v>
      </c>
      <c r="G152" s="1">
        <v>5469.65</v>
      </c>
      <c r="H152" s="1">
        <v>386.51</v>
      </c>
      <c r="I152" s="1">
        <v>1202.08</v>
      </c>
      <c r="J152" s="1">
        <v>11029.4</v>
      </c>
    </row>
    <row r="153" spans="1:10">
      <c r="A153" s="2">
        <v>43693</v>
      </c>
      <c r="B153" s="1">
        <v>569.09</v>
      </c>
      <c r="C153" s="1">
        <v>1788.78</v>
      </c>
      <c r="D153" s="1">
        <v>518.91999999999996</v>
      </c>
      <c r="E153" s="1">
        <v>643.35</v>
      </c>
      <c r="F153" s="1">
        <v>179.36</v>
      </c>
      <c r="G153" s="1">
        <v>5619.23</v>
      </c>
      <c r="H153" s="1">
        <v>384.24</v>
      </c>
      <c r="I153" s="1">
        <v>1203.48</v>
      </c>
      <c r="J153" s="1">
        <v>11047.8</v>
      </c>
    </row>
    <row r="154" spans="1:10">
      <c r="A154" s="2">
        <v>43696</v>
      </c>
      <c r="B154" s="1">
        <v>575.59</v>
      </c>
      <c r="C154" s="1">
        <v>1787.04</v>
      </c>
      <c r="D154" s="1">
        <v>514.07000000000005</v>
      </c>
      <c r="E154" s="1">
        <v>645.92999999999995</v>
      </c>
      <c r="F154" s="1">
        <v>178.33</v>
      </c>
      <c r="G154" s="1">
        <v>5626.28</v>
      </c>
      <c r="H154" s="1">
        <v>394.71</v>
      </c>
      <c r="I154" s="1">
        <v>1218.76</v>
      </c>
      <c r="J154" s="1">
        <v>11053.9</v>
      </c>
    </row>
    <row r="155" spans="1:10">
      <c r="A155" s="2">
        <v>43697</v>
      </c>
      <c r="B155" s="1">
        <v>568.16999999999996</v>
      </c>
      <c r="C155" s="1">
        <v>1806.67</v>
      </c>
      <c r="D155" s="1">
        <v>517.27</v>
      </c>
      <c r="E155" s="1">
        <v>658.47</v>
      </c>
      <c r="F155" s="1">
        <v>174.75</v>
      </c>
      <c r="G155" s="1">
        <v>5822.27</v>
      </c>
      <c r="H155" s="1">
        <v>392.52</v>
      </c>
      <c r="I155" s="1">
        <v>1210.01</v>
      </c>
      <c r="J155" s="1">
        <v>11017</v>
      </c>
    </row>
    <row r="156" spans="1:10">
      <c r="A156" s="2">
        <v>43698</v>
      </c>
      <c r="B156" s="1">
        <v>565.95000000000005</v>
      </c>
      <c r="C156" s="1">
        <v>1806.21</v>
      </c>
      <c r="D156" s="1">
        <v>518.49</v>
      </c>
      <c r="E156" s="1">
        <v>664.03</v>
      </c>
      <c r="F156" s="1">
        <v>171.17</v>
      </c>
      <c r="G156" s="1">
        <v>5857.96</v>
      </c>
      <c r="H156" s="1">
        <v>388.88</v>
      </c>
      <c r="I156" s="1">
        <v>1181.31</v>
      </c>
      <c r="J156" s="1">
        <v>10918.7</v>
      </c>
    </row>
    <row r="157" spans="1:10">
      <c r="A157" s="2">
        <v>43699</v>
      </c>
      <c r="B157" s="1">
        <v>555.16999999999996</v>
      </c>
      <c r="C157" s="1">
        <v>1830.83</v>
      </c>
      <c r="D157" s="1">
        <v>506.44</v>
      </c>
      <c r="E157" s="1">
        <v>660.92</v>
      </c>
      <c r="F157" s="1">
        <v>170.18</v>
      </c>
      <c r="G157" s="1">
        <v>5838.82</v>
      </c>
      <c r="H157" s="1">
        <v>386.59</v>
      </c>
      <c r="I157" s="1">
        <v>1166.52</v>
      </c>
      <c r="J157" s="1">
        <v>10741.35</v>
      </c>
    </row>
    <row r="158" spans="1:10">
      <c r="A158" s="2">
        <v>43700</v>
      </c>
      <c r="B158" s="1">
        <v>568.13</v>
      </c>
      <c r="C158" s="1">
        <v>1857.02</v>
      </c>
      <c r="D158" s="1">
        <v>503.78</v>
      </c>
      <c r="E158" s="1">
        <v>666.32</v>
      </c>
      <c r="F158" s="1">
        <v>167.38</v>
      </c>
      <c r="G158" s="1">
        <v>5881.89</v>
      </c>
      <c r="H158" s="1">
        <v>398.95</v>
      </c>
      <c r="I158" s="1">
        <v>1159.54</v>
      </c>
      <c r="J158" s="1">
        <v>10829.35</v>
      </c>
    </row>
    <row r="159" spans="1:10">
      <c r="A159" s="2">
        <v>43703</v>
      </c>
      <c r="B159" s="1">
        <v>564.1</v>
      </c>
      <c r="C159" s="1">
        <v>1880.65</v>
      </c>
      <c r="D159" s="1">
        <v>525.54999999999995</v>
      </c>
      <c r="E159" s="1">
        <v>666.61</v>
      </c>
      <c r="F159" s="1">
        <v>171.92</v>
      </c>
      <c r="G159" s="1">
        <v>5883.02</v>
      </c>
      <c r="H159" s="1">
        <v>391.07</v>
      </c>
      <c r="I159" s="1">
        <v>1202.04</v>
      </c>
      <c r="J159" s="1">
        <v>11057.85</v>
      </c>
    </row>
    <row r="160" spans="1:10">
      <c r="A160" s="2">
        <v>43704</v>
      </c>
      <c r="B160" s="1">
        <v>567.67999999999995</v>
      </c>
      <c r="C160" s="1">
        <v>1847.77</v>
      </c>
      <c r="D160" s="1">
        <v>526.44000000000005</v>
      </c>
      <c r="E160" s="1">
        <v>651.74</v>
      </c>
      <c r="F160" s="1">
        <v>174.04</v>
      </c>
      <c r="G160" s="1">
        <v>5903.9</v>
      </c>
      <c r="H160" s="1">
        <v>388.65</v>
      </c>
      <c r="I160" s="1">
        <v>1223.04</v>
      </c>
      <c r="J160" s="1">
        <v>11105.35</v>
      </c>
    </row>
    <row r="161" spans="1:10">
      <c r="A161" s="2">
        <v>43705</v>
      </c>
      <c r="B161" s="1">
        <v>562.54</v>
      </c>
      <c r="C161" s="1">
        <v>1850.04</v>
      </c>
      <c r="D161" s="1">
        <v>523.54</v>
      </c>
      <c r="E161" s="1">
        <v>666.57</v>
      </c>
      <c r="F161" s="1">
        <v>174.36</v>
      </c>
      <c r="G161" s="1">
        <v>5739.93</v>
      </c>
      <c r="H161" s="1">
        <v>385.24</v>
      </c>
      <c r="I161" s="1">
        <v>1211.95</v>
      </c>
      <c r="J161" s="1">
        <v>11046.1</v>
      </c>
    </row>
    <row r="162" spans="1:10">
      <c r="A162" s="2">
        <v>43706</v>
      </c>
      <c r="B162" s="1">
        <v>552.94000000000005</v>
      </c>
      <c r="C162" s="1">
        <v>1845.25</v>
      </c>
      <c r="D162" s="1">
        <v>518.75</v>
      </c>
      <c r="E162" s="1">
        <v>670.26</v>
      </c>
      <c r="F162" s="1">
        <v>170.99</v>
      </c>
      <c r="G162" s="1">
        <v>5746.33</v>
      </c>
      <c r="H162" s="1">
        <v>405.34</v>
      </c>
      <c r="I162" s="1">
        <v>1209.97</v>
      </c>
      <c r="J162" s="1">
        <v>10948.3</v>
      </c>
    </row>
    <row r="163" spans="1:10">
      <c r="A163" s="2">
        <v>43707</v>
      </c>
      <c r="B163" s="1">
        <v>555.97</v>
      </c>
      <c r="C163" s="1">
        <v>1866.85</v>
      </c>
      <c r="D163" s="1">
        <v>518.98</v>
      </c>
      <c r="E163" s="1">
        <v>676.87</v>
      </c>
      <c r="F163" s="1">
        <v>174.15</v>
      </c>
      <c r="G163" s="1">
        <v>5759.07</v>
      </c>
      <c r="H163" s="1">
        <v>420.03</v>
      </c>
      <c r="I163" s="1">
        <v>1197.17</v>
      </c>
      <c r="J163" s="1">
        <v>11023.25</v>
      </c>
    </row>
    <row r="164" spans="1:10">
      <c r="A164" s="2">
        <v>43711</v>
      </c>
      <c r="B164" s="1">
        <v>537.20000000000005</v>
      </c>
      <c r="C164" s="1">
        <v>1860.24</v>
      </c>
      <c r="D164" s="1">
        <v>515.02</v>
      </c>
      <c r="E164" s="1">
        <v>676.33</v>
      </c>
      <c r="F164" s="1">
        <v>171.24</v>
      </c>
      <c r="G164" s="1">
        <v>5689.43</v>
      </c>
      <c r="H164" s="1">
        <v>409.72</v>
      </c>
      <c r="I164" s="1">
        <v>1166.6600000000001</v>
      </c>
      <c r="J164" s="1">
        <v>10797.9</v>
      </c>
    </row>
    <row r="165" spans="1:10">
      <c r="A165" s="2">
        <v>43712</v>
      </c>
      <c r="B165" s="1">
        <v>534.87</v>
      </c>
      <c r="C165" s="1">
        <v>1855.12</v>
      </c>
      <c r="D165" s="1">
        <v>523.59</v>
      </c>
      <c r="E165" s="1">
        <v>682.18</v>
      </c>
      <c r="F165" s="1">
        <v>172.45</v>
      </c>
      <c r="G165" s="1">
        <v>5483.52</v>
      </c>
      <c r="H165" s="1">
        <v>397.69</v>
      </c>
      <c r="I165" s="1">
        <v>1178.96</v>
      </c>
      <c r="J165" s="1">
        <v>10844.65</v>
      </c>
    </row>
    <row r="166" spans="1:10">
      <c r="A166" s="2">
        <v>43713</v>
      </c>
      <c r="B166" s="1">
        <v>533.73</v>
      </c>
      <c r="C166" s="1">
        <v>1830.25</v>
      </c>
      <c r="D166" s="1">
        <v>520.66</v>
      </c>
      <c r="E166" s="1">
        <v>692.77</v>
      </c>
      <c r="F166" s="1">
        <v>173.16</v>
      </c>
      <c r="G166" s="1">
        <v>5613.21</v>
      </c>
      <c r="H166" s="1">
        <v>402.68</v>
      </c>
      <c r="I166" s="1">
        <v>1190</v>
      </c>
      <c r="J166" s="1">
        <v>10847.9</v>
      </c>
    </row>
    <row r="167" spans="1:10">
      <c r="A167" s="2">
        <v>43714</v>
      </c>
      <c r="B167" s="1">
        <v>544.37</v>
      </c>
      <c r="C167" s="1">
        <v>1815.55</v>
      </c>
      <c r="D167" s="1">
        <v>523.16</v>
      </c>
      <c r="E167" s="1">
        <v>697.84</v>
      </c>
      <c r="F167" s="1">
        <v>172.91</v>
      </c>
      <c r="G167" s="1">
        <v>5818.51</v>
      </c>
      <c r="H167" s="1">
        <v>396.43</v>
      </c>
      <c r="I167" s="1">
        <v>1197.53</v>
      </c>
      <c r="J167" s="1">
        <v>10946.2</v>
      </c>
    </row>
    <row r="168" spans="1:10">
      <c r="A168" s="2">
        <v>43717</v>
      </c>
      <c r="B168" s="1">
        <v>544.24</v>
      </c>
      <c r="C168" s="1">
        <v>1803.44</v>
      </c>
      <c r="D168" s="1">
        <v>524.02</v>
      </c>
      <c r="E168" s="1">
        <v>688.66</v>
      </c>
      <c r="F168" s="1">
        <v>174.04</v>
      </c>
      <c r="G168" s="1">
        <v>5958.21</v>
      </c>
      <c r="H168" s="1">
        <v>399.88</v>
      </c>
      <c r="I168" s="1">
        <v>1223.08</v>
      </c>
      <c r="J168" s="1">
        <v>11003.05</v>
      </c>
    </row>
    <row r="169" spans="1:10">
      <c r="A169" s="2">
        <v>43719</v>
      </c>
      <c r="B169" s="1">
        <v>549.66999999999996</v>
      </c>
      <c r="C169" s="1">
        <v>1779.61</v>
      </c>
      <c r="D169" s="1">
        <v>524.41999999999996</v>
      </c>
      <c r="E169" s="1">
        <v>681.18</v>
      </c>
      <c r="F169" s="1">
        <v>172.8</v>
      </c>
      <c r="G169" s="1">
        <v>6204.42</v>
      </c>
      <c r="H169" s="1">
        <v>393.73</v>
      </c>
      <c r="I169" s="1">
        <v>1229.08</v>
      </c>
      <c r="J169" s="1">
        <v>11035.7</v>
      </c>
    </row>
    <row r="170" spans="1:10">
      <c r="A170" s="2">
        <v>43720</v>
      </c>
      <c r="B170" s="1">
        <v>538.96</v>
      </c>
      <c r="C170" s="1">
        <v>1762.75</v>
      </c>
      <c r="D170" s="1">
        <v>528.97</v>
      </c>
      <c r="E170" s="1">
        <v>678.11</v>
      </c>
      <c r="F170" s="1">
        <v>170.68</v>
      </c>
      <c r="G170" s="1">
        <v>6011.39</v>
      </c>
      <c r="H170" s="1">
        <v>398.95</v>
      </c>
      <c r="I170" s="1">
        <v>1227.95</v>
      </c>
      <c r="J170" s="1">
        <v>10982.8</v>
      </c>
    </row>
    <row r="171" spans="1:10">
      <c r="A171" s="2">
        <v>43721</v>
      </c>
      <c r="B171" s="1">
        <v>545.75</v>
      </c>
      <c r="C171" s="1">
        <v>1769.65</v>
      </c>
      <c r="D171" s="1">
        <v>525.85</v>
      </c>
      <c r="E171" s="1">
        <v>688.83</v>
      </c>
      <c r="F171" s="1">
        <v>170.07</v>
      </c>
      <c r="G171" s="1">
        <v>6066.17</v>
      </c>
      <c r="H171" s="1">
        <v>394.33</v>
      </c>
      <c r="I171" s="1">
        <v>1228.8900000000001</v>
      </c>
      <c r="J171" s="1">
        <v>11075.9</v>
      </c>
    </row>
    <row r="172" spans="1:10">
      <c r="A172" s="2">
        <v>43724</v>
      </c>
      <c r="B172" s="1">
        <v>539.14</v>
      </c>
      <c r="C172" s="1">
        <v>1776.3</v>
      </c>
      <c r="D172" s="1">
        <v>522.75</v>
      </c>
      <c r="E172" s="1">
        <v>687.5</v>
      </c>
      <c r="F172" s="1">
        <v>169.72</v>
      </c>
      <c r="G172" s="1">
        <v>6030.86</v>
      </c>
      <c r="H172" s="1">
        <v>398.02</v>
      </c>
      <c r="I172" s="1">
        <v>1211</v>
      </c>
      <c r="J172" s="1">
        <v>11003.5</v>
      </c>
    </row>
    <row r="173" spans="1:10">
      <c r="A173" s="2">
        <v>43725</v>
      </c>
      <c r="B173" s="1">
        <v>533.22</v>
      </c>
      <c r="C173" s="1">
        <v>1753.71</v>
      </c>
      <c r="D173" s="1">
        <v>515.11</v>
      </c>
      <c r="E173" s="1">
        <v>690.45</v>
      </c>
      <c r="F173" s="1">
        <v>168.16</v>
      </c>
      <c r="G173" s="1">
        <v>5765.33</v>
      </c>
      <c r="H173" s="1">
        <v>392.28</v>
      </c>
      <c r="I173" s="1">
        <v>1184.05</v>
      </c>
      <c r="J173" s="1">
        <v>10817.6</v>
      </c>
    </row>
    <row r="174" spans="1:10">
      <c r="A174" s="2">
        <v>43726</v>
      </c>
      <c r="B174" s="1">
        <v>536.89</v>
      </c>
      <c r="C174" s="1">
        <v>1766.84</v>
      </c>
      <c r="D174" s="1">
        <v>509.62</v>
      </c>
      <c r="E174" s="1">
        <v>689.28</v>
      </c>
      <c r="F174" s="1">
        <v>169.61</v>
      </c>
      <c r="G174" s="1">
        <v>5732.08</v>
      </c>
      <c r="H174" s="1">
        <v>388.69</v>
      </c>
      <c r="I174" s="1">
        <v>1187.93</v>
      </c>
      <c r="J174" s="1">
        <v>10840.65</v>
      </c>
    </row>
    <row r="175" spans="1:10">
      <c r="A175" s="2">
        <v>43727</v>
      </c>
      <c r="B175" s="1">
        <v>525.02</v>
      </c>
      <c r="C175" s="1">
        <v>1736.6</v>
      </c>
      <c r="D175" s="1">
        <v>512.96</v>
      </c>
      <c r="E175" s="1">
        <v>681.68</v>
      </c>
      <c r="F175" s="1">
        <v>167.8</v>
      </c>
      <c r="G175" s="1">
        <v>5616.12</v>
      </c>
      <c r="H175" s="1">
        <v>383.42</v>
      </c>
      <c r="I175" s="1">
        <v>1172.3399999999999</v>
      </c>
      <c r="J175" s="1">
        <v>10704.8</v>
      </c>
    </row>
    <row r="176" spans="1:10">
      <c r="A176" s="2">
        <v>43728</v>
      </c>
      <c r="B176" s="1">
        <v>558.54999999999995</v>
      </c>
      <c r="C176" s="1">
        <v>1706.45</v>
      </c>
      <c r="D176" s="1">
        <v>558.87</v>
      </c>
      <c r="E176" s="1">
        <v>668.64</v>
      </c>
      <c r="F176" s="1">
        <v>168.76</v>
      </c>
      <c r="G176" s="1">
        <v>6199.39</v>
      </c>
      <c r="H176" s="1">
        <v>385.8</v>
      </c>
      <c r="I176" s="1">
        <v>1272.2</v>
      </c>
      <c r="J176" s="1">
        <v>11274.2</v>
      </c>
    </row>
    <row r="177" spans="1:10">
      <c r="A177" s="2">
        <v>43731</v>
      </c>
      <c r="B177" s="1">
        <v>551.80999999999995</v>
      </c>
      <c r="C177" s="1">
        <v>1665.43</v>
      </c>
      <c r="D177" s="1">
        <v>585.73</v>
      </c>
      <c r="E177" s="1">
        <v>634.88</v>
      </c>
      <c r="F177" s="1">
        <v>180.67</v>
      </c>
      <c r="G177" s="1">
        <v>6487.07</v>
      </c>
      <c r="H177" s="1">
        <v>381.84</v>
      </c>
      <c r="I177" s="1">
        <v>1377.66</v>
      </c>
      <c r="J177" s="1">
        <v>11600.2</v>
      </c>
    </row>
    <row r="178" spans="1:10">
      <c r="A178" s="2">
        <v>43732</v>
      </c>
      <c r="B178" s="1">
        <v>569.4</v>
      </c>
      <c r="C178" s="1">
        <v>1689.31</v>
      </c>
      <c r="D178" s="1">
        <v>584.12</v>
      </c>
      <c r="E178" s="1">
        <v>659.55</v>
      </c>
      <c r="F178" s="1">
        <v>181.49</v>
      </c>
      <c r="G178" s="1">
        <v>6591.7</v>
      </c>
      <c r="H178" s="1">
        <v>382.02</v>
      </c>
      <c r="I178" s="1">
        <v>1335.11</v>
      </c>
      <c r="J178" s="1">
        <v>11588.2</v>
      </c>
    </row>
    <row r="179" spans="1:10">
      <c r="A179" s="2">
        <v>43733</v>
      </c>
      <c r="B179" s="1">
        <v>569.78</v>
      </c>
      <c r="C179" s="1">
        <v>1725.45</v>
      </c>
      <c r="D179" s="1">
        <v>577.54999999999995</v>
      </c>
      <c r="E179" s="1">
        <v>658.38</v>
      </c>
      <c r="F179" s="1">
        <v>175.5</v>
      </c>
      <c r="G179" s="1">
        <v>6243.17</v>
      </c>
      <c r="H179" s="1">
        <v>379.32</v>
      </c>
      <c r="I179" s="1">
        <v>1306.99</v>
      </c>
      <c r="J179" s="1">
        <v>11440.2</v>
      </c>
    </row>
    <row r="180" spans="1:10">
      <c r="A180" s="2">
        <v>43734</v>
      </c>
      <c r="B180" s="1">
        <v>577.46</v>
      </c>
      <c r="C180" s="1">
        <v>1724.75</v>
      </c>
      <c r="D180" s="1">
        <v>578.86</v>
      </c>
      <c r="E180" s="1">
        <v>650</v>
      </c>
      <c r="F180" s="1">
        <v>177.52</v>
      </c>
      <c r="G180" s="1">
        <v>6449.08</v>
      </c>
      <c r="H180" s="1">
        <v>384.17</v>
      </c>
      <c r="I180" s="1">
        <v>1342.82</v>
      </c>
      <c r="J180" s="1">
        <v>11571.2</v>
      </c>
    </row>
    <row r="181" spans="1:10">
      <c r="A181" s="2">
        <v>43735</v>
      </c>
      <c r="B181" s="1">
        <v>582.91</v>
      </c>
      <c r="C181" s="1">
        <v>1698.77</v>
      </c>
      <c r="D181" s="1">
        <v>579.65</v>
      </c>
      <c r="E181" s="1">
        <v>649.70000000000005</v>
      </c>
      <c r="F181" s="1">
        <v>179.32</v>
      </c>
      <c r="G181" s="1">
        <v>6370.31</v>
      </c>
      <c r="H181" s="1">
        <v>374.61</v>
      </c>
      <c r="I181" s="1">
        <v>1327.32</v>
      </c>
      <c r="J181" s="1">
        <v>11512.4</v>
      </c>
    </row>
    <row r="182" spans="1:10">
      <c r="A182" s="2">
        <v>43738</v>
      </c>
      <c r="B182" s="1">
        <v>593.24</v>
      </c>
      <c r="C182" s="1">
        <v>1734.42</v>
      </c>
      <c r="D182" s="1">
        <v>571.85</v>
      </c>
      <c r="E182" s="1">
        <v>669.18</v>
      </c>
      <c r="F182" s="1">
        <v>184.22</v>
      </c>
      <c r="G182" s="1">
        <v>6315.86</v>
      </c>
      <c r="H182" s="1">
        <v>363.19</v>
      </c>
      <c r="I182" s="1">
        <v>1328.76</v>
      </c>
      <c r="J182" s="1">
        <v>11474.45</v>
      </c>
    </row>
    <row r="183" spans="1:10">
      <c r="A183" s="2">
        <v>43739</v>
      </c>
      <c r="B183" s="1">
        <v>581.05999999999995</v>
      </c>
      <c r="C183" s="1">
        <v>1701.9</v>
      </c>
      <c r="D183" s="1">
        <v>581.79</v>
      </c>
      <c r="E183" s="1">
        <v>659.13</v>
      </c>
      <c r="F183" s="1">
        <v>181.42</v>
      </c>
      <c r="G183" s="1">
        <v>6378.12</v>
      </c>
      <c r="H183" s="1">
        <v>360.48</v>
      </c>
      <c r="I183" s="1">
        <v>1319.57</v>
      </c>
      <c r="J183" s="1">
        <v>11359.9</v>
      </c>
    </row>
    <row r="184" spans="1:10">
      <c r="A184" s="2">
        <v>43741</v>
      </c>
      <c r="B184" s="1">
        <v>583.79999999999995</v>
      </c>
      <c r="C184" s="1">
        <v>1702.15</v>
      </c>
      <c r="D184" s="1">
        <v>570.03</v>
      </c>
      <c r="E184" s="1">
        <v>652.53</v>
      </c>
      <c r="F184" s="1">
        <v>185.49</v>
      </c>
      <c r="G184" s="1">
        <v>6351.83</v>
      </c>
      <c r="H184" s="1">
        <v>361.97</v>
      </c>
      <c r="I184" s="1">
        <v>1314.16</v>
      </c>
      <c r="J184" s="1">
        <v>11314</v>
      </c>
    </row>
    <row r="185" spans="1:10">
      <c r="A185" s="2">
        <v>43742</v>
      </c>
      <c r="B185" s="1">
        <v>582.49</v>
      </c>
      <c r="C185" s="1">
        <v>1717.93</v>
      </c>
      <c r="D185" s="1">
        <v>554.26</v>
      </c>
      <c r="E185" s="1">
        <v>659.05</v>
      </c>
      <c r="F185" s="1">
        <v>182.37</v>
      </c>
      <c r="G185" s="1">
        <v>6253.61</v>
      </c>
      <c r="H185" s="1">
        <v>360.02</v>
      </c>
      <c r="I185" s="1">
        <v>1284.28</v>
      </c>
      <c r="J185" s="1">
        <v>11174.75</v>
      </c>
    </row>
    <row r="186" spans="1:10">
      <c r="A186" s="2">
        <v>43745</v>
      </c>
      <c r="B186" s="1">
        <v>583.38</v>
      </c>
      <c r="C186" s="1">
        <v>1691.78</v>
      </c>
      <c r="D186" s="1">
        <v>552.96</v>
      </c>
      <c r="E186" s="1">
        <v>655.81</v>
      </c>
      <c r="F186" s="1">
        <v>178.58</v>
      </c>
      <c r="G186" s="1">
        <v>6235.03</v>
      </c>
      <c r="H186" s="1">
        <v>354.28</v>
      </c>
      <c r="I186" s="1">
        <v>1259.9000000000001</v>
      </c>
      <c r="J186" s="1">
        <v>11126.4</v>
      </c>
    </row>
    <row r="187" spans="1:10">
      <c r="A187" s="2">
        <v>43747</v>
      </c>
      <c r="B187" s="1">
        <v>589.9</v>
      </c>
      <c r="C187" s="1">
        <v>1668.98</v>
      </c>
      <c r="D187" s="1">
        <v>572.16999999999996</v>
      </c>
      <c r="E187" s="1">
        <v>650.91</v>
      </c>
      <c r="F187" s="1">
        <v>175.18</v>
      </c>
      <c r="G187" s="1">
        <v>6319.39</v>
      </c>
      <c r="H187" s="1">
        <v>358.06</v>
      </c>
      <c r="I187" s="1">
        <v>1285.5</v>
      </c>
      <c r="J187" s="1">
        <v>11313.3</v>
      </c>
    </row>
    <row r="188" spans="1:10">
      <c r="A188" s="2">
        <v>43748</v>
      </c>
      <c r="B188" s="1">
        <v>606.82000000000005</v>
      </c>
      <c r="C188" s="1">
        <v>1656.05</v>
      </c>
      <c r="D188" s="1">
        <v>559.32000000000005</v>
      </c>
      <c r="E188" s="1">
        <v>650.41</v>
      </c>
      <c r="F188" s="1">
        <v>172.41</v>
      </c>
      <c r="G188" s="1">
        <v>6212.08</v>
      </c>
      <c r="H188" s="1">
        <v>360.95</v>
      </c>
      <c r="I188" s="1">
        <v>1284.46</v>
      </c>
      <c r="J188" s="1">
        <v>11234.55</v>
      </c>
    </row>
    <row r="189" spans="1:10">
      <c r="A189" s="2">
        <v>43749</v>
      </c>
      <c r="B189" s="1">
        <v>602.29999999999995</v>
      </c>
      <c r="C189" s="1">
        <v>1641.51</v>
      </c>
      <c r="D189" s="1">
        <v>558.5</v>
      </c>
      <c r="E189" s="1">
        <v>676.78</v>
      </c>
      <c r="F189" s="1">
        <v>172.94</v>
      </c>
      <c r="G189" s="1">
        <v>6299.97</v>
      </c>
      <c r="H189" s="1">
        <v>360.25</v>
      </c>
      <c r="I189" s="1">
        <v>1286.8</v>
      </c>
      <c r="J189" s="1">
        <v>11305.05</v>
      </c>
    </row>
    <row r="190" spans="1:10">
      <c r="A190" s="2">
        <v>43752</v>
      </c>
      <c r="B190" s="1">
        <v>604.71</v>
      </c>
      <c r="C190" s="1">
        <v>1669.72</v>
      </c>
      <c r="D190" s="1">
        <v>561.11</v>
      </c>
      <c r="E190" s="1">
        <v>652.94000000000005</v>
      </c>
      <c r="F190" s="1">
        <v>173.05</v>
      </c>
      <c r="G190" s="1">
        <v>6414.89</v>
      </c>
      <c r="H190" s="1">
        <v>368.04</v>
      </c>
      <c r="I190" s="1">
        <v>1283.42</v>
      </c>
      <c r="J190" s="1">
        <v>11341.15</v>
      </c>
    </row>
    <row r="191" spans="1:10">
      <c r="A191" s="2">
        <v>43753</v>
      </c>
      <c r="B191" s="1">
        <v>607.45000000000005</v>
      </c>
      <c r="C191" s="1">
        <v>1683.19</v>
      </c>
      <c r="D191" s="1">
        <v>569.79999999999995</v>
      </c>
      <c r="E191" s="1">
        <v>638.16</v>
      </c>
      <c r="F191" s="1">
        <v>175.53</v>
      </c>
      <c r="G191" s="1">
        <v>6569.74</v>
      </c>
      <c r="H191" s="1">
        <v>370.04</v>
      </c>
      <c r="I191" s="1">
        <v>1290.9100000000001</v>
      </c>
      <c r="J191" s="1">
        <v>11428.3</v>
      </c>
    </row>
    <row r="192" spans="1:10">
      <c r="A192" s="2">
        <v>43754</v>
      </c>
      <c r="B192" s="1">
        <v>611.1</v>
      </c>
      <c r="C192" s="1">
        <v>1690.71</v>
      </c>
      <c r="D192" s="1">
        <v>568.89</v>
      </c>
      <c r="E192" s="1">
        <v>640.78</v>
      </c>
      <c r="F192" s="1">
        <v>172.73</v>
      </c>
      <c r="G192" s="1">
        <v>6559.63</v>
      </c>
      <c r="H192" s="1">
        <v>372.75</v>
      </c>
      <c r="I192" s="1">
        <v>1283.6500000000001</v>
      </c>
      <c r="J192" s="1">
        <v>11464</v>
      </c>
    </row>
    <row r="193" spans="1:10">
      <c r="A193" s="2">
        <v>43755</v>
      </c>
      <c r="B193" s="1">
        <v>621.85</v>
      </c>
      <c r="C193" s="1">
        <v>1715.67</v>
      </c>
      <c r="D193" s="1">
        <v>568.38</v>
      </c>
      <c r="E193" s="1">
        <v>639.16</v>
      </c>
      <c r="F193" s="1">
        <v>174.29</v>
      </c>
      <c r="G193" s="1">
        <v>6699.66</v>
      </c>
      <c r="H193" s="1">
        <v>374.42</v>
      </c>
      <c r="I193" s="1">
        <v>1283.78</v>
      </c>
      <c r="J193" s="1">
        <v>11586.35</v>
      </c>
    </row>
    <row r="194" spans="1:10">
      <c r="A194" s="2">
        <v>43756</v>
      </c>
      <c r="B194" s="1">
        <v>630.69000000000005</v>
      </c>
      <c r="C194" s="1">
        <v>1737.97</v>
      </c>
      <c r="D194" s="1">
        <v>572.57000000000005</v>
      </c>
      <c r="E194" s="1">
        <v>637.79</v>
      </c>
      <c r="F194" s="1">
        <v>174.75</v>
      </c>
      <c r="G194" s="1">
        <v>6867.44</v>
      </c>
      <c r="H194" s="1">
        <v>374.56</v>
      </c>
      <c r="I194" s="1">
        <v>1304.92</v>
      </c>
      <c r="J194" s="1">
        <v>11661.85</v>
      </c>
    </row>
    <row r="195" spans="1:10">
      <c r="A195" s="2">
        <v>43760</v>
      </c>
      <c r="B195" s="1">
        <v>629.71</v>
      </c>
      <c r="C195" s="1">
        <v>1732.95</v>
      </c>
      <c r="D195" s="1">
        <v>577.37</v>
      </c>
      <c r="E195" s="1">
        <v>534.54</v>
      </c>
      <c r="F195" s="1">
        <v>176.45</v>
      </c>
      <c r="G195" s="1">
        <v>6824.13</v>
      </c>
      <c r="H195" s="1">
        <v>378.11</v>
      </c>
      <c r="I195" s="1">
        <v>1300.19</v>
      </c>
      <c r="J195" s="1">
        <v>11588.35</v>
      </c>
    </row>
    <row r="196" spans="1:10">
      <c r="A196" s="2">
        <v>43761</v>
      </c>
      <c r="B196" s="1">
        <v>620.03</v>
      </c>
      <c r="C196" s="1">
        <v>1748.75</v>
      </c>
      <c r="D196" s="1">
        <v>578.44000000000005</v>
      </c>
      <c r="E196" s="1">
        <v>547.20000000000005</v>
      </c>
      <c r="F196" s="1">
        <v>177.98</v>
      </c>
      <c r="G196" s="1">
        <v>6997.17</v>
      </c>
      <c r="H196" s="1">
        <v>377.87</v>
      </c>
      <c r="I196" s="1">
        <v>1290.5</v>
      </c>
      <c r="J196" s="1">
        <v>11604.1</v>
      </c>
    </row>
    <row r="197" spans="1:10">
      <c r="A197" s="2">
        <v>43762</v>
      </c>
      <c r="B197" s="1">
        <v>639.64</v>
      </c>
      <c r="C197" s="1">
        <v>1758.8</v>
      </c>
      <c r="D197" s="1">
        <v>575.88</v>
      </c>
      <c r="E197" s="1">
        <v>534.37</v>
      </c>
      <c r="F197" s="1">
        <v>176.56</v>
      </c>
      <c r="G197" s="1">
        <v>6951.23</v>
      </c>
      <c r="H197" s="1">
        <v>378.57</v>
      </c>
      <c r="I197" s="1">
        <v>1290.9100000000001</v>
      </c>
      <c r="J197" s="1">
        <v>11582.6</v>
      </c>
    </row>
    <row r="198" spans="1:10">
      <c r="A198" s="2">
        <v>43763</v>
      </c>
      <c r="B198" s="1">
        <v>637.30999999999995</v>
      </c>
      <c r="C198" s="1">
        <v>1795.08</v>
      </c>
      <c r="D198" s="1">
        <v>572.57000000000005</v>
      </c>
      <c r="E198" s="1">
        <v>536.14</v>
      </c>
      <c r="F198" s="1">
        <v>175.6</v>
      </c>
      <c r="G198" s="1">
        <v>7026.23</v>
      </c>
      <c r="H198" s="1">
        <v>389.35</v>
      </c>
      <c r="I198" s="1">
        <v>1284.3699999999999</v>
      </c>
      <c r="J198" s="1">
        <v>11583.9</v>
      </c>
    </row>
    <row r="199" spans="1:10">
      <c r="A199" s="2">
        <v>43765</v>
      </c>
      <c r="B199" s="1">
        <v>638.66</v>
      </c>
      <c r="C199" s="1">
        <v>1787.27</v>
      </c>
      <c r="D199" s="1">
        <v>576.62</v>
      </c>
      <c r="E199" s="1">
        <v>545.73</v>
      </c>
      <c r="F199" s="1">
        <v>177.52</v>
      </c>
      <c r="G199" s="1">
        <v>6980.1</v>
      </c>
      <c r="H199" s="1">
        <v>389.58</v>
      </c>
      <c r="I199" s="1">
        <v>1292.8399999999999</v>
      </c>
      <c r="J199" s="1">
        <v>11583.9</v>
      </c>
    </row>
    <row r="200" spans="1:10">
      <c r="A200" s="2">
        <v>43767</v>
      </c>
      <c r="B200" s="1">
        <v>653.27</v>
      </c>
      <c r="C200" s="1">
        <v>1854.13</v>
      </c>
      <c r="D200" s="1">
        <v>578.86</v>
      </c>
      <c r="E200" s="1">
        <v>547.24</v>
      </c>
      <c r="F200" s="1">
        <v>179.54</v>
      </c>
      <c r="G200" s="1">
        <v>7261.48</v>
      </c>
      <c r="H200" s="1">
        <v>393.5</v>
      </c>
      <c r="I200" s="1">
        <v>1316.91</v>
      </c>
      <c r="J200" s="1">
        <v>11786.85</v>
      </c>
    </row>
    <row r="201" spans="1:10">
      <c r="A201" s="2">
        <v>43768</v>
      </c>
      <c r="B201" s="1">
        <v>658.63</v>
      </c>
      <c r="C201" s="1">
        <v>1903.08</v>
      </c>
      <c r="D201" s="1">
        <v>581.58000000000004</v>
      </c>
      <c r="E201" s="1">
        <v>555.61</v>
      </c>
      <c r="F201" s="1">
        <v>183.9</v>
      </c>
      <c r="G201" s="1">
        <v>7106.92</v>
      </c>
      <c r="H201" s="1">
        <v>400.68</v>
      </c>
      <c r="I201" s="1">
        <v>1328.76</v>
      </c>
      <c r="J201" s="1">
        <v>11844.1</v>
      </c>
    </row>
    <row r="202" spans="1:10">
      <c r="A202" s="2">
        <v>43769</v>
      </c>
      <c r="B202" s="1">
        <v>652.07000000000005</v>
      </c>
      <c r="C202" s="1">
        <v>1917.32</v>
      </c>
      <c r="D202" s="1">
        <v>573.20000000000005</v>
      </c>
      <c r="E202" s="1">
        <v>576.64</v>
      </c>
      <c r="F202" s="1">
        <v>182.66</v>
      </c>
      <c r="G202" s="1">
        <v>7109.23</v>
      </c>
      <c r="H202" s="1">
        <v>404.17</v>
      </c>
      <c r="I202" s="1">
        <v>1327.68</v>
      </c>
      <c r="J202" s="1">
        <v>11877.45</v>
      </c>
    </row>
    <row r="203" spans="1:10">
      <c r="A203" s="2">
        <v>43770</v>
      </c>
      <c r="B203" s="1">
        <v>648.75</v>
      </c>
      <c r="C203" s="1">
        <v>1859.24</v>
      </c>
      <c r="D203" s="1">
        <v>577.72</v>
      </c>
      <c r="E203" s="1">
        <v>578.57000000000005</v>
      </c>
      <c r="F203" s="1">
        <v>185.24</v>
      </c>
      <c r="G203" s="1">
        <v>7164.95</v>
      </c>
      <c r="H203" s="1">
        <v>408.04</v>
      </c>
      <c r="I203" s="1">
        <v>1306.3599999999999</v>
      </c>
      <c r="J203" s="1">
        <v>11890.6</v>
      </c>
    </row>
    <row r="204" spans="1:10">
      <c r="A204" s="2">
        <v>43773</v>
      </c>
      <c r="B204" s="1">
        <v>649.08000000000004</v>
      </c>
      <c r="C204" s="1">
        <v>1853.37</v>
      </c>
      <c r="D204" s="1">
        <v>576.23</v>
      </c>
      <c r="E204" s="1">
        <v>596.32000000000005</v>
      </c>
      <c r="F204" s="1">
        <v>184.85</v>
      </c>
      <c r="G204" s="1">
        <v>6981.89</v>
      </c>
      <c r="H204" s="1">
        <v>408.42</v>
      </c>
      <c r="I204" s="1">
        <v>1308.8900000000001</v>
      </c>
      <c r="J204" s="1">
        <v>11941.3</v>
      </c>
    </row>
    <row r="205" spans="1:10">
      <c r="A205" s="2">
        <v>43774</v>
      </c>
      <c r="B205" s="1">
        <v>644.47</v>
      </c>
      <c r="C205" s="1">
        <v>1860.04</v>
      </c>
      <c r="D205" s="1">
        <v>577.46</v>
      </c>
      <c r="E205" s="1">
        <v>585.47</v>
      </c>
      <c r="F205" s="1">
        <v>186.38</v>
      </c>
      <c r="G205" s="1">
        <v>6948.97</v>
      </c>
      <c r="H205" s="1">
        <v>400.91</v>
      </c>
      <c r="I205" s="1">
        <v>1297.71</v>
      </c>
      <c r="J205" s="1">
        <v>11917.2</v>
      </c>
    </row>
    <row r="206" spans="1:10">
      <c r="A206" s="2">
        <v>43775</v>
      </c>
      <c r="B206" s="1">
        <v>638.95000000000005</v>
      </c>
      <c r="C206" s="1">
        <v>1848.77</v>
      </c>
      <c r="D206" s="1">
        <v>585.45000000000005</v>
      </c>
      <c r="E206" s="1">
        <v>599.09</v>
      </c>
      <c r="F206" s="1">
        <v>185.28</v>
      </c>
      <c r="G206" s="1">
        <v>6875.76</v>
      </c>
      <c r="H206" s="1">
        <v>399.04</v>
      </c>
      <c r="I206" s="1">
        <v>1309.6500000000001</v>
      </c>
      <c r="J206" s="1">
        <v>11966.05</v>
      </c>
    </row>
    <row r="207" spans="1:10">
      <c r="A207" s="2">
        <v>43776</v>
      </c>
      <c r="B207" s="1">
        <v>649.51</v>
      </c>
      <c r="C207" s="1">
        <v>1846.1</v>
      </c>
      <c r="D207" s="1">
        <v>588.74</v>
      </c>
      <c r="E207" s="1">
        <v>605.65</v>
      </c>
      <c r="F207" s="1">
        <v>188.47</v>
      </c>
      <c r="G207" s="1">
        <v>6853.19</v>
      </c>
      <c r="H207" s="1">
        <v>410.89</v>
      </c>
      <c r="I207" s="1">
        <v>1293.43</v>
      </c>
      <c r="J207" s="1">
        <v>12012.05</v>
      </c>
    </row>
    <row r="208" spans="1:10">
      <c r="A208" s="2">
        <v>43777</v>
      </c>
      <c r="B208" s="1">
        <v>643.66999999999996</v>
      </c>
      <c r="C208" s="1">
        <v>1799.3</v>
      </c>
      <c r="D208" s="1">
        <v>584.96</v>
      </c>
      <c r="E208" s="1">
        <v>595.6</v>
      </c>
      <c r="F208" s="1">
        <v>184.68</v>
      </c>
      <c r="G208" s="1">
        <v>6771.75</v>
      </c>
      <c r="H208" s="1">
        <v>393.64</v>
      </c>
      <c r="I208" s="1">
        <v>1282.57</v>
      </c>
      <c r="J208" s="1">
        <v>11908.15</v>
      </c>
    </row>
    <row r="209" spans="1:10">
      <c r="A209" s="2">
        <v>43780</v>
      </c>
      <c r="B209" s="1">
        <v>635.79</v>
      </c>
      <c r="C209" s="1">
        <v>1774.81</v>
      </c>
      <c r="D209" s="1">
        <v>589.22</v>
      </c>
      <c r="E209" s="1">
        <v>592.45000000000005</v>
      </c>
      <c r="F209" s="1">
        <v>183.93</v>
      </c>
      <c r="G209" s="1">
        <v>6712.26</v>
      </c>
      <c r="H209" s="1">
        <v>393.03</v>
      </c>
      <c r="I209" s="1">
        <v>1277.1600000000001</v>
      </c>
      <c r="J209" s="1">
        <v>11913.45</v>
      </c>
    </row>
    <row r="210" spans="1:10">
      <c r="A210" s="2">
        <v>43782</v>
      </c>
      <c r="B210" s="1">
        <v>655.61</v>
      </c>
      <c r="C210" s="1">
        <v>1840.4</v>
      </c>
      <c r="D210" s="1">
        <v>585.87</v>
      </c>
      <c r="E210" s="1">
        <v>581.47</v>
      </c>
      <c r="F210" s="1">
        <v>179.96</v>
      </c>
      <c r="G210" s="1">
        <v>6728.53</v>
      </c>
      <c r="H210" s="1">
        <v>384.22</v>
      </c>
      <c r="I210" s="1">
        <v>1255.53</v>
      </c>
      <c r="J210" s="1">
        <v>11840.45</v>
      </c>
    </row>
    <row r="211" spans="1:10">
      <c r="A211" s="2">
        <v>43783</v>
      </c>
      <c r="B211" s="1">
        <v>651.35</v>
      </c>
      <c r="C211" s="1">
        <v>1855.78</v>
      </c>
      <c r="D211" s="1">
        <v>593.49</v>
      </c>
      <c r="E211" s="1">
        <v>593.20000000000005</v>
      </c>
      <c r="F211" s="1">
        <v>180</v>
      </c>
      <c r="G211" s="1">
        <v>6815.57</v>
      </c>
      <c r="H211" s="1">
        <v>382.54</v>
      </c>
      <c r="I211" s="1">
        <v>1244.22</v>
      </c>
      <c r="J211" s="1">
        <v>11872.1</v>
      </c>
    </row>
    <row r="212" spans="1:10">
      <c r="A212" s="2">
        <v>43784</v>
      </c>
      <c r="B212" s="1">
        <v>654.96</v>
      </c>
      <c r="C212" s="1">
        <v>1836.9</v>
      </c>
      <c r="D212" s="1">
        <v>595.35</v>
      </c>
      <c r="E212" s="1">
        <v>592.03</v>
      </c>
      <c r="F212" s="1">
        <v>177.69</v>
      </c>
      <c r="G212" s="1">
        <v>6721.57</v>
      </c>
      <c r="H212" s="1">
        <v>387.06</v>
      </c>
      <c r="I212" s="1">
        <v>1241.69</v>
      </c>
      <c r="J212" s="1">
        <v>11895.45</v>
      </c>
    </row>
    <row r="213" spans="1:10">
      <c r="A213" s="2">
        <v>43787</v>
      </c>
      <c r="B213" s="1">
        <v>649.77</v>
      </c>
      <c r="C213" s="1">
        <v>1818.44</v>
      </c>
      <c r="D213" s="1">
        <v>587.97</v>
      </c>
      <c r="E213" s="1">
        <v>593.12</v>
      </c>
      <c r="F213" s="1">
        <v>177.76</v>
      </c>
      <c r="G213" s="1">
        <v>6675.73</v>
      </c>
      <c r="H213" s="1">
        <v>395.92</v>
      </c>
      <c r="I213" s="1">
        <v>1229.8399999999999</v>
      </c>
      <c r="J213" s="1">
        <v>11884.5</v>
      </c>
    </row>
    <row r="214" spans="1:10">
      <c r="A214" s="2">
        <v>43788</v>
      </c>
      <c r="B214" s="1">
        <v>672.28</v>
      </c>
      <c r="C214" s="1">
        <v>1781.44</v>
      </c>
      <c r="D214" s="1">
        <v>592.55999999999995</v>
      </c>
      <c r="E214" s="1">
        <v>599.54999999999995</v>
      </c>
      <c r="F214" s="1">
        <v>176.74</v>
      </c>
      <c r="G214" s="1">
        <v>6625.88</v>
      </c>
      <c r="H214" s="1">
        <v>397.18</v>
      </c>
      <c r="I214" s="1">
        <v>1230.97</v>
      </c>
      <c r="J214" s="1">
        <v>11940.1</v>
      </c>
    </row>
    <row r="215" spans="1:10">
      <c r="A215" s="2">
        <v>43789</v>
      </c>
      <c r="B215" s="1">
        <v>689.16</v>
      </c>
      <c r="C215" s="1">
        <v>1781.23</v>
      </c>
      <c r="D215" s="1">
        <v>593.23</v>
      </c>
      <c r="E215" s="1">
        <v>599.67999999999995</v>
      </c>
      <c r="F215" s="1">
        <v>177.73</v>
      </c>
      <c r="G215" s="1">
        <v>6726.79</v>
      </c>
      <c r="H215" s="1">
        <v>419.65</v>
      </c>
      <c r="I215" s="1">
        <v>1244.53</v>
      </c>
      <c r="J215" s="1">
        <v>11999.1</v>
      </c>
    </row>
    <row r="216" spans="1:10">
      <c r="A216" s="2">
        <v>43790</v>
      </c>
      <c r="B216" s="1">
        <v>684.68</v>
      </c>
      <c r="C216" s="1">
        <v>1789.29</v>
      </c>
      <c r="D216" s="1">
        <v>597.89</v>
      </c>
      <c r="E216" s="1">
        <v>599.89</v>
      </c>
      <c r="F216" s="1">
        <v>174.18</v>
      </c>
      <c r="G216" s="1">
        <v>6601.05</v>
      </c>
      <c r="H216" s="1">
        <v>417</v>
      </c>
      <c r="I216" s="1">
        <v>1255.26</v>
      </c>
      <c r="J216" s="1">
        <v>11968.4</v>
      </c>
    </row>
    <row r="217" spans="1:10">
      <c r="A217" s="2">
        <v>43791</v>
      </c>
      <c r="B217" s="1">
        <v>688.65</v>
      </c>
      <c r="C217" s="1">
        <v>1750.1</v>
      </c>
      <c r="D217" s="1">
        <v>589.22</v>
      </c>
      <c r="E217" s="1">
        <v>583.03</v>
      </c>
      <c r="F217" s="1">
        <v>175.57</v>
      </c>
      <c r="G217" s="1">
        <v>6639.99</v>
      </c>
      <c r="H217" s="1">
        <v>421.61</v>
      </c>
      <c r="I217" s="1">
        <v>1242.5899999999999</v>
      </c>
      <c r="J217" s="1">
        <v>11914.4</v>
      </c>
    </row>
    <row r="218" spans="1:10">
      <c r="A218" s="2">
        <v>43794</v>
      </c>
      <c r="B218" s="1">
        <v>695.35</v>
      </c>
      <c r="C218" s="1">
        <v>1758.38</v>
      </c>
      <c r="D218" s="1">
        <v>592.17999999999995</v>
      </c>
      <c r="E218" s="1">
        <v>587.15</v>
      </c>
      <c r="F218" s="1">
        <v>175.64</v>
      </c>
      <c r="G218" s="1">
        <v>6805.18</v>
      </c>
      <c r="H218" s="1">
        <v>428</v>
      </c>
      <c r="I218" s="1">
        <v>1244.58</v>
      </c>
      <c r="J218" s="1">
        <v>12073.75</v>
      </c>
    </row>
    <row r="219" spans="1:10">
      <c r="A219" s="2">
        <v>43795</v>
      </c>
      <c r="B219" s="1">
        <v>694.77</v>
      </c>
      <c r="C219" s="1">
        <v>1728.94</v>
      </c>
      <c r="D219" s="1">
        <v>594.02</v>
      </c>
      <c r="E219" s="1">
        <v>580.84</v>
      </c>
      <c r="F219" s="1">
        <v>176.63</v>
      </c>
      <c r="G219" s="1">
        <v>6700.69</v>
      </c>
      <c r="H219" s="1">
        <v>420.35</v>
      </c>
      <c r="I219" s="1">
        <v>1228.49</v>
      </c>
      <c r="J219" s="1">
        <v>12037.7</v>
      </c>
    </row>
    <row r="220" spans="1:10">
      <c r="A220" s="2">
        <v>43796</v>
      </c>
      <c r="B220" s="1">
        <v>699.05</v>
      </c>
      <c r="C220" s="1">
        <v>1735.4</v>
      </c>
      <c r="D220" s="1">
        <v>595.58000000000004</v>
      </c>
      <c r="E220" s="1">
        <v>585.16999999999996</v>
      </c>
      <c r="F220" s="1">
        <v>175.07</v>
      </c>
      <c r="G220" s="1">
        <v>6860.01</v>
      </c>
      <c r="H220" s="1">
        <v>427.81</v>
      </c>
      <c r="I220" s="1">
        <v>1203.7</v>
      </c>
      <c r="J220" s="1">
        <v>12100.7</v>
      </c>
    </row>
    <row r="221" spans="1:10">
      <c r="A221" s="2">
        <v>43797</v>
      </c>
      <c r="B221" s="1">
        <v>703.7</v>
      </c>
      <c r="C221" s="1">
        <v>1754.87</v>
      </c>
      <c r="D221" s="1">
        <v>589.48</v>
      </c>
      <c r="E221" s="1">
        <v>590.29999999999995</v>
      </c>
      <c r="F221" s="1">
        <v>174.89</v>
      </c>
      <c r="G221" s="1">
        <v>6828.83</v>
      </c>
      <c r="H221" s="1">
        <v>426.51</v>
      </c>
      <c r="I221" s="1">
        <v>1216.68</v>
      </c>
      <c r="J221" s="1">
        <v>12151.15</v>
      </c>
    </row>
    <row r="222" spans="1:10">
      <c r="A222" s="2">
        <v>43798</v>
      </c>
      <c r="B222" s="1">
        <v>690.72</v>
      </c>
      <c r="C222" s="1">
        <v>1734.51</v>
      </c>
      <c r="D222" s="1">
        <v>593.98</v>
      </c>
      <c r="E222" s="1">
        <v>585.67999999999995</v>
      </c>
      <c r="F222" s="1">
        <v>174.68</v>
      </c>
      <c r="G222" s="1">
        <v>6814.35</v>
      </c>
      <c r="H222" s="1">
        <v>419.51</v>
      </c>
      <c r="I222" s="1">
        <v>1199.24</v>
      </c>
      <c r="J222" s="1">
        <v>12056.05</v>
      </c>
    </row>
    <row r="223" spans="1:10">
      <c r="A223" s="2">
        <v>43801</v>
      </c>
      <c r="B223" s="1">
        <v>706.46</v>
      </c>
      <c r="C223" s="1">
        <v>1707.31</v>
      </c>
      <c r="D223" s="1">
        <v>589.69000000000005</v>
      </c>
      <c r="E223" s="1">
        <v>582.61</v>
      </c>
      <c r="F223" s="1">
        <v>173.65</v>
      </c>
      <c r="G223" s="1">
        <v>6714.19</v>
      </c>
      <c r="H223" s="1">
        <v>410.33</v>
      </c>
      <c r="I223" s="1">
        <v>1201.77</v>
      </c>
      <c r="J223" s="1">
        <v>12048.2</v>
      </c>
    </row>
    <row r="224" spans="1:10">
      <c r="A224" s="2">
        <v>43802</v>
      </c>
      <c r="B224" s="1">
        <v>703.08</v>
      </c>
      <c r="C224" s="1">
        <v>1732.61</v>
      </c>
      <c r="D224" s="1">
        <v>584.87</v>
      </c>
      <c r="E224" s="1">
        <v>587.36</v>
      </c>
      <c r="F224" s="1">
        <v>173.01</v>
      </c>
      <c r="G224" s="1">
        <v>6713.67</v>
      </c>
      <c r="H224" s="1">
        <v>404.36</v>
      </c>
      <c r="I224" s="1">
        <v>1183.5999999999999</v>
      </c>
      <c r="J224" s="1">
        <v>11994.2</v>
      </c>
    </row>
    <row r="225" spans="1:10">
      <c r="A225" s="2">
        <v>43803</v>
      </c>
      <c r="B225" s="1">
        <v>691.41</v>
      </c>
      <c r="C225" s="1">
        <v>1755.84</v>
      </c>
      <c r="D225" s="1">
        <v>583.12</v>
      </c>
      <c r="E225" s="1">
        <v>596.19000000000005</v>
      </c>
      <c r="F225" s="1">
        <v>172.38</v>
      </c>
      <c r="G225" s="1">
        <v>6654.71</v>
      </c>
      <c r="H225" s="1">
        <v>413.78</v>
      </c>
      <c r="I225" s="1">
        <v>1158.28</v>
      </c>
      <c r="J225" s="1">
        <v>12043.2</v>
      </c>
    </row>
    <row r="226" spans="1:10">
      <c r="A226" s="2">
        <v>43804</v>
      </c>
      <c r="B226" s="1">
        <v>690.58</v>
      </c>
      <c r="C226" s="1">
        <v>1792</v>
      </c>
      <c r="D226" s="1">
        <v>580.29999999999995</v>
      </c>
      <c r="E226" s="1">
        <v>601.24</v>
      </c>
      <c r="F226" s="1">
        <v>175.07</v>
      </c>
      <c r="G226" s="1">
        <v>6595.22</v>
      </c>
      <c r="H226" s="1">
        <v>407.25</v>
      </c>
      <c r="I226" s="1">
        <v>1173.69</v>
      </c>
      <c r="J226" s="1">
        <v>12018.4</v>
      </c>
    </row>
    <row r="227" spans="1:10">
      <c r="A227" s="2">
        <v>43805</v>
      </c>
      <c r="B227" s="1">
        <v>692.39</v>
      </c>
      <c r="C227" s="1">
        <v>1793.94</v>
      </c>
      <c r="D227" s="1">
        <v>580.51</v>
      </c>
      <c r="E227" s="1">
        <v>601.45000000000005</v>
      </c>
      <c r="F227" s="1">
        <v>172.52</v>
      </c>
      <c r="G227" s="1">
        <v>6476.59</v>
      </c>
      <c r="H227" s="1">
        <v>399.7</v>
      </c>
      <c r="I227" s="1">
        <v>1163.4100000000001</v>
      </c>
      <c r="J227" s="1">
        <v>11921.5</v>
      </c>
    </row>
    <row r="228" spans="1:10">
      <c r="A228" s="2">
        <v>43808</v>
      </c>
      <c r="B228" s="1">
        <v>700.27</v>
      </c>
      <c r="C228" s="1">
        <v>1740.59</v>
      </c>
      <c r="D228" s="1">
        <v>579.07000000000005</v>
      </c>
      <c r="E228" s="1">
        <v>603.26</v>
      </c>
      <c r="F228" s="1">
        <v>171.17</v>
      </c>
      <c r="G228" s="1">
        <v>6578.2</v>
      </c>
      <c r="H228" s="1">
        <v>398.2</v>
      </c>
      <c r="I228" s="1">
        <v>1150.08</v>
      </c>
      <c r="J228" s="1">
        <v>11937.5</v>
      </c>
    </row>
    <row r="229" spans="1:10">
      <c r="A229" s="2">
        <v>43809</v>
      </c>
      <c r="B229" s="1">
        <v>695.53</v>
      </c>
      <c r="C229" s="1">
        <v>1700.38</v>
      </c>
      <c r="D229" s="1">
        <v>582.12</v>
      </c>
      <c r="E229" s="1">
        <v>600.98</v>
      </c>
      <c r="F229" s="1">
        <v>167.02</v>
      </c>
      <c r="G229" s="1">
        <v>6548.95</v>
      </c>
      <c r="H229" s="1">
        <v>398.81</v>
      </c>
      <c r="I229" s="1">
        <v>1152.78</v>
      </c>
      <c r="J229" s="1">
        <v>11856.8</v>
      </c>
    </row>
    <row r="230" spans="1:10">
      <c r="A230" s="2">
        <v>43810</v>
      </c>
      <c r="B230" s="1">
        <v>695.73</v>
      </c>
      <c r="C230" s="1">
        <v>1724.92</v>
      </c>
      <c r="D230" s="1">
        <v>581.77</v>
      </c>
      <c r="E230" s="1">
        <v>606.45000000000005</v>
      </c>
      <c r="F230" s="1">
        <v>168.44</v>
      </c>
      <c r="G230" s="1">
        <v>6576.74</v>
      </c>
      <c r="H230" s="1">
        <v>400.82</v>
      </c>
      <c r="I230" s="1">
        <v>1139.53</v>
      </c>
      <c r="J230" s="1">
        <v>11910.15</v>
      </c>
    </row>
    <row r="231" spans="1:10">
      <c r="A231" s="2">
        <v>43811</v>
      </c>
      <c r="B231" s="1">
        <v>698.31</v>
      </c>
      <c r="C231" s="1">
        <v>1707.18</v>
      </c>
      <c r="D231" s="1">
        <v>588.69000000000005</v>
      </c>
      <c r="E231" s="1">
        <v>590.51</v>
      </c>
      <c r="F231" s="1">
        <v>169.12</v>
      </c>
      <c r="G231" s="1">
        <v>6582.95</v>
      </c>
      <c r="H231" s="1">
        <v>404.87</v>
      </c>
      <c r="I231" s="1">
        <v>1153.4100000000001</v>
      </c>
      <c r="J231" s="1">
        <v>11971.8</v>
      </c>
    </row>
    <row r="232" spans="1:10">
      <c r="A232" s="2">
        <v>43812</v>
      </c>
      <c r="B232" s="1">
        <v>704.86</v>
      </c>
      <c r="C232" s="1">
        <v>1749.72</v>
      </c>
      <c r="D232" s="1">
        <v>588.80999999999995</v>
      </c>
      <c r="E232" s="1">
        <v>598.25</v>
      </c>
      <c r="F232" s="1">
        <v>171.28</v>
      </c>
      <c r="G232" s="1">
        <v>6785.29</v>
      </c>
      <c r="H232" s="1">
        <v>409.63</v>
      </c>
      <c r="I232" s="1">
        <v>1176.48</v>
      </c>
      <c r="J232" s="1">
        <v>12086.7</v>
      </c>
    </row>
    <row r="233" spans="1:10">
      <c r="A233" s="2">
        <v>43815</v>
      </c>
      <c r="B233" s="1">
        <v>697.6</v>
      </c>
      <c r="C233" s="1">
        <v>1796.6</v>
      </c>
      <c r="D233" s="1">
        <v>585.78</v>
      </c>
      <c r="E233" s="1">
        <v>600.52</v>
      </c>
      <c r="F233" s="1">
        <v>167.95</v>
      </c>
      <c r="G233" s="1">
        <v>6714.85</v>
      </c>
      <c r="H233" s="1">
        <v>405.81</v>
      </c>
      <c r="I233" s="1">
        <v>1174.4100000000001</v>
      </c>
      <c r="J233" s="1">
        <v>12053.95</v>
      </c>
    </row>
    <row r="234" spans="1:10">
      <c r="A234" s="2">
        <v>43816</v>
      </c>
      <c r="B234" s="1">
        <v>695.86</v>
      </c>
      <c r="C234" s="1">
        <v>1828.87</v>
      </c>
      <c r="D234" s="1">
        <v>592.17999999999995</v>
      </c>
      <c r="E234" s="1">
        <v>613.73</v>
      </c>
      <c r="F234" s="1">
        <v>170.89</v>
      </c>
      <c r="G234" s="1">
        <v>6766.67</v>
      </c>
      <c r="H234" s="1">
        <v>400.12</v>
      </c>
      <c r="I234" s="1">
        <v>1187.8900000000001</v>
      </c>
      <c r="J234" s="1">
        <v>12165</v>
      </c>
    </row>
    <row r="235" spans="1:10">
      <c r="A235" s="2">
        <v>43817</v>
      </c>
      <c r="B235" s="1">
        <v>701.72</v>
      </c>
      <c r="C235" s="1">
        <v>1831.24</v>
      </c>
      <c r="D235" s="1">
        <v>602.08000000000004</v>
      </c>
      <c r="E235" s="1">
        <v>616.04</v>
      </c>
      <c r="F235" s="1">
        <v>173.79</v>
      </c>
      <c r="G235" s="1">
        <v>6809.46</v>
      </c>
      <c r="H235" s="1">
        <v>410.1</v>
      </c>
      <c r="I235" s="1">
        <v>1189.1500000000001</v>
      </c>
      <c r="J235" s="1">
        <v>12221.65</v>
      </c>
    </row>
    <row r="236" spans="1:10">
      <c r="A236" s="2">
        <v>43818</v>
      </c>
      <c r="B236" s="1">
        <v>716.9</v>
      </c>
      <c r="C236" s="1">
        <v>1883.02</v>
      </c>
      <c r="D236" s="1">
        <v>600.42999999999995</v>
      </c>
      <c r="E236" s="1">
        <v>614.69000000000005</v>
      </c>
      <c r="F236" s="1">
        <v>173.23</v>
      </c>
      <c r="G236" s="1">
        <v>6809.46</v>
      </c>
      <c r="H236" s="1">
        <v>404.36</v>
      </c>
      <c r="I236" s="1">
        <v>1182.3</v>
      </c>
      <c r="J236" s="1">
        <v>12259.7</v>
      </c>
    </row>
    <row r="237" spans="1:10">
      <c r="A237" s="2">
        <v>43819</v>
      </c>
      <c r="B237" s="1">
        <v>712.07</v>
      </c>
      <c r="C237" s="1">
        <v>1877.83</v>
      </c>
      <c r="D237" s="1">
        <v>604.11</v>
      </c>
      <c r="E237" s="1">
        <v>615.28</v>
      </c>
      <c r="F237" s="1">
        <v>170.96</v>
      </c>
      <c r="G237" s="1">
        <v>6829.07</v>
      </c>
      <c r="H237" s="1">
        <v>401.28</v>
      </c>
      <c r="I237" s="1">
        <v>1182.1199999999999</v>
      </c>
      <c r="J237" s="1">
        <v>12271.8</v>
      </c>
    </row>
    <row r="238" spans="1:10">
      <c r="A238" s="2">
        <v>43822</v>
      </c>
      <c r="B238" s="1">
        <v>699.74</v>
      </c>
      <c r="C238" s="1">
        <v>1885.26</v>
      </c>
      <c r="D238" s="1">
        <v>606.77</v>
      </c>
      <c r="E238" s="1">
        <v>619.03</v>
      </c>
      <c r="F238" s="1">
        <v>169.36</v>
      </c>
      <c r="G238" s="1">
        <v>6922.55</v>
      </c>
      <c r="H238" s="1">
        <v>399.51</v>
      </c>
      <c r="I238" s="1">
        <v>1181.8499999999999</v>
      </c>
      <c r="J238" s="1">
        <v>12262.75</v>
      </c>
    </row>
    <row r="239" spans="1:10">
      <c r="A239" s="2">
        <v>43823</v>
      </c>
      <c r="B239" s="1">
        <v>688.63</v>
      </c>
      <c r="C239" s="1">
        <v>1871.66</v>
      </c>
      <c r="D239" s="1">
        <v>600.59</v>
      </c>
      <c r="E239" s="1">
        <v>616.84</v>
      </c>
      <c r="F239" s="1">
        <v>169.26</v>
      </c>
      <c r="G239" s="1">
        <v>6891.42</v>
      </c>
      <c r="H239" s="1">
        <v>400.82</v>
      </c>
      <c r="I239" s="1">
        <v>1172.6099999999999</v>
      </c>
      <c r="J239" s="1">
        <v>12214.55</v>
      </c>
    </row>
    <row r="240" spans="1:10">
      <c r="A240" s="2">
        <v>43825</v>
      </c>
      <c r="B240" s="1">
        <v>674.8</v>
      </c>
      <c r="C240" s="1">
        <v>1860.13</v>
      </c>
      <c r="D240" s="1">
        <v>591.88</v>
      </c>
      <c r="E240" s="1">
        <v>613.1</v>
      </c>
      <c r="F240" s="1">
        <v>167.88</v>
      </c>
      <c r="G240" s="1">
        <v>6809.69</v>
      </c>
      <c r="H240" s="1">
        <v>393.68</v>
      </c>
      <c r="I240" s="1">
        <v>1153.05</v>
      </c>
      <c r="J240" s="1">
        <v>12126.55</v>
      </c>
    </row>
    <row r="241" spans="1:10">
      <c r="A241" s="2">
        <v>43826</v>
      </c>
      <c r="B241" s="1">
        <v>686.8</v>
      </c>
      <c r="C241" s="1">
        <v>1857.21</v>
      </c>
      <c r="D241" s="1">
        <v>594</v>
      </c>
      <c r="E241" s="1">
        <v>619.82000000000005</v>
      </c>
      <c r="F241" s="1">
        <v>167.95</v>
      </c>
      <c r="G241" s="1">
        <v>6907.5</v>
      </c>
      <c r="H241" s="1">
        <v>397.27</v>
      </c>
      <c r="I241" s="1">
        <v>1171.3499999999999</v>
      </c>
      <c r="J241" s="1">
        <v>12245.8</v>
      </c>
    </row>
    <row r="242" spans="1:10">
      <c r="A242" s="2">
        <v>43829</v>
      </c>
      <c r="B242" s="1">
        <v>687.62</v>
      </c>
      <c r="C242" s="1">
        <v>1844.29</v>
      </c>
      <c r="D242" s="1">
        <v>597.33000000000004</v>
      </c>
      <c r="E242" s="1">
        <v>616.41999999999996</v>
      </c>
      <c r="F242" s="1">
        <v>168.87</v>
      </c>
      <c r="G242" s="1">
        <v>6974.6</v>
      </c>
      <c r="H242" s="1">
        <v>401.14</v>
      </c>
      <c r="I242" s="1">
        <v>1173.78</v>
      </c>
      <c r="J242" s="1">
        <v>12255.85</v>
      </c>
    </row>
    <row r="243" spans="1:10">
      <c r="A243" s="2">
        <v>43830</v>
      </c>
      <c r="B243" s="1">
        <v>674.2</v>
      </c>
      <c r="C243" s="1">
        <v>1826.13</v>
      </c>
      <c r="D243" s="1">
        <v>592.65</v>
      </c>
      <c r="E243" s="1">
        <v>614.95000000000005</v>
      </c>
      <c r="F243" s="1">
        <v>168.51</v>
      </c>
      <c r="G243" s="1">
        <v>6929.79</v>
      </c>
      <c r="H243" s="1">
        <v>403.38</v>
      </c>
      <c r="I243" s="1">
        <v>1170.08</v>
      </c>
      <c r="J243" s="1">
        <v>12168.45</v>
      </c>
    </row>
    <row r="244" spans="1:10">
      <c r="A244" s="2">
        <v>43831</v>
      </c>
      <c r="B244" s="1">
        <v>672.22</v>
      </c>
      <c r="C244" s="1">
        <v>1831.11</v>
      </c>
      <c r="D244" s="1">
        <v>595.67999999999995</v>
      </c>
      <c r="E244" s="1">
        <v>619.74</v>
      </c>
      <c r="F244" s="1">
        <v>168.8</v>
      </c>
      <c r="G244" s="1">
        <v>6876.28</v>
      </c>
      <c r="H244" s="1">
        <v>405.01</v>
      </c>
      <c r="I244" s="1">
        <v>1180.67</v>
      </c>
      <c r="J244" s="1">
        <v>12182.5</v>
      </c>
    </row>
    <row r="245" spans="1:10">
      <c r="A245" s="2">
        <v>43832</v>
      </c>
      <c r="B245" s="1">
        <v>683.66</v>
      </c>
      <c r="C245" s="1">
        <v>1822.7</v>
      </c>
      <c r="D245" s="1">
        <v>599.47</v>
      </c>
      <c r="E245" s="1">
        <v>617.92999999999995</v>
      </c>
      <c r="F245" s="1">
        <v>170.04</v>
      </c>
      <c r="G245" s="1">
        <v>6893.35</v>
      </c>
      <c r="H245" s="1">
        <v>405.62</v>
      </c>
      <c r="I245" s="1">
        <v>1212.54</v>
      </c>
      <c r="J245" s="1">
        <v>12282.2</v>
      </c>
    </row>
    <row r="246" spans="1:10">
      <c r="A246" s="2">
        <v>43833</v>
      </c>
      <c r="B246" s="1">
        <v>684.48</v>
      </c>
      <c r="C246" s="1">
        <v>1859.03</v>
      </c>
      <c r="D246" s="1">
        <v>590.92999999999995</v>
      </c>
      <c r="E246" s="1">
        <v>627.44000000000005</v>
      </c>
      <c r="F246" s="1">
        <v>169.08</v>
      </c>
      <c r="G246" s="1">
        <v>6822.25</v>
      </c>
      <c r="H246" s="1">
        <v>414.62</v>
      </c>
      <c r="I246" s="1">
        <v>1203.3</v>
      </c>
      <c r="J246" s="1">
        <v>12226.65</v>
      </c>
    </row>
    <row r="247" spans="1:10">
      <c r="A247" s="2">
        <v>43836</v>
      </c>
      <c r="B247" s="1">
        <v>668.61</v>
      </c>
      <c r="C247" s="1">
        <v>1858.86</v>
      </c>
      <c r="D247" s="1">
        <v>578.14</v>
      </c>
      <c r="E247" s="1">
        <v>621.41999999999996</v>
      </c>
      <c r="F247" s="1">
        <v>166.67</v>
      </c>
      <c r="G247" s="1">
        <v>6623.01</v>
      </c>
      <c r="H247" s="1">
        <v>410.28</v>
      </c>
      <c r="I247" s="1">
        <v>1186.8</v>
      </c>
      <c r="J247" s="1">
        <v>11993.05</v>
      </c>
    </row>
    <row r="248" spans="1:10">
      <c r="A248" s="2">
        <v>43837</v>
      </c>
      <c r="B248" s="1">
        <v>678.9</v>
      </c>
      <c r="C248" s="1">
        <v>1863.42</v>
      </c>
      <c r="D248" s="1">
        <v>587.29</v>
      </c>
      <c r="E248" s="1">
        <v>612.21</v>
      </c>
      <c r="F248" s="1">
        <v>166.85</v>
      </c>
      <c r="G248" s="1">
        <v>6652.36</v>
      </c>
      <c r="H248" s="1">
        <v>416.3</v>
      </c>
      <c r="I248" s="1">
        <v>1190.18</v>
      </c>
      <c r="J248" s="1">
        <v>12052.95</v>
      </c>
    </row>
    <row r="249" spans="1:10">
      <c r="A249" s="2">
        <v>43838</v>
      </c>
      <c r="B249" s="1">
        <v>673.8</v>
      </c>
      <c r="C249" s="1">
        <v>1905.15</v>
      </c>
      <c r="D249" s="1">
        <v>585.75</v>
      </c>
      <c r="E249" s="1">
        <v>604.04999999999995</v>
      </c>
      <c r="F249" s="1">
        <v>166.03</v>
      </c>
      <c r="G249" s="1">
        <v>6616.24</v>
      </c>
      <c r="H249" s="1">
        <v>410.42</v>
      </c>
      <c r="I249" s="1">
        <v>1164.0899999999999</v>
      </c>
      <c r="J249" s="1">
        <v>12025.35</v>
      </c>
    </row>
    <row r="250" spans="1:10">
      <c r="A250" s="2">
        <v>43839</v>
      </c>
      <c r="B250" s="1">
        <v>689.32</v>
      </c>
      <c r="C250" s="1">
        <v>1870.6</v>
      </c>
      <c r="D250" s="1">
        <v>592.32000000000005</v>
      </c>
      <c r="E250" s="1">
        <v>611.91999999999996</v>
      </c>
      <c r="F250" s="1">
        <v>167.17</v>
      </c>
      <c r="G250" s="1">
        <v>6797.47</v>
      </c>
      <c r="H250" s="1">
        <v>410.19</v>
      </c>
      <c r="I250" s="1">
        <v>1186.26</v>
      </c>
      <c r="J250" s="1">
        <v>12215.9</v>
      </c>
    </row>
    <row r="251" spans="1:10">
      <c r="A251" s="2">
        <v>43840</v>
      </c>
      <c r="B251" s="1">
        <v>689.16</v>
      </c>
      <c r="C251" s="1">
        <v>1869.93</v>
      </c>
      <c r="D251" s="1">
        <v>597.59</v>
      </c>
      <c r="E251" s="1">
        <v>620.83000000000004</v>
      </c>
      <c r="F251" s="1">
        <v>168.73</v>
      </c>
      <c r="G251" s="1">
        <v>6893.96</v>
      </c>
      <c r="H251" s="1">
        <v>413.69</v>
      </c>
      <c r="I251" s="1">
        <v>1193.8800000000001</v>
      </c>
      <c r="J251" s="1">
        <v>12256.8</v>
      </c>
    </row>
    <row r="252" spans="1:10">
      <c r="A252" s="2">
        <v>43843</v>
      </c>
      <c r="B252" s="1">
        <v>687.4</v>
      </c>
      <c r="C252" s="1">
        <v>1850.33</v>
      </c>
      <c r="D252" s="1">
        <v>599.12</v>
      </c>
      <c r="E252" s="1">
        <v>650.61</v>
      </c>
      <c r="F252" s="1">
        <v>169.61</v>
      </c>
      <c r="G252" s="1">
        <v>6914.83</v>
      </c>
      <c r="H252" s="1">
        <v>414.62</v>
      </c>
      <c r="I252" s="1">
        <v>1202.98</v>
      </c>
      <c r="J252" s="1">
        <v>12329.55</v>
      </c>
    </row>
    <row r="253" spans="1:10">
      <c r="A253" s="2">
        <v>43844</v>
      </c>
      <c r="B253" s="1">
        <v>681.03</v>
      </c>
      <c r="C253" s="1">
        <v>1864.31</v>
      </c>
      <c r="D253" s="1">
        <v>600.76</v>
      </c>
      <c r="E253" s="1">
        <v>652.37</v>
      </c>
      <c r="F253" s="1">
        <v>172.45</v>
      </c>
      <c r="G253" s="1">
        <v>6946.9</v>
      </c>
      <c r="H253" s="1">
        <v>415.92</v>
      </c>
      <c r="I253" s="1">
        <v>1195.23</v>
      </c>
      <c r="J253" s="1">
        <v>12362.3</v>
      </c>
    </row>
    <row r="254" spans="1:10">
      <c r="A254" s="2">
        <v>43845</v>
      </c>
      <c r="B254" s="1">
        <v>678.56</v>
      </c>
      <c r="C254" s="1">
        <v>1881.2</v>
      </c>
      <c r="D254" s="1">
        <v>598.30999999999995</v>
      </c>
      <c r="E254" s="1">
        <v>645.55999999999995</v>
      </c>
      <c r="F254" s="1">
        <v>171.85</v>
      </c>
      <c r="G254" s="1">
        <v>7037.33</v>
      </c>
      <c r="H254" s="1">
        <v>418.77</v>
      </c>
      <c r="I254" s="1">
        <v>1192.98</v>
      </c>
      <c r="J254" s="1">
        <v>12343.3</v>
      </c>
    </row>
    <row r="255" spans="1:10">
      <c r="A255" s="2">
        <v>43846</v>
      </c>
      <c r="B255" s="1">
        <v>684.82</v>
      </c>
      <c r="C255" s="1">
        <v>1891.26</v>
      </c>
      <c r="D255" s="1">
        <v>599.89</v>
      </c>
      <c r="E255" s="1">
        <v>645.1</v>
      </c>
      <c r="F255" s="1">
        <v>170.68</v>
      </c>
      <c r="G255" s="1">
        <v>7018.24</v>
      </c>
      <c r="H255" s="1">
        <v>418.77</v>
      </c>
      <c r="I255" s="1">
        <v>1189.0999999999999</v>
      </c>
      <c r="J255" s="1">
        <v>12355.5</v>
      </c>
    </row>
    <row r="256" spans="1:10">
      <c r="A256" s="2">
        <v>43847</v>
      </c>
      <c r="B256" s="1">
        <v>704.01</v>
      </c>
      <c r="C256" s="1">
        <v>1874.61</v>
      </c>
      <c r="D256" s="1">
        <v>595.47</v>
      </c>
      <c r="E256" s="1">
        <v>645.80999999999995</v>
      </c>
      <c r="F256" s="1">
        <v>170.11</v>
      </c>
      <c r="G256" s="1">
        <v>7072.31</v>
      </c>
      <c r="H256" s="1">
        <v>423.94</v>
      </c>
      <c r="I256" s="1">
        <v>1175.49</v>
      </c>
      <c r="J256" s="1">
        <v>12352.35</v>
      </c>
    </row>
    <row r="257" spans="1:10">
      <c r="A257" s="2">
        <v>43850</v>
      </c>
      <c r="B257" s="1">
        <v>682.35</v>
      </c>
      <c r="C257" s="1">
        <v>1833.43</v>
      </c>
      <c r="D257" s="1">
        <v>584.64</v>
      </c>
      <c r="E257" s="1">
        <v>646.32000000000005</v>
      </c>
      <c r="F257" s="1">
        <v>171.49</v>
      </c>
      <c r="G257" s="1">
        <v>7005.96</v>
      </c>
      <c r="H257" s="1">
        <v>419.14</v>
      </c>
      <c r="I257" s="1">
        <v>1180.3599999999999</v>
      </c>
      <c r="J257" s="1">
        <v>12224.55</v>
      </c>
    </row>
    <row r="258" spans="1:10">
      <c r="A258" s="2">
        <v>43851</v>
      </c>
      <c r="B258" s="1">
        <v>683.04</v>
      </c>
      <c r="C258" s="1">
        <v>1834.02</v>
      </c>
      <c r="D258" s="1">
        <v>579.72</v>
      </c>
      <c r="E258" s="1">
        <v>641.30999999999995</v>
      </c>
      <c r="F258" s="1">
        <v>169.04</v>
      </c>
      <c r="G258" s="1">
        <v>6867.77</v>
      </c>
      <c r="H258" s="1">
        <v>417.23</v>
      </c>
      <c r="I258" s="1">
        <v>1173.82</v>
      </c>
      <c r="J258" s="1">
        <v>12169.85</v>
      </c>
    </row>
    <row r="259" spans="1:10">
      <c r="A259" s="2">
        <v>43852</v>
      </c>
      <c r="B259" s="1">
        <v>682.79</v>
      </c>
      <c r="C259" s="1">
        <v>1864.31</v>
      </c>
      <c r="D259" s="1">
        <v>578.09</v>
      </c>
      <c r="E259" s="1">
        <v>647.79</v>
      </c>
      <c r="F259" s="1">
        <v>168.76</v>
      </c>
      <c r="G259" s="1">
        <v>6710.66</v>
      </c>
      <c r="H259" s="1">
        <v>416.2</v>
      </c>
      <c r="I259" s="1">
        <v>1166.48</v>
      </c>
      <c r="J259" s="1">
        <v>12106.9</v>
      </c>
    </row>
    <row r="260" spans="1:10">
      <c r="A260" s="2">
        <v>43853</v>
      </c>
      <c r="B260" s="1">
        <v>679.9</v>
      </c>
      <c r="C260" s="1">
        <v>1855.04</v>
      </c>
      <c r="D260" s="1">
        <v>579.95000000000005</v>
      </c>
      <c r="E260" s="1">
        <v>659.69</v>
      </c>
      <c r="F260" s="1">
        <v>168.65</v>
      </c>
      <c r="G260" s="1">
        <v>6721.48</v>
      </c>
      <c r="H260" s="1">
        <v>419.51</v>
      </c>
      <c r="I260" s="1">
        <v>1200.82</v>
      </c>
      <c r="J260" s="1">
        <v>12180.35</v>
      </c>
    </row>
    <row r="261" spans="1:10">
      <c r="A261" s="2">
        <v>43854</v>
      </c>
      <c r="B261" s="1">
        <v>677.54</v>
      </c>
      <c r="C261" s="1">
        <v>1848.65</v>
      </c>
      <c r="D261" s="1">
        <v>579.80999999999995</v>
      </c>
      <c r="E261" s="1">
        <v>658.35</v>
      </c>
      <c r="F261" s="1">
        <v>168.83</v>
      </c>
      <c r="G261" s="1">
        <v>6703.94</v>
      </c>
      <c r="H261" s="1">
        <v>417.6</v>
      </c>
      <c r="I261" s="1">
        <v>1225.06</v>
      </c>
      <c r="J261" s="1">
        <v>12248.25</v>
      </c>
    </row>
    <row r="262" spans="1:10">
      <c r="A262" s="2">
        <v>43857</v>
      </c>
      <c r="B262" s="1">
        <v>670.86</v>
      </c>
      <c r="C262" s="1">
        <v>1836.66</v>
      </c>
      <c r="D262" s="1">
        <v>565.21</v>
      </c>
      <c r="E262" s="1">
        <v>654.42999999999995</v>
      </c>
      <c r="F262" s="1">
        <v>166.32</v>
      </c>
      <c r="G262" s="1">
        <v>6723.08</v>
      </c>
      <c r="H262" s="1">
        <v>418.16</v>
      </c>
      <c r="I262" s="1">
        <v>1215.51</v>
      </c>
      <c r="J262" s="1">
        <v>12119</v>
      </c>
    </row>
    <row r="263" spans="1:10">
      <c r="A263" s="2">
        <v>43858</v>
      </c>
      <c r="B263" s="1">
        <v>655.36</v>
      </c>
      <c r="C263" s="1">
        <v>1848.94</v>
      </c>
      <c r="D263" s="1">
        <v>569.87</v>
      </c>
      <c r="E263" s="1">
        <v>654.35</v>
      </c>
      <c r="F263" s="1">
        <v>163.59</v>
      </c>
      <c r="G263" s="1">
        <v>6580.36</v>
      </c>
      <c r="H263" s="1">
        <v>422.36</v>
      </c>
      <c r="I263" s="1">
        <v>1213.75</v>
      </c>
      <c r="J263" s="1">
        <v>12055.8</v>
      </c>
    </row>
    <row r="264" spans="1:10">
      <c r="A264" s="2">
        <v>43859</v>
      </c>
      <c r="B264" s="1">
        <v>658.97</v>
      </c>
      <c r="C264" s="1">
        <v>1824.26</v>
      </c>
      <c r="D264" s="1">
        <v>575.76</v>
      </c>
      <c r="E264" s="1">
        <v>664.19</v>
      </c>
      <c r="F264" s="1">
        <v>167.77</v>
      </c>
      <c r="G264" s="1">
        <v>6592.83</v>
      </c>
      <c r="H264" s="1">
        <v>419.75</v>
      </c>
      <c r="I264" s="1">
        <v>1230.92</v>
      </c>
      <c r="J264" s="1">
        <v>12129.5</v>
      </c>
    </row>
    <row r="265" spans="1:10">
      <c r="A265" s="2">
        <v>43860</v>
      </c>
      <c r="B265" s="1">
        <v>642.89</v>
      </c>
      <c r="C265" s="1">
        <v>1810.08</v>
      </c>
      <c r="D265" s="1">
        <v>571.20000000000005</v>
      </c>
      <c r="E265" s="1">
        <v>656.62</v>
      </c>
      <c r="F265" s="1">
        <v>165.93</v>
      </c>
      <c r="G265" s="1">
        <v>6602.37</v>
      </c>
      <c r="H265" s="1">
        <v>412.29</v>
      </c>
      <c r="I265" s="1">
        <v>1234.98</v>
      </c>
      <c r="J265" s="1">
        <v>12035.8</v>
      </c>
    </row>
    <row r="266" spans="1:10">
      <c r="A266" s="2">
        <v>43861</v>
      </c>
      <c r="B266" s="1">
        <v>628.6</v>
      </c>
      <c r="C266" s="1">
        <v>1760.29</v>
      </c>
      <c r="D266" s="1">
        <v>571.30999999999995</v>
      </c>
      <c r="E266" s="1">
        <v>652.63</v>
      </c>
      <c r="F266" s="1">
        <v>166.71</v>
      </c>
      <c r="G266" s="1">
        <v>6501.79</v>
      </c>
      <c r="H266" s="1">
        <v>405.01</v>
      </c>
      <c r="I266" s="1">
        <v>1234.17</v>
      </c>
      <c r="J266" s="1">
        <v>11962.1</v>
      </c>
    </row>
    <row r="267" spans="1:10">
      <c r="A267" s="2">
        <v>43864</v>
      </c>
      <c r="B267" s="1">
        <v>616.96</v>
      </c>
      <c r="C267" s="1">
        <v>1780.15</v>
      </c>
      <c r="D267" s="1">
        <v>555.70000000000005</v>
      </c>
      <c r="E267" s="1">
        <v>645.42999999999995</v>
      </c>
      <c r="F267" s="1">
        <v>147.16999999999999</v>
      </c>
      <c r="G267" s="1">
        <v>6593.77</v>
      </c>
      <c r="H267" s="1">
        <v>389.39</v>
      </c>
      <c r="I267" s="1">
        <v>1159.67</v>
      </c>
      <c r="J267" s="1">
        <v>11707.9</v>
      </c>
    </row>
    <row r="268" spans="1:10">
      <c r="A268" s="2">
        <v>43865</v>
      </c>
      <c r="B268" s="1">
        <v>635.16999999999996</v>
      </c>
      <c r="C268" s="1">
        <v>1784.59</v>
      </c>
      <c r="D268" s="1">
        <v>572.94000000000005</v>
      </c>
      <c r="E268" s="1">
        <v>662.63</v>
      </c>
      <c r="F268" s="1">
        <v>152.88</v>
      </c>
      <c r="G268" s="1">
        <v>6770.85</v>
      </c>
      <c r="H268" s="1">
        <v>396.95</v>
      </c>
      <c r="I268" s="1">
        <v>1164.27</v>
      </c>
      <c r="J268" s="1">
        <v>11979.65</v>
      </c>
    </row>
    <row r="269" spans="1:10">
      <c r="A269" s="2">
        <v>43866</v>
      </c>
      <c r="B269" s="1">
        <v>645.01</v>
      </c>
      <c r="C269" s="1">
        <v>1817.45</v>
      </c>
      <c r="D269" s="1">
        <v>579.86</v>
      </c>
      <c r="E269" s="1">
        <v>659.86</v>
      </c>
      <c r="F269" s="1">
        <v>153.44999999999999</v>
      </c>
      <c r="G269" s="1">
        <v>6621.6</v>
      </c>
      <c r="H269" s="1">
        <v>397.51</v>
      </c>
      <c r="I269" s="1">
        <v>1180.76</v>
      </c>
      <c r="J269" s="1">
        <v>12089.15</v>
      </c>
    </row>
    <row r="270" spans="1:10">
      <c r="A270" s="2">
        <v>43867</v>
      </c>
      <c r="B270" s="1">
        <v>649.15</v>
      </c>
      <c r="C270" s="1">
        <v>1802.04</v>
      </c>
      <c r="D270" s="1">
        <v>577.6</v>
      </c>
      <c r="E270" s="1">
        <v>648.76</v>
      </c>
      <c r="F270" s="1">
        <v>151.38999999999999</v>
      </c>
      <c r="G270" s="1">
        <v>6603.45</v>
      </c>
      <c r="H270" s="1">
        <v>401.61</v>
      </c>
      <c r="I270" s="1">
        <v>1187.57</v>
      </c>
      <c r="J270" s="1">
        <v>12137.95</v>
      </c>
    </row>
    <row r="271" spans="1:10">
      <c r="A271" s="2">
        <v>43868</v>
      </c>
      <c r="B271" s="1">
        <v>638.4</v>
      </c>
      <c r="C271" s="1">
        <v>1808.98</v>
      </c>
      <c r="D271" s="1">
        <v>578.72</v>
      </c>
      <c r="E271" s="1">
        <v>653.76</v>
      </c>
      <c r="F271" s="1">
        <v>151.29</v>
      </c>
      <c r="G271" s="1">
        <v>6556.57</v>
      </c>
      <c r="H271" s="1">
        <v>401.75</v>
      </c>
      <c r="I271" s="1">
        <v>1170.81</v>
      </c>
      <c r="J271" s="1">
        <v>12098.35</v>
      </c>
    </row>
    <row r="272" spans="1:10">
      <c r="A272" s="2">
        <v>43871</v>
      </c>
      <c r="B272" s="1">
        <v>639.26</v>
      </c>
      <c r="C272" s="1">
        <v>1830.48</v>
      </c>
      <c r="D272" s="1">
        <v>577.83000000000004</v>
      </c>
      <c r="E272" s="1">
        <v>650.30999999999995</v>
      </c>
      <c r="F272" s="1">
        <v>149.27000000000001</v>
      </c>
      <c r="G272" s="1">
        <v>6482.42</v>
      </c>
      <c r="H272" s="1">
        <v>391.96</v>
      </c>
      <c r="I272" s="1">
        <v>1158.46</v>
      </c>
      <c r="J272" s="1">
        <v>12031.5</v>
      </c>
    </row>
    <row r="273" spans="1:10">
      <c r="A273" s="2">
        <v>43872</v>
      </c>
      <c r="B273" s="1">
        <v>646.9</v>
      </c>
      <c r="C273" s="1">
        <v>1823.24</v>
      </c>
      <c r="D273" s="1">
        <v>577.97</v>
      </c>
      <c r="E273" s="1">
        <v>650.61</v>
      </c>
      <c r="F273" s="1">
        <v>150.72</v>
      </c>
      <c r="G273" s="1">
        <v>6614.88</v>
      </c>
      <c r="H273" s="1">
        <v>390.32</v>
      </c>
      <c r="I273" s="1">
        <v>1159.9000000000001</v>
      </c>
      <c r="J273" s="1">
        <v>12107.9</v>
      </c>
    </row>
    <row r="274" spans="1:10">
      <c r="A274" s="2">
        <v>43873</v>
      </c>
      <c r="B274" s="1">
        <v>654.72</v>
      </c>
      <c r="C274" s="1">
        <v>1837.93</v>
      </c>
      <c r="D274" s="1">
        <v>581.89</v>
      </c>
      <c r="E274" s="1">
        <v>656.92</v>
      </c>
      <c r="F274" s="1">
        <v>151.04</v>
      </c>
      <c r="G274" s="1">
        <v>6623.86</v>
      </c>
      <c r="H274" s="1">
        <v>386.64</v>
      </c>
      <c r="I274" s="1">
        <v>1169.27</v>
      </c>
      <c r="J274" s="1">
        <v>12201.2</v>
      </c>
    </row>
    <row r="275" spans="1:10">
      <c r="A275" s="2">
        <v>43874</v>
      </c>
      <c r="B275" s="1">
        <v>656.43</v>
      </c>
      <c r="C275" s="1">
        <v>1855.88</v>
      </c>
      <c r="D275" s="1">
        <v>578.35</v>
      </c>
      <c r="E275" s="1">
        <v>666.34</v>
      </c>
      <c r="F275" s="1">
        <v>150.22</v>
      </c>
      <c r="G275" s="1">
        <v>6587.89</v>
      </c>
      <c r="H275" s="1">
        <v>390.7</v>
      </c>
      <c r="I275" s="1">
        <v>1164.72</v>
      </c>
      <c r="J275" s="1">
        <v>12174.65</v>
      </c>
    </row>
    <row r="276" spans="1:10">
      <c r="A276" s="2">
        <v>43875</v>
      </c>
      <c r="B276" s="1">
        <v>662.42</v>
      </c>
      <c r="C276" s="1">
        <v>1849.32</v>
      </c>
      <c r="D276" s="1">
        <v>568.07000000000005</v>
      </c>
      <c r="E276" s="1">
        <v>661.46</v>
      </c>
      <c r="F276" s="1">
        <v>147.25</v>
      </c>
      <c r="G276" s="1">
        <v>6502.07</v>
      </c>
      <c r="H276" s="1">
        <v>390.32</v>
      </c>
      <c r="I276" s="1">
        <v>1167.33</v>
      </c>
      <c r="J276" s="1">
        <v>12113.45</v>
      </c>
    </row>
    <row r="277" spans="1:10">
      <c r="A277" s="2">
        <v>43878</v>
      </c>
      <c r="B277" s="1">
        <v>658.26</v>
      </c>
      <c r="C277" s="1">
        <v>1865.45</v>
      </c>
      <c r="D277" s="1">
        <v>567.04999999999995</v>
      </c>
      <c r="E277" s="1">
        <v>663.98</v>
      </c>
      <c r="F277" s="1">
        <v>145.19</v>
      </c>
      <c r="G277" s="1">
        <v>6495.44</v>
      </c>
      <c r="H277" s="1">
        <v>383.61</v>
      </c>
      <c r="I277" s="1">
        <v>1153.8599999999999</v>
      </c>
      <c r="J277" s="1">
        <v>12045.8</v>
      </c>
    </row>
    <row r="278" spans="1:10">
      <c r="A278" s="2">
        <v>43879</v>
      </c>
      <c r="B278" s="1">
        <v>653.41999999999996</v>
      </c>
      <c r="C278" s="1">
        <v>1876.04</v>
      </c>
      <c r="D278" s="1">
        <v>565.23</v>
      </c>
      <c r="E278" s="1">
        <v>670.88</v>
      </c>
      <c r="F278" s="1">
        <v>144.52000000000001</v>
      </c>
      <c r="G278" s="1">
        <v>6377.27</v>
      </c>
      <c r="H278" s="1">
        <v>383.84</v>
      </c>
      <c r="I278" s="1">
        <v>1159.4000000000001</v>
      </c>
      <c r="J278" s="1">
        <v>11992.5</v>
      </c>
    </row>
    <row r="279" spans="1:10">
      <c r="A279" s="2">
        <v>43880</v>
      </c>
      <c r="B279" s="1">
        <v>669.63</v>
      </c>
      <c r="C279" s="1">
        <v>1859.61</v>
      </c>
      <c r="D279" s="1">
        <v>571.73</v>
      </c>
      <c r="E279" s="1">
        <v>673.23</v>
      </c>
      <c r="F279" s="1">
        <v>146.54</v>
      </c>
      <c r="G279" s="1">
        <v>6354.23</v>
      </c>
      <c r="H279" s="1">
        <v>379.05</v>
      </c>
      <c r="I279" s="1">
        <v>1154.94</v>
      </c>
      <c r="J279" s="1">
        <v>12125.9</v>
      </c>
    </row>
    <row r="280" spans="1:10">
      <c r="A280" s="2">
        <v>43881</v>
      </c>
      <c r="B280" s="1">
        <v>661.68</v>
      </c>
      <c r="C280" s="1">
        <v>1826.12</v>
      </c>
      <c r="D280" s="1">
        <v>567.03</v>
      </c>
      <c r="E280" s="1">
        <v>670.33</v>
      </c>
      <c r="F280" s="1">
        <v>147.07</v>
      </c>
      <c r="G280" s="1">
        <v>6355.17</v>
      </c>
      <c r="H280" s="1">
        <v>380.37</v>
      </c>
      <c r="I280" s="1">
        <v>1154.22</v>
      </c>
      <c r="J280" s="1">
        <v>12080.85</v>
      </c>
    </row>
    <row r="281" spans="1:10">
      <c r="A281" s="2">
        <v>43885</v>
      </c>
      <c r="B281" s="1">
        <v>643.42999999999995</v>
      </c>
      <c r="C281" s="1">
        <v>1791.03</v>
      </c>
      <c r="D281" s="1">
        <v>563.69000000000005</v>
      </c>
      <c r="E281" s="1">
        <v>669.36</v>
      </c>
      <c r="F281" s="1">
        <v>143.91</v>
      </c>
      <c r="G281" s="1">
        <v>6085.08</v>
      </c>
      <c r="H281" s="1">
        <v>373.7</v>
      </c>
      <c r="I281" s="1">
        <v>1135.3800000000001</v>
      </c>
      <c r="J281" s="1">
        <v>11829.4</v>
      </c>
    </row>
    <row r="282" spans="1:10">
      <c r="A282" s="2">
        <v>43886</v>
      </c>
      <c r="B282" s="1">
        <v>630.71</v>
      </c>
      <c r="C282" s="1">
        <v>1825.57</v>
      </c>
      <c r="D282" s="1">
        <v>559.20000000000005</v>
      </c>
      <c r="E282" s="1">
        <v>671.51</v>
      </c>
      <c r="F282" s="1">
        <v>143.06</v>
      </c>
      <c r="G282" s="1">
        <v>6032.55</v>
      </c>
      <c r="H282" s="1">
        <v>365.29</v>
      </c>
      <c r="I282" s="1">
        <v>1119.48</v>
      </c>
      <c r="J282" s="1">
        <v>11797.9</v>
      </c>
    </row>
    <row r="283" spans="1:10">
      <c r="A283" s="2">
        <v>43887</v>
      </c>
      <c r="B283" s="1">
        <v>619.85</v>
      </c>
      <c r="C283" s="1">
        <v>1798.01</v>
      </c>
      <c r="D283" s="1">
        <v>558.71</v>
      </c>
      <c r="E283" s="1">
        <v>658.35</v>
      </c>
      <c r="F283" s="1">
        <v>140.79</v>
      </c>
      <c r="G283" s="1">
        <v>5863.55</v>
      </c>
      <c r="H283" s="1">
        <v>351.95</v>
      </c>
      <c r="I283" s="1">
        <v>1091.6300000000001</v>
      </c>
      <c r="J283" s="1">
        <v>11678.5</v>
      </c>
    </row>
    <row r="284" spans="1:10">
      <c r="A284" s="2">
        <v>43888</v>
      </c>
      <c r="B284" s="1">
        <v>617.29</v>
      </c>
      <c r="C284" s="1">
        <v>1782.69</v>
      </c>
      <c r="D284" s="1">
        <v>558.79999999999995</v>
      </c>
      <c r="E284" s="1">
        <v>654.22</v>
      </c>
      <c r="F284" s="1">
        <v>140.05000000000001</v>
      </c>
      <c r="G284" s="1">
        <v>5915.23</v>
      </c>
      <c r="H284" s="1">
        <v>364.92</v>
      </c>
      <c r="I284" s="1">
        <v>1090.9000000000001</v>
      </c>
      <c r="J284" s="1">
        <v>11633.3</v>
      </c>
    </row>
    <row r="285" spans="1:10">
      <c r="A285" s="2">
        <v>43889</v>
      </c>
      <c r="B285" s="1">
        <v>591.64</v>
      </c>
      <c r="C285" s="1">
        <v>1693.49</v>
      </c>
      <c r="D285" s="1">
        <v>548.65</v>
      </c>
      <c r="E285" s="1">
        <v>615.41</v>
      </c>
      <c r="F285" s="1">
        <v>140.05000000000001</v>
      </c>
      <c r="G285" s="1">
        <v>5908.93</v>
      </c>
      <c r="H285" s="1">
        <v>350.26</v>
      </c>
      <c r="I285" s="1">
        <v>1070.3499999999999</v>
      </c>
      <c r="J285" s="1">
        <v>11201.75</v>
      </c>
    </row>
    <row r="286" spans="1:10">
      <c r="A286" s="2">
        <v>43892</v>
      </c>
      <c r="B286" s="1">
        <v>586.07000000000005</v>
      </c>
      <c r="C286" s="1">
        <v>1694.46</v>
      </c>
      <c r="D286" s="1">
        <v>549.54999999999995</v>
      </c>
      <c r="E286" s="1">
        <v>623.27</v>
      </c>
      <c r="F286" s="1">
        <v>138.44999999999999</v>
      </c>
      <c r="G286" s="1">
        <v>5910.86</v>
      </c>
      <c r="H286" s="1">
        <v>347.07</v>
      </c>
      <c r="I286" s="1">
        <v>1046.33</v>
      </c>
      <c r="J286" s="1">
        <v>11132.75</v>
      </c>
    </row>
    <row r="287" spans="1:10">
      <c r="A287" s="2">
        <v>43893</v>
      </c>
      <c r="B287" s="1">
        <v>597.96</v>
      </c>
      <c r="C287" s="1">
        <v>1724.01</v>
      </c>
      <c r="D287" s="1">
        <v>550.58000000000004</v>
      </c>
      <c r="E287" s="1">
        <v>628.28</v>
      </c>
      <c r="F287" s="1">
        <v>137.43</v>
      </c>
      <c r="G287" s="1">
        <v>6005.75</v>
      </c>
      <c r="H287" s="1">
        <v>369.66</v>
      </c>
      <c r="I287" s="1">
        <v>1064.72</v>
      </c>
      <c r="J287" s="1">
        <v>11303.3</v>
      </c>
    </row>
    <row r="288" spans="1:10">
      <c r="A288" s="2">
        <v>43894</v>
      </c>
      <c r="B288" s="1">
        <v>596.55999999999995</v>
      </c>
      <c r="C288" s="1">
        <v>1763.81</v>
      </c>
      <c r="D288" s="1">
        <v>535.23</v>
      </c>
      <c r="E288" s="1">
        <v>638.16</v>
      </c>
      <c r="F288" s="1">
        <v>132.91999999999999</v>
      </c>
      <c r="G288" s="1">
        <v>6004.15</v>
      </c>
      <c r="H288" s="1">
        <v>380.84</v>
      </c>
      <c r="I288" s="1">
        <v>1060.53</v>
      </c>
      <c r="J288" s="1">
        <v>11251</v>
      </c>
    </row>
    <row r="289" spans="1:10">
      <c r="A289" s="2">
        <v>43895</v>
      </c>
      <c r="B289" s="1">
        <v>583.85</v>
      </c>
      <c r="C289" s="1">
        <v>1799.24</v>
      </c>
      <c r="D289" s="1">
        <v>536.39</v>
      </c>
      <c r="E289" s="1">
        <v>634.66999999999996</v>
      </c>
      <c r="F289" s="1">
        <v>133.31</v>
      </c>
      <c r="G289" s="1">
        <v>5986.85</v>
      </c>
      <c r="H289" s="1">
        <v>380.32</v>
      </c>
      <c r="I289" s="1">
        <v>1065.76</v>
      </c>
      <c r="J289" s="1">
        <v>11269</v>
      </c>
    </row>
    <row r="290" spans="1:10">
      <c r="A290" s="2">
        <v>43896</v>
      </c>
      <c r="B290" s="1">
        <v>565.97</v>
      </c>
      <c r="C290" s="1">
        <v>1791.96</v>
      </c>
      <c r="D290" s="1">
        <v>528.73</v>
      </c>
      <c r="E290" s="1">
        <v>621.51</v>
      </c>
      <c r="F290" s="1">
        <v>128.85</v>
      </c>
      <c r="G290" s="1">
        <v>6062.08</v>
      </c>
      <c r="H290" s="1">
        <v>376.56</v>
      </c>
      <c r="I290" s="1">
        <v>1044.53</v>
      </c>
      <c r="J290" s="1">
        <v>10989.45</v>
      </c>
    </row>
    <row r="291" spans="1:10">
      <c r="A291" s="2">
        <v>43899</v>
      </c>
      <c r="B291" s="1">
        <v>496.12</v>
      </c>
      <c r="C291" s="1">
        <v>1669.95</v>
      </c>
      <c r="D291" s="1">
        <v>515.87</v>
      </c>
      <c r="E291" s="1">
        <v>592.49</v>
      </c>
      <c r="F291" s="1">
        <v>125.62</v>
      </c>
      <c r="G291" s="1">
        <v>5831.81</v>
      </c>
      <c r="H291" s="1">
        <v>369.47</v>
      </c>
      <c r="I291" s="1">
        <v>993.2</v>
      </c>
      <c r="J291" s="1">
        <v>10451.450000000001</v>
      </c>
    </row>
    <row r="292" spans="1:10">
      <c r="A292" s="2">
        <v>43901</v>
      </c>
      <c r="B292" s="1">
        <v>513.66999999999996</v>
      </c>
      <c r="C292" s="1">
        <v>1654.16</v>
      </c>
      <c r="D292" s="1">
        <v>518.9</v>
      </c>
      <c r="E292" s="1">
        <v>576.97</v>
      </c>
      <c r="F292" s="1">
        <v>124.52</v>
      </c>
      <c r="G292" s="1">
        <v>5780.28</v>
      </c>
      <c r="H292" s="1">
        <v>362.52</v>
      </c>
      <c r="I292" s="1">
        <v>1006.72</v>
      </c>
      <c r="J292" s="1">
        <v>10458.4</v>
      </c>
    </row>
    <row r="293" spans="1:10">
      <c r="A293" s="2">
        <v>43902</v>
      </c>
      <c r="B293" s="1">
        <v>473.35</v>
      </c>
      <c r="C293" s="1">
        <v>1498.5</v>
      </c>
      <c r="D293" s="1">
        <v>475.81</v>
      </c>
      <c r="E293" s="1">
        <v>530.88</v>
      </c>
      <c r="F293" s="1">
        <v>110.45</v>
      </c>
      <c r="G293" s="1">
        <v>5307.09</v>
      </c>
      <c r="H293" s="1">
        <v>333.26</v>
      </c>
      <c r="I293" s="1">
        <v>916.23</v>
      </c>
      <c r="J293" s="1">
        <v>9590.15</v>
      </c>
    </row>
    <row r="294" spans="1:10">
      <c r="A294" s="2">
        <v>43903</v>
      </c>
      <c r="B294" s="1">
        <v>492.18</v>
      </c>
      <c r="C294" s="1">
        <v>1529.36</v>
      </c>
      <c r="D294" s="1">
        <v>498.4</v>
      </c>
      <c r="E294" s="1">
        <v>540.26</v>
      </c>
      <c r="F294" s="1">
        <v>115.02</v>
      </c>
      <c r="G294" s="1">
        <v>5490.9</v>
      </c>
      <c r="H294" s="1">
        <v>360.88</v>
      </c>
      <c r="I294" s="1">
        <v>947.69</v>
      </c>
      <c r="J294" s="1">
        <v>9955.2000000000007</v>
      </c>
    </row>
    <row r="295" spans="1:10">
      <c r="A295" s="2">
        <v>43906</v>
      </c>
      <c r="B295" s="1">
        <v>452.29</v>
      </c>
      <c r="C295" s="1">
        <v>1436.31</v>
      </c>
      <c r="D295" s="1">
        <v>465.65</v>
      </c>
      <c r="E295" s="1">
        <v>490.47</v>
      </c>
      <c r="F295" s="1">
        <v>104.39</v>
      </c>
      <c r="G295" s="1">
        <v>5153.8900000000003</v>
      </c>
      <c r="H295" s="1">
        <v>346.18</v>
      </c>
      <c r="I295" s="1">
        <v>873.1</v>
      </c>
      <c r="J295" s="1">
        <v>9197.4</v>
      </c>
    </row>
    <row r="296" spans="1:10">
      <c r="A296" s="2">
        <v>43907</v>
      </c>
      <c r="B296" s="1">
        <v>448.86</v>
      </c>
      <c r="C296" s="1">
        <v>1403.8</v>
      </c>
      <c r="D296" s="1">
        <v>454.28</v>
      </c>
      <c r="E296" s="1">
        <v>466.75</v>
      </c>
      <c r="F296" s="1">
        <v>105.74</v>
      </c>
      <c r="G296" s="1">
        <v>5270.23</v>
      </c>
      <c r="H296" s="1">
        <v>347.68</v>
      </c>
      <c r="I296" s="1">
        <v>862.33</v>
      </c>
      <c r="J296" s="1">
        <v>8967.0499999999993</v>
      </c>
    </row>
    <row r="297" spans="1:10">
      <c r="A297" s="2">
        <v>43908</v>
      </c>
      <c r="B297" s="1">
        <v>431.27</v>
      </c>
      <c r="C297" s="1">
        <v>1400.75</v>
      </c>
      <c r="D297" s="1">
        <v>408.53</v>
      </c>
      <c r="E297" s="1">
        <v>449.38</v>
      </c>
      <c r="F297" s="1">
        <v>106.84</v>
      </c>
      <c r="G297" s="1">
        <v>5033.8900000000003</v>
      </c>
      <c r="H297" s="1">
        <v>340.73</v>
      </c>
      <c r="I297" s="1">
        <v>815.28</v>
      </c>
      <c r="J297" s="1">
        <v>8468.7999999999993</v>
      </c>
    </row>
    <row r="298" spans="1:10">
      <c r="A298" s="2">
        <v>43909</v>
      </c>
      <c r="B298" s="1">
        <v>408.65</v>
      </c>
      <c r="C298" s="1">
        <v>1395.59</v>
      </c>
      <c r="D298" s="1">
        <v>417.22</v>
      </c>
      <c r="E298" s="1">
        <v>458.84</v>
      </c>
      <c r="F298" s="1">
        <v>114.74</v>
      </c>
      <c r="G298" s="1">
        <v>4532.54</v>
      </c>
      <c r="H298" s="1">
        <v>338.52</v>
      </c>
      <c r="I298" s="1">
        <v>759.9</v>
      </c>
      <c r="J298" s="1">
        <v>8263.4500000000007</v>
      </c>
    </row>
    <row r="299" spans="1:10">
      <c r="A299" s="2">
        <v>43910</v>
      </c>
      <c r="B299" s="1">
        <v>453.29</v>
      </c>
      <c r="C299" s="1">
        <v>1532.99</v>
      </c>
      <c r="D299" s="1">
        <v>411.3</v>
      </c>
      <c r="E299" s="1">
        <v>492.19</v>
      </c>
      <c r="F299" s="1">
        <v>124.42</v>
      </c>
      <c r="G299" s="1">
        <v>4776.7299999999996</v>
      </c>
      <c r="H299" s="1">
        <v>343.08</v>
      </c>
      <c r="I299" s="1">
        <v>779.37</v>
      </c>
      <c r="J299" s="1">
        <v>8745.4500000000007</v>
      </c>
    </row>
    <row r="300" spans="1:10">
      <c r="A300" s="2">
        <v>43913</v>
      </c>
      <c r="B300" s="1">
        <v>393.66</v>
      </c>
      <c r="C300" s="1">
        <v>1424.03</v>
      </c>
      <c r="D300" s="1">
        <v>359.45</v>
      </c>
      <c r="E300" s="1">
        <v>442.78</v>
      </c>
      <c r="F300" s="1">
        <v>109.39</v>
      </c>
      <c r="G300" s="1">
        <v>3969.02</v>
      </c>
      <c r="H300" s="1">
        <v>304.8</v>
      </c>
      <c r="I300" s="1">
        <v>652.6</v>
      </c>
      <c r="J300" s="1">
        <v>7610.25</v>
      </c>
    </row>
    <row r="301" spans="1:10">
      <c r="A301" s="2">
        <v>43914</v>
      </c>
      <c r="B301" s="1">
        <v>420.09</v>
      </c>
      <c r="C301" s="1">
        <v>1452.56</v>
      </c>
      <c r="D301" s="1">
        <v>357.66</v>
      </c>
      <c r="E301" s="1">
        <v>496.06</v>
      </c>
      <c r="F301" s="1">
        <v>106.13</v>
      </c>
      <c r="G301" s="1">
        <v>4219.2700000000004</v>
      </c>
      <c r="H301" s="1">
        <v>314.81</v>
      </c>
      <c r="I301" s="1">
        <v>646.97</v>
      </c>
      <c r="J301" s="1">
        <v>7801.05</v>
      </c>
    </row>
    <row r="302" spans="1:10">
      <c r="A302" s="2">
        <v>43915</v>
      </c>
      <c r="B302" s="1">
        <v>481.92</v>
      </c>
      <c r="C302" s="1">
        <v>1492.78</v>
      </c>
      <c r="D302" s="1">
        <v>399.14</v>
      </c>
      <c r="E302" s="1">
        <v>509.85</v>
      </c>
      <c r="F302" s="1">
        <v>104.46</v>
      </c>
      <c r="G302" s="1">
        <v>4707.84</v>
      </c>
      <c r="H302" s="1">
        <v>326.55</v>
      </c>
      <c r="I302" s="1">
        <v>699.85</v>
      </c>
      <c r="J302" s="1">
        <v>8317.85</v>
      </c>
    </row>
    <row r="303" spans="1:10">
      <c r="A303" s="2">
        <v>43916</v>
      </c>
      <c r="B303" s="1">
        <v>474.77</v>
      </c>
      <c r="C303" s="1">
        <v>1527.44</v>
      </c>
      <c r="D303" s="1">
        <v>419.81</v>
      </c>
      <c r="E303" s="1">
        <v>540.80999999999995</v>
      </c>
      <c r="F303" s="1">
        <v>110.88</v>
      </c>
      <c r="G303" s="1">
        <v>4587.51</v>
      </c>
      <c r="H303" s="1">
        <v>317.76</v>
      </c>
      <c r="I303" s="1">
        <v>765.88</v>
      </c>
      <c r="J303" s="1">
        <v>8641.4500000000007</v>
      </c>
    </row>
    <row r="304" spans="1:10">
      <c r="A304" s="2">
        <v>43917</v>
      </c>
      <c r="B304" s="1">
        <v>474.51</v>
      </c>
      <c r="C304" s="1">
        <v>1556.06</v>
      </c>
      <c r="D304" s="1">
        <v>421.37</v>
      </c>
      <c r="E304" s="1">
        <v>548.96</v>
      </c>
      <c r="F304" s="1">
        <v>115.7</v>
      </c>
      <c r="G304" s="1">
        <v>4369.42</v>
      </c>
      <c r="H304" s="1">
        <v>317.72000000000003</v>
      </c>
      <c r="I304" s="1">
        <v>765.01</v>
      </c>
      <c r="J304" s="1">
        <v>8660.25</v>
      </c>
    </row>
    <row r="305" spans="1:10">
      <c r="A305" s="2">
        <v>43920</v>
      </c>
      <c r="B305" s="1">
        <v>458.85</v>
      </c>
      <c r="C305" s="1">
        <v>1516.83</v>
      </c>
      <c r="D305" s="1">
        <v>387.45</v>
      </c>
      <c r="E305" s="1">
        <v>527.1</v>
      </c>
      <c r="F305" s="1">
        <v>112.86</v>
      </c>
      <c r="G305" s="1">
        <v>4070.68</v>
      </c>
      <c r="H305" s="1">
        <v>312.5</v>
      </c>
      <c r="I305" s="1">
        <v>729.91</v>
      </c>
      <c r="J305" s="1">
        <v>8281.1</v>
      </c>
    </row>
    <row r="306" spans="1:10">
      <c r="A306" s="2">
        <v>43921</v>
      </c>
      <c r="B306" s="1">
        <v>495.95</v>
      </c>
      <c r="C306" s="1">
        <v>1557.42</v>
      </c>
      <c r="D306" s="1">
        <v>401.54</v>
      </c>
      <c r="E306" s="1">
        <v>539.54</v>
      </c>
      <c r="F306" s="1">
        <v>121.72</v>
      </c>
      <c r="G306" s="1">
        <v>4032.92</v>
      </c>
      <c r="H306" s="1">
        <v>330.91</v>
      </c>
      <c r="I306" s="1">
        <v>738.92</v>
      </c>
      <c r="J306" s="1">
        <v>8597.75</v>
      </c>
    </row>
    <row r="307" spans="1:10">
      <c r="A307" s="2">
        <v>43922</v>
      </c>
      <c r="B307" s="1">
        <v>481.12</v>
      </c>
      <c r="C307" s="1">
        <v>1457.34</v>
      </c>
      <c r="D307" s="1">
        <v>386.52</v>
      </c>
      <c r="E307" s="1">
        <v>507</v>
      </c>
      <c r="F307" s="1">
        <v>117.97</v>
      </c>
      <c r="G307" s="1">
        <v>3993.47</v>
      </c>
      <c r="H307" s="1">
        <v>322.7</v>
      </c>
      <c r="I307" s="1">
        <v>707.71</v>
      </c>
      <c r="J307" s="1">
        <v>8253.7999999999993</v>
      </c>
    </row>
    <row r="308" spans="1:10">
      <c r="A308" s="2">
        <v>43924</v>
      </c>
      <c r="B308" s="1">
        <v>479.78</v>
      </c>
      <c r="C308" s="1">
        <v>1410.81</v>
      </c>
      <c r="D308" s="1">
        <v>379.16</v>
      </c>
      <c r="E308" s="1">
        <v>492.61</v>
      </c>
      <c r="F308" s="1">
        <v>126.12</v>
      </c>
      <c r="G308" s="1">
        <v>3772.61</v>
      </c>
      <c r="H308" s="1">
        <v>353.13</v>
      </c>
      <c r="I308" s="1">
        <v>707.98</v>
      </c>
      <c r="J308" s="1">
        <v>8083.8</v>
      </c>
    </row>
    <row r="309" spans="1:10">
      <c r="A309" s="2">
        <v>43928</v>
      </c>
      <c r="B309" s="1">
        <v>537.07000000000005</v>
      </c>
      <c r="C309" s="1">
        <v>1514.01</v>
      </c>
      <c r="D309" s="1">
        <v>417.48</v>
      </c>
      <c r="E309" s="1">
        <v>537.44000000000005</v>
      </c>
      <c r="F309" s="1">
        <v>128.71</v>
      </c>
      <c r="G309" s="1">
        <v>4282.47</v>
      </c>
      <c r="H309" s="1">
        <v>392.02</v>
      </c>
      <c r="I309" s="1">
        <v>732.66</v>
      </c>
      <c r="J309" s="1">
        <v>8792.2000000000007</v>
      </c>
    </row>
    <row r="310" spans="1:10">
      <c r="A310" s="2">
        <v>43929</v>
      </c>
      <c r="B310" s="1">
        <v>530.86</v>
      </c>
      <c r="C310" s="1">
        <v>1454.52</v>
      </c>
      <c r="D310" s="1">
        <v>414.12</v>
      </c>
      <c r="E310" s="1">
        <v>531.22</v>
      </c>
      <c r="F310" s="1">
        <v>126.65</v>
      </c>
      <c r="G310" s="1">
        <v>4418.32</v>
      </c>
      <c r="H310" s="1">
        <v>410.19</v>
      </c>
      <c r="I310" s="1">
        <v>737.64</v>
      </c>
      <c r="J310" s="1">
        <v>8748.75</v>
      </c>
    </row>
    <row r="311" spans="1:10">
      <c r="A311" s="2">
        <v>43930</v>
      </c>
      <c r="B311" s="1">
        <v>543.24</v>
      </c>
      <c r="C311" s="1">
        <v>1506.29</v>
      </c>
      <c r="D311" s="1">
        <v>430.96</v>
      </c>
      <c r="E311" s="1">
        <v>535.13</v>
      </c>
      <c r="F311" s="1">
        <v>131.33000000000001</v>
      </c>
      <c r="G311" s="1">
        <v>5009.4399999999996</v>
      </c>
      <c r="H311" s="1">
        <v>426.86</v>
      </c>
      <c r="I311" s="1">
        <v>742.85</v>
      </c>
      <c r="J311" s="1">
        <v>9111.9</v>
      </c>
    </row>
    <row r="312" spans="1:10">
      <c r="A312" s="2">
        <v>43934</v>
      </c>
      <c r="B312" s="1">
        <v>529.52</v>
      </c>
      <c r="C312" s="1">
        <v>1500.41</v>
      </c>
      <c r="D312" s="1">
        <v>417.13</v>
      </c>
      <c r="E312" s="1">
        <v>536.1</v>
      </c>
      <c r="F312" s="1">
        <v>128.74</v>
      </c>
      <c r="G312" s="1">
        <v>4968.53</v>
      </c>
      <c r="H312" s="1">
        <v>434.28</v>
      </c>
      <c r="I312" s="1">
        <v>790.97</v>
      </c>
      <c r="J312" s="1">
        <v>8993.85</v>
      </c>
    </row>
    <row r="313" spans="1:10">
      <c r="A313" s="2">
        <v>43936</v>
      </c>
      <c r="B313" s="1">
        <v>512.02</v>
      </c>
      <c r="C313" s="1">
        <v>1479.85</v>
      </c>
      <c r="D313" s="1">
        <v>402.2</v>
      </c>
      <c r="E313" s="1">
        <v>537.48</v>
      </c>
      <c r="F313" s="1">
        <v>134.24</v>
      </c>
      <c r="G313" s="1">
        <v>4790.93</v>
      </c>
      <c r="H313" s="1">
        <v>421.93</v>
      </c>
      <c r="I313" s="1">
        <v>804.4</v>
      </c>
      <c r="J313" s="1">
        <v>8925.2999999999993</v>
      </c>
    </row>
    <row r="314" spans="1:10">
      <c r="A314" s="2">
        <v>43937</v>
      </c>
      <c r="B314" s="1">
        <v>520.13</v>
      </c>
      <c r="C314" s="1">
        <v>1463.56</v>
      </c>
      <c r="D314" s="1">
        <v>409.86</v>
      </c>
      <c r="E314" s="1">
        <v>524.70000000000005</v>
      </c>
      <c r="F314" s="1">
        <v>132.11000000000001</v>
      </c>
      <c r="G314" s="1">
        <v>4825.25</v>
      </c>
      <c r="H314" s="1">
        <v>435.55</v>
      </c>
      <c r="I314" s="1">
        <v>833.19</v>
      </c>
      <c r="J314" s="1">
        <v>8992.7999999999993</v>
      </c>
    </row>
    <row r="315" spans="1:10">
      <c r="A315" s="2">
        <v>43938</v>
      </c>
      <c r="B315" s="1">
        <v>545.04</v>
      </c>
      <c r="C315" s="1">
        <v>1540.45</v>
      </c>
      <c r="D315" s="1">
        <v>424.09</v>
      </c>
      <c r="E315" s="1">
        <v>528.82000000000005</v>
      </c>
      <c r="F315" s="1">
        <v>133.35</v>
      </c>
      <c r="G315" s="1">
        <v>5177.17</v>
      </c>
      <c r="H315" s="1">
        <v>429.35</v>
      </c>
      <c r="I315" s="1">
        <v>852.61</v>
      </c>
      <c r="J315" s="1">
        <v>9266.75</v>
      </c>
    </row>
    <row r="316" spans="1:10">
      <c r="A316" s="2">
        <v>43941</v>
      </c>
      <c r="B316" s="1">
        <v>553.86</v>
      </c>
      <c r="C316" s="1">
        <v>1551.07</v>
      </c>
      <c r="D316" s="1">
        <v>440.19</v>
      </c>
      <c r="E316" s="1">
        <v>549.47</v>
      </c>
      <c r="F316" s="1">
        <v>128.1</v>
      </c>
      <c r="G316" s="1">
        <v>5013.8599999999997</v>
      </c>
      <c r="H316" s="1">
        <v>444.66</v>
      </c>
      <c r="I316" s="1">
        <v>836.8</v>
      </c>
      <c r="J316" s="1">
        <v>9261.85</v>
      </c>
    </row>
    <row r="317" spans="1:10">
      <c r="A317" s="2">
        <v>43942</v>
      </c>
      <c r="B317" s="1">
        <v>550.98</v>
      </c>
      <c r="C317" s="1">
        <v>1481.99</v>
      </c>
      <c r="D317" s="1">
        <v>429.38</v>
      </c>
      <c r="E317" s="1">
        <v>532.55999999999995</v>
      </c>
      <c r="F317" s="1">
        <v>127.32</v>
      </c>
      <c r="G317" s="1">
        <v>4703.28</v>
      </c>
      <c r="H317" s="1">
        <v>444.43</v>
      </c>
      <c r="I317" s="1">
        <v>795.44</v>
      </c>
      <c r="J317" s="1">
        <v>8981.4500000000007</v>
      </c>
    </row>
    <row r="318" spans="1:10">
      <c r="A318" s="2">
        <v>43943</v>
      </c>
      <c r="B318" s="1">
        <v>607.20000000000005</v>
      </c>
      <c r="C318" s="1">
        <v>1509.15</v>
      </c>
      <c r="D318" s="1">
        <v>432.62</v>
      </c>
      <c r="E318" s="1">
        <v>539.84</v>
      </c>
      <c r="F318" s="1">
        <v>129.19999999999999</v>
      </c>
      <c r="G318" s="1">
        <v>4872.32</v>
      </c>
      <c r="H318" s="1">
        <v>445.56</v>
      </c>
      <c r="I318" s="1">
        <v>779.22</v>
      </c>
      <c r="J318" s="1">
        <v>9187.2999999999993</v>
      </c>
    </row>
    <row r="319" spans="1:10">
      <c r="A319" s="2">
        <v>43944</v>
      </c>
      <c r="B319" s="1">
        <v>610.45000000000005</v>
      </c>
      <c r="C319" s="1">
        <v>1601.9</v>
      </c>
      <c r="D319" s="1">
        <v>444.89</v>
      </c>
      <c r="E319" s="1">
        <v>571.34</v>
      </c>
      <c r="F319" s="1">
        <v>128</v>
      </c>
      <c r="G319" s="1">
        <v>4849.28</v>
      </c>
      <c r="H319" s="1">
        <v>448.47</v>
      </c>
      <c r="I319" s="1">
        <v>768.25</v>
      </c>
      <c r="J319" s="1">
        <v>9313.9</v>
      </c>
    </row>
    <row r="320" spans="1:10">
      <c r="A320" s="2">
        <v>43945</v>
      </c>
      <c r="B320" s="1">
        <v>630.98</v>
      </c>
      <c r="C320" s="1">
        <v>1550.98</v>
      </c>
      <c r="D320" s="1">
        <v>437.02</v>
      </c>
      <c r="E320" s="1">
        <v>553.41999999999996</v>
      </c>
      <c r="F320" s="1">
        <v>127.64</v>
      </c>
      <c r="G320" s="1">
        <v>4745.17</v>
      </c>
      <c r="H320" s="1">
        <v>456.08</v>
      </c>
      <c r="I320" s="1">
        <v>777.94</v>
      </c>
      <c r="J320" s="1">
        <v>9154.4</v>
      </c>
    </row>
    <row r="321" spans="1:10">
      <c r="A321" s="2">
        <v>43948</v>
      </c>
      <c r="B321" s="1">
        <v>636.66</v>
      </c>
      <c r="C321" s="1">
        <v>1566.38</v>
      </c>
      <c r="D321" s="1">
        <v>433.13</v>
      </c>
      <c r="E321" s="1">
        <v>558.97</v>
      </c>
      <c r="F321" s="1">
        <v>127.5</v>
      </c>
      <c r="G321" s="1">
        <v>4755.24</v>
      </c>
      <c r="H321" s="1">
        <v>460.16</v>
      </c>
      <c r="I321" s="1">
        <v>781.64</v>
      </c>
      <c r="J321" s="1">
        <v>9282.2999999999993</v>
      </c>
    </row>
    <row r="322" spans="1:10">
      <c r="A322" s="2">
        <v>43949</v>
      </c>
      <c r="B322" s="1">
        <v>635.95000000000005</v>
      </c>
      <c r="C322" s="1">
        <v>1585.52</v>
      </c>
      <c r="D322" s="1">
        <v>433.92</v>
      </c>
      <c r="E322" s="1">
        <v>555.69000000000005</v>
      </c>
      <c r="F322" s="1">
        <v>127.22</v>
      </c>
      <c r="G322" s="1">
        <v>4751.8</v>
      </c>
      <c r="H322" s="1">
        <v>445.18</v>
      </c>
      <c r="I322" s="1">
        <v>783.38</v>
      </c>
      <c r="J322" s="1">
        <v>9380.9</v>
      </c>
    </row>
    <row r="323" spans="1:10">
      <c r="A323" s="2">
        <v>43950</v>
      </c>
      <c r="B323" s="1">
        <v>635.41</v>
      </c>
      <c r="C323" s="1">
        <v>1625.27</v>
      </c>
      <c r="D323" s="1">
        <v>455.21</v>
      </c>
      <c r="E323" s="1">
        <v>569.02</v>
      </c>
      <c r="F323" s="1">
        <v>129.13</v>
      </c>
      <c r="G323" s="1">
        <v>4766.62</v>
      </c>
      <c r="H323" s="1">
        <v>448.65</v>
      </c>
      <c r="I323" s="1">
        <v>800.01</v>
      </c>
      <c r="J323" s="1">
        <v>9553.35</v>
      </c>
    </row>
    <row r="324" spans="1:10">
      <c r="A324" s="2">
        <v>43951</v>
      </c>
      <c r="B324" s="1">
        <v>652.79999999999995</v>
      </c>
      <c r="C324" s="1">
        <v>1718.06</v>
      </c>
      <c r="D324" s="1">
        <v>466.72</v>
      </c>
      <c r="E324" s="1">
        <v>601.78</v>
      </c>
      <c r="F324" s="1">
        <v>129.06</v>
      </c>
      <c r="G324" s="1">
        <v>5039.67</v>
      </c>
      <c r="H324" s="1">
        <v>436.26</v>
      </c>
      <c r="I324" s="1">
        <v>820.3</v>
      </c>
      <c r="J324" s="1">
        <v>9859.9</v>
      </c>
    </row>
    <row r="325" spans="1:10">
      <c r="A325" s="2">
        <v>43955</v>
      </c>
      <c r="B325" s="1">
        <v>639.09</v>
      </c>
      <c r="C325" s="1">
        <v>1646.42</v>
      </c>
      <c r="D325" s="1">
        <v>430.01</v>
      </c>
      <c r="E325" s="1">
        <v>566.63</v>
      </c>
      <c r="F325" s="1">
        <v>123.39</v>
      </c>
      <c r="G325" s="1">
        <v>4595.3100000000004</v>
      </c>
      <c r="H325" s="1">
        <v>437.2</v>
      </c>
      <c r="I325" s="1">
        <v>777.44</v>
      </c>
      <c r="J325" s="1">
        <v>9293.5</v>
      </c>
    </row>
    <row r="326" spans="1:10">
      <c r="A326" s="2">
        <v>43956</v>
      </c>
      <c r="B326" s="1">
        <v>650.41999999999996</v>
      </c>
      <c r="C326" s="1">
        <v>1648.38</v>
      </c>
      <c r="D326" s="1">
        <v>424.63</v>
      </c>
      <c r="E326" s="1">
        <v>566.63</v>
      </c>
      <c r="F326" s="1">
        <v>123.28</v>
      </c>
      <c r="G326" s="1">
        <v>4542.2299999999996</v>
      </c>
      <c r="H326" s="1">
        <v>428.6</v>
      </c>
      <c r="I326" s="1">
        <v>764.87</v>
      </c>
      <c r="J326" s="1">
        <v>9205.6</v>
      </c>
    </row>
    <row r="327" spans="1:10">
      <c r="A327" s="2">
        <v>43957</v>
      </c>
      <c r="B327" s="1">
        <v>650.46</v>
      </c>
      <c r="C327" s="1">
        <v>1623.52</v>
      </c>
      <c r="D327" s="1">
        <v>440.91</v>
      </c>
      <c r="E327" s="1">
        <v>560.07000000000005</v>
      </c>
      <c r="F327" s="1">
        <v>116.19</v>
      </c>
      <c r="G327" s="1">
        <v>4554.83</v>
      </c>
      <c r="H327" s="1">
        <v>426.82</v>
      </c>
      <c r="I327" s="1">
        <v>765.24</v>
      </c>
      <c r="J327" s="1">
        <v>9270.9</v>
      </c>
    </row>
    <row r="328" spans="1:10">
      <c r="A328" s="2">
        <v>43958</v>
      </c>
      <c r="B328" s="1">
        <v>671.04</v>
      </c>
      <c r="C328" s="1">
        <v>1613.33</v>
      </c>
      <c r="D328" s="1">
        <v>430.94</v>
      </c>
      <c r="E328" s="1">
        <v>559.27</v>
      </c>
      <c r="F328" s="1">
        <v>114.14</v>
      </c>
      <c r="G328" s="1">
        <v>4466.47</v>
      </c>
      <c r="H328" s="1">
        <v>424.75</v>
      </c>
      <c r="I328" s="1">
        <v>752.03</v>
      </c>
      <c r="J328" s="1">
        <v>9199.0499999999993</v>
      </c>
    </row>
    <row r="329" spans="1:10">
      <c r="A329" s="2">
        <v>43959</v>
      </c>
      <c r="B329" s="1">
        <v>695.46</v>
      </c>
      <c r="C329" s="1">
        <v>1614.82</v>
      </c>
      <c r="D329" s="1">
        <v>432.83</v>
      </c>
      <c r="E329" s="1">
        <v>567.04999999999995</v>
      </c>
      <c r="F329" s="1">
        <v>112.19</v>
      </c>
      <c r="G329" s="1">
        <v>4376.99</v>
      </c>
      <c r="H329" s="1">
        <v>440.53</v>
      </c>
      <c r="I329" s="1">
        <v>745.73</v>
      </c>
      <c r="J329" s="1">
        <v>9251.5</v>
      </c>
    </row>
    <row r="330" spans="1:10">
      <c r="A330" s="2">
        <v>43962</v>
      </c>
      <c r="B330" s="1">
        <v>702.14</v>
      </c>
      <c r="C330" s="1">
        <v>1650.56</v>
      </c>
      <c r="D330" s="1">
        <v>426.66</v>
      </c>
      <c r="E330" s="1">
        <v>574.36</v>
      </c>
      <c r="F330" s="1">
        <v>112.33</v>
      </c>
      <c r="G330" s="1">
        <v>4643.75</v>
      </c>
      <c r="H330" s="1">
        <v>435.69</v>
      </c>
      <c r="I330" s="1">
        <v>750.89</v>
      </c>
      <c r="J330" s="1">
        <v>9239.2000000000007</v>
      </c>
    </row>
    <row r="331" spans="1:10">
      <c r="A331" s="2">
        <v>43963</v>
      </c>
      <c r="B331" s="1">
        <v>658.7</v>
      </c>
      <c r="C331" s="1">
        <v>1662.67</v>
      </c>
      <c r="D331" s="1">
        <v>420.02</v>
      </c>
      <c r="E331" s="1">
        <v>578.36</v>
      </c>
      <c r="F331" s="1">
        <v>117.01</v>
      </c>
      <c r="G331" s="1">
        <v>4656.4399999999996</v>
      </c>
      <c r="H331" s="1">
        <v>435.74</v>
      </c>
      <c r="I331" s="1">
        <v>744.67</v>
      </c>
      <c r="J331" s="1">
        <v>9196.5499999999993</v>
      </c>
    </row>
    <row r="332" spans="1:10">
      <c r="A332" s="2">
        <v>43964</v>
      </c>
      <c r="B332" s="1">
        <v>672.68</v>
      </c>
      <c r="C332" s="1">
        <v>1662.79</v>
      </c>
      <c r="D332" s="1">
        <v>432.18</v>
      </c>
      <c r="E332" s="1">
        <v>583.83000000000004</v>
      </c>
      <c r="F332" s="1">
        <v>117.26</v>
      </c>
      <c r="G332" s="1">
        <v>4736.1899999999996</v>
      </c>
      <c r="H332" s="1">
        <v>424.89</v>
      </c>
      <c r="I332" s="1">
        <v>788.63</v>
      </c>
      <c r="J332" s="1">
        <v>9383.5499999999993</v>
      </c>
    </row>
    <row r="333" spans="1:10">
      <c r="A333" s="2">
        <v>43965</v>
      </c>
      <c r="B333" s="1">
        <v>645.48</v>
      </c>
      <c r="C333" s="1">
        <v>1622.45</v>
      </c>
      <c r="D333" s="1">
        <v>416.36</v>
      </c>
      <c r="E333" s="1">
        <v>553.54999999999995</v>
      </c>
      <c r="F333" s="1">
        <v>116.12</v>
      </c>
      <c r="G333" s="1">
        <v>4809.5</v>
      </c>
      <c r="H333" s="1">
        <v>428.27</v>
      </c>
      <c r="I333" s="1">
        <v>796.63</v>
      </c>
      <c r="J333" s="1">
        <v>9142.75</v>
      </c>
    </row>
    <row r="334" spans="1:10">
      <c r="A334" s="2">
        <v>43966</v>
      </c>
      <c r="B334" s="1">
        <v>656.02</v>
      </c>
      <c r="C334" s="1">
        <v>1614.39</v>
      </c>
      <c r="D334" s="1">
        <v>413.77</v>
      </c>
      <c r="E334" s="1">
        <v>548.63</v>
      </c>
      <c r="F334" s="1">
        <v>116.73</v>
      </c>
      <c r="G334" s="1">
        <v>4796.66</v>
      </c>
      <c r="H334" s="1">
        <v>421.37</v>
      </c>
      <c r="I334" s="1">
        <v>790.01</v>
      </c>
      <c r="J334" s="1">
        <v>9136.85</v>
      </c>
    </row>
    <row r="335" spans="1:10">
      <c r="A335" s="2">
        <v>43969</v>
      </c>
      <c r="B335" s="1">
        <v>647.64</v>
      </c>
      <c r="C335" s="1">
        <v>1659.34</v>
      </c>
      <c r="D335" s="1">
        <v>389.78</v>
      </c>
      <c r="E335" s="1">
        <v>558.38</v>
      </c>
      <c r="F335" s="1">
        <v>116.8</v>
      </c>
      <c r="G335" s="1">
        <v>4439.8100000000004</v>
      </c>
      <c r="H335" s="1">
        <v>413.95</v>
      </c>
      <c r="I335" s="1">
        <v>743.35</v>
      </c>
      <c r="J335" s="1">
        <v>8823.25</v>
      </c>
    </row>
    <row r="336" spans="1:10">
      <c r="A336" s="2">
        <v>43970</v>
      </c>
      <c r="B336" s="1">
        <v>633.32000000000005</v>
      </c>
      <c r="C336" s="1">
        <v>1661.94</v>
      </c>
      <c r="D336" s="1">
        <v>386.99</v>
      </c>
      <c r="E336" s="1">
        <v>562.34</v>
      </c>
      <c r="F336" s="1">
        <v>121.05</v>
      </c>
      <c r="G336" s="1">
        <v>4519.1400000000003</v>
      </c>
      <c r="H336" s="1">
        <v>414.89</v>
      </c>
      <c r="I336" s="1">
        <v>727.81</v>
      </c>
      <c r="J336" s="1">
        <v>8879.1</v>
      </c>
    </row>
    <row r="337" spans="1:10">
      <c r="A337" s="2">
        <v>43971</v>
      </c>
      <c r="B337" s="1">
        <v>644.47</v>
      </c>
      <c r="C337" s="1">
        <v>1666.16</v>
      </c>
      <c r="D337" s="1">
        <v>399.31</v>
      </c>
      <c r="E337" s="1">
        <v>563.14</v>
      </c>
      <c r="F337" s="1">
        <v>124.59</v>
      </c>
      <c r="G337" s="1">
        <v>4600.63</v>
      </c>
      <c r="H337" s="1">
        <v>428.08</v>
      </c>
      <c r="I337" s="1">
        <v>763.14</v>
      </c>
      <c r="J337" s="1">
        <v>9066.5499999999993</v>
      </c>
    </row>
    <row r="338" spans="1:10">
      <c r="A338" s="2">
        <v>43972</v>
      </c>
      <c r="B338" s="1">
        <v>647.86</v>
      </c>
      <c r="C338" s="1">
        <v>1698.23</v>
      </c>
      <c r="D338" s="1">
        <v>400.45</v>
      </c>
      <c r="E338" s="1">
        <v>565.37</v>
      </c>
      <c r="F338" s="1">
        <v>133.94999999999999</v>
      </c>
      <c r="G338" s="1">
        <v>4749.3599999999997</v>
      </c>
      <c r="H338" s="1">
        <v>438.13</v>
      </c>
      <c r="I338" s="1">
        <v>749.88</v>
      </c>
      <c r="J338" s="1">
        <v>9106.25</v>
      </c>
    </row>
    <row r="339" spans="1:10">
      <c r="A339" s="2">
        <v>43973</v>
      </c>
      <c r="B339" s="1">
        <v>643.5</v>
      </c>
      <c r="C339" s="1">
        <v>1723.09</v>
      </c>
      <c r="D339" s="1">
        <v>390.81</v>
      </c>
      <c r="E339" s="1">
        <v>582.30999999999995</v>
      </c>
      <c r="F339" s="1">
        <v>132.11000000000001</v>
      </c>
      <c r="G339" s="1">
        <v>4828.54</v>
      </c>
      <c r="H339" s="1">
        <v>440.91</v>
      </c>
      <c r="I339" s="1">
        <v>745.5</v>
      </c>
      <c r="J339" s="1">
        <v>9039.25</v>
      </c>
    </row>
    <row r="340" spans="1:10">
      <c r="A340" s="2">
        <v>43977</v>
      </c>
      <c r="B340" s="1">
        <v>640.13</v>
      </c>
      <c r="C340" s="1">
        <v>1657.12</v>
      </c>
      <c r="D340" s="1">
        <v>397.12</v>
      </c>
      <c r="E340" s="1">
        <v>572.39</v>
      </c>
      <c r="F340" s="1">
        <v>135.9</v>
      </c>
      <c r="G340" s="1">
        <v>4933.7299999999996</v>
      </c>
      <c r="H340" s="1">
        <v>431.28</v>
      </c>
      <c r="I340" s="1">
        <v>754.5</v>
      </c>
      <c r="J340" s="1">
        <v>9029.0499999999993</v>
      </c>
    </row>
    <row r="341" spans="1:10">
      <c r="A341" s="2">
        <v>43978</v>
      </c>
      <c r="B341" s="1">
        <v>649.79999999999995</v>
      </c>
      <c r="C341" s="1">
        <v>1710.26</v>
      </c>
      <c r="D341" s="1">
        <v>420.99</v>
      </c>
      <c r="E341" s="1">
        <v>593.33000000000004</v>
      </c>
      <c r="F341" s="1">
        <v>136.22</v>
      </c>
      <c r="G341" s="1">
        <v>4932.09</v>
      </c>
      <c r="H341" s="1">
        <v>423.53</v>
      </c>
      <c r="I341" s="1">
        <v>777.62</v>
      </c>
      <c r="J341" s="1">
        <v>9314.9500000000007</v>
      </c>
    </row>
    <row r="342" spans="1:10">
      <c r="A342" s="2">
        <v>43979</v>
      </c>
      <c r="B342" s="1">
        <v>661.8</v>
      </c>
      <c r="C342" s="1">
        <v>1709.4</v>
      </c>
      <c r="D342" s="1">
        <v>440.38</v>
      </c>
      <c r="E342" s="1">
        <v>594.97</v>
      </c>
      <c r="F342" s="1">
        <v>135.16</v>
      </c>
      <c r="G342" s="1">
        <v>5142.7</v>
      </c>
      <c r="H342" s="1">
        <v>431.23</v>
      </c>
      <c r="I342" s="1">
        <v>827.57</v>
      </c>
      <c r="J342" s="1">
        <v>9490.1</v>
      </c>
    </row>
    <row r="343" spans="1:10">
      <c r="A343" s="2">
        <v>43980</v>
      </c>
      <c r="B343" s="1">
        <v>658.27</v>
      </c>
      <c r="C343" s="1">
        <v>1682.15</v>
      </c>
      <c r="D343" s="1">
        <v>443.36</v>
      </c>
      <c r="E343" s="1">
        <v>589.09</v>
      </c>
      <c r="F343" s="1">
        <v>139.91</v>
      </c>
      <c r="G343" s="1">
        <v>5276.67</v>
      </c>
      <c r="H343" s="1">
        <v>445.46</v>
      </c>
      <c r="I343" s="1">
        <v>852.02</v>
      </c>
      <c r="J343" s="1">
        <v>9580.2999999999993</v>
      </c>
    </row>
    <row r="344" spans="1:10">
      <c r="A344" s="2">
        <v>43983</v>
      </c>
      <c r="B344" s="1">
        <v>683.42</v>
      </c>
      <c r="C344" s="1">
        <v>1744.33</v>
      </c>
      <c r="D344" s="1">
        <v>460.13</v>
      </c>
      <c r="E344" s="1">
        <v>596.38</v>
      </c>
      <c r="F344" s="1">
        <v>142.18</v>
      </c>
      <c r="G344" s="1">
        <v>5448.58</v>
      </c>
      <c r="H344" s="1">
        <v>437.15</v>
      </c>
      <c r="I344" s="1">
        <v>848.27</v>
      </c>
      <c r="J344" s="1">
        <v>9826.15</v>
      </c>
    </row>
    <row r="345" spans="1:10">
      <c r="A345" s="2">
        <v>43984</v>
      </c>
      <c r="B345" s="1">
        <v>690.32</v>
      </c>
      <c r="C345" s="1">
        <v>1745.95</v>
      </c>
      <c r="D345" s="1">
        <v>466.35</v>
      </c>
      <c r="E345" s="1">
        <v>603.66999999999996</v>
      </c>
      <c r="F345" s="1">
        <v>139.84</v>
      </c>
      <c r="G345" s="1">
        <v>5351.25</v>
      </c>
      <c r="H345" s="1">
        <v>444.38</v>
      </c>
      <c r="I345" s="1">
        <v>864.08</v>
      </c>
      <c r="J345" s="1">
        <v>9979.1</v>
      </c>
    </row>
    <row r="346" spans="1:10">
      <c r="A346" s="2">
        <v>43985</v>
      </c>
      <c r="B346" s="1">
        <v>693</v>
      </c>
      <c r="C346" s="1">
        <v>1750.23</v>
      </c>
      <c r="D346" s="1">
        <v>476.25</v>
      </c>
      <c r="E346" s="1">
        <v>598.08000000000004</v>
      </c>
      <c r="F346" s="1">
        <v>139.44999999999999</v>
      </c>
      <c r="G346" s="1">
        <v>5289.08</v>
      </c>
      <c r="H346" s="1">
        <v>447.25</v>
      </c>
      <c r="I346" s="1">
        <v>878.57</v>
      </c>
      <c r="J346" s="1">
        <v>10061.549999999999</v>
      </c>
    </row>
    <row r="347" spans="1:10">
      <c r="A347" s="2">
        <v>43986</v>
      </c>
      <c r="B347" s="1">
        <v>710.14</v>
      </c>
      <c r="C347" s="1">
        <v>1789.06</v>
      </c>
      <c r="D347" s="1">
        <v>466.67</v>
      </c>
      <c r="E347" s="1">
        <v>603.37</v>
      </c>
      <c r="F347" s="1">
        <v>141.88999999999999</v>
      </c>
      <c r="G347" s="1">
        <v>5351.34</v>
      </c>
      <c r="H347" s="1">
        <v>464.81</v>
      </c>
      <c r="I347" s="1">
        <v>850.6</v>
      </c>
      <c r="J347" s="1">
        <v>10029.1</v>
      </c>
    </row>
    <row r="348" spans="1:10">
      <c r="A348" s="2">
        <v>43987</v>
      </c>
      <c r="B348" s="1">
        <v>711</v>
      </c>
      <c r="C348" s="1">
        <v>1752.02</v>
      </c>
      <c r="D348" s="1">
        <v>481.42</v>
      </c>
      <c r="E348" s="1">
        <v>599.79</v>
      </c>
      <c r="F348" s="1">
        <v>141.79</v>
      </c>
      <c r="G348" s="1">
        <v>5404</v>
      </c>
      <c r="H348" s="1">
        <v>464.25</v>
      </c>
      <c r="I348" s="1">
        <v>873.04</v>
      </c>
      <c r="J348" s="1">
        <v>10142.15</v>
      </c>
    </row>
    <row r="349" spans="1:10">
      <c r="A349" s="2">
        <v>43990</v>
      </c>
      <c r="B349" s="1">
        <v>705.51</v>
      </c>
      <c r="C349" s="1">
        <v>1772.12</v>
      </c>
      <c r="D349" s="1">
        <v>473.29</v>
      </c>
      <c r="E349" s="1">
        <v>614.54</v>
      </c>
      <c r="F349" s="1">
        <v>140.12</v>
      </c>
      <c r="G349" s="1">
        <v>5393.28</v>
      </c>
      <c r="H349" s="1">
        <v>459.32</v>
      </c>
      <c r="I349" s="1">
        <v>878.61</v>
      </c>
      <c r="J349" s="1">
        <v>10167.450000000001</v>
      </c>
    </row>
    <row r="350" spans="1:10">
      <c r="A350" s="2">
        <v>43991</v>
      </c>
      <c r="B350" s="1">
        <v>690.97</v>
      </c>
      <c r="C350" s="1">
        <v>1772.38</v>
      </c>
      <c r="D350" s="1">
        <v>459.97</v>
      </c>
      <c r="E350" s="1">
        <v>611.77</v>
      </c>
      <c r="F350" s="1">
        <v>140.72</v>
      </c>
      <c r="G350" s="1">
        <v>5325.1</v>
      </c>
      <c r="H350" s="1">
        <v>470.35</v>
      </c>
      <c r="I350" s="1">
        <v>871.25</v>
      </c>
      <c r="J350" s="1">
        <v>10046.65</v>
      </c>
    </row>
    <row r="351" spans="1:10">
      <c r="A351" s="2">
        <v>43992</v>
      </c>
      <c r="B351" s="1">
        <v>706.71</v>
      </c>
      <c r="C351" s="1">
        <v>1803.77</v>
      </c>
      <c r="D351" s="1">
        <v>462.09</v>
      </c>
      <c r="E351" s="1">
        <v>610.27</v>
      </c>
      <c r="F351" s="1">
        <v>141.11000000000001</v>
      </c>
      <c r="G351" s="1">
        <v>5337.61</v>
      </c>
      <c r="H351" s="1">
        <v>468.85</v>
      </c>
      <c r="I351" s="1">
        <v>865.09</v>
      </c>
      <c r="J351" s="1">
        <v>10116.15</v>
      </c>
    </row>
    <row r="352" spans="1:10">
      <c r="A352" s="2">
        <v>43993</v>
      </c>
      <c r="B352" s="1">
        <v>691.22</v>
      </c>
      <c r="C352" s="1">
        <v>1768.62</v>
      </c>
      <c r="D352" s="1">
        <v>451.25</v>
      </c>
      <c r="E352" s="1">
        <v>600.13</v>
      </c>
      <c r="F352" s="1">
        <v>137.71</v>
      </c>
      <c r="G352" s="1">
        <v>5103.01</v>
      </c>
      <c r="H352" s="1">
        <v>444.9</v>
      </c>
      <c r="I352" s="1">
        <v>850.37</v>
      </c>
      <c r="J352" s="1">
        <v>9902</v>
      </c>
    </row>
    <row r="353" spans="1:10">
      <c r="A353" s="2">
        <v>43994</v>
      </c>
      <c r="B353" s="1">
        <v>714.19</v>
      </c>
      <c r="C353" s="1">
        <v>1744.54</v>
      </c>
      <c r="D353" s="1">
        <v>457.85</v>
      </c>
      <c r="E353" s="1">
        <v>589.98</v>
      </c>
      <c r="F353" s="1">
        <v>137.46</v>
      </c>
      <c r="G353" s="1">
        <v>5230.54</v>
      </c>
      <c r="H353" s="1">
        <v>450.96</v>
      </c>
      <c r="I353" s="1">
        <v>846.67</v>
      </c>
      <c r="J353" s="1">
        <v>9972.9</v>
      </c>
    </row>
    <row r="354" spans="1:10">
      <c r="A354" s="2">
        <v>43997</v>
      </c>
      <c r="B354" s="1">
        <v>725.76</v>
      </c>
      <c r="C354" s="1">
        <v>1736.33</v>
      </c>
      <c r="D354" s="1">
        <v>442.52</v>
      </c>
      <c r="E354" s="1">
        <v>586.15</v>
      </c>
      <c r="F354" s="1">
        <v>132.71</v>
      </c>
      <c r="G354" s="1">
        <v>5149.66</v>
      </c>
      <c r="H354" s="1">
        <v>456.31</v>
      </c>
      <c r="I354" s="1">
        <v>822.45</v>
      </c>
      <c r="J354" s="1">
        <v>9813.7000000000007</v>
      </c>
    </row>
    <row r="355" spans="1:10">
      <c r="A355" s="2">
        <v>43998</v>
      </c>
      <c r="B355" s="1">
        <v>727.18</v>
      </c>
      <c r="C355" s="1">
        <v>1749.93</v>
      </c>
      <c r="D355" s="1">
        <v>461.41</v>
      </c>
      <c r="E355" s="1">
        <v>597.78</v>
      </c>
      <c r="F355" s="1">
        <v>131.15</v>
      </c>
      <c r="G355" s="1">
        <v>5174.54</v>
      </c>
      <c r="H355" s="1">
        <v>454.06</v>
      </c>
      <c r="I355" s="1">
        <v>818.02</v>
      </c>
      <c r="J355" s="1">
        <v>9914</v>
      </c>
    </row>
    <row r="356" spans="1:10">
      <c r="A356" s="2">
        <v>43999</v>
      </c>
      <c r="B356" s="1">
        <v>726.12</v>
      </c>
      <c r="C356" s="1">
        <v>1751.64</v>
      </c>
      <c r="D356" s="1">
        <v>456.22</v>
      </c>
      <c r="E356" s="1">
        <v>599.87</v>
      </c>
      <c r="F356" s="1">
        <v>128.46</v>
      </c>
      <c r="G356" s="1">
        <v>5385.19</v>
      </c>
      <c r="H356" s="1">
        <v>456.17</v>
      </c>
      <c r="I356" s="1">
        <v>808.65</v>
      </c>
      <c r="J356" s="1">
        <v>9881.15</v>
      </c>
    </row>
    <row r="357" spans="1:10">
      <c r="A357" s="2">
        <v>44000</v>
      </c>
      <c r="B357" s="1">
        <v>744.35</v>
      </c>
      <c r="C357" s="1">
        <v>1743.34</v>
      </c>
      <c r="D357" s="1">
        <v>475.18</v>
      </c>
      <c r="E357" s="1">
        <v>608.61</v>
      </c>
      <c r="F357" s="1">
        <v>132.29</v>
      </c>
      <c r="G357" s="1">
        <v>5374.1</v>
      </c>
      <c r="H357" s="1">
        <v>454.85</v>
      </c>
      <c r="I357" s="1">
        <v>819.48</v>
      </c>
      <c r="J357" s="1">
        <v>10091.65</v>
      </c>
    </row>
    <row r="358" spans="1:10">
      <c r="A358" s="2">
        <v>44001</v>
      </c>
      <c r="B358" s="1">
        <v>790.88</v>
      </c>
      <c r="C358" s="1">
        <v>1748.9</v>
      </c>
      <c r="D358" s="1">
        <v>481.42</v>
      </c>
      <c r="E358" s="1">
        <v>601.49</v>
      </c>
      <c r="F358" s="1">
        <v>130.47999999999999</v>
      </c>
      <c r="G358" s="1">
        <v>5546.15</v>
      </c>
      <c r="H358" s="1">
        <v>458.47</v>
      </c>
      <c r="I358" s="1">
        <v>820.9</v>
      </c>
      <c r="J358" s="1">
        <v>10244.4</v>
      </c>
    </row>
    <row r="359" spans="1:10">
      <c r="A359" s="2">
        <v>44004</v>
      </c>
      <c r="B359" s="1">
        <v>784.92</v>
      </c>
      <c r="C359" s="1">
        <v>1734.66</v>
      </c>
      <c r="D359" s="1">
        <v>479.28</v>
      </c>
      <c r="E359" s="1">
        <v>599.91999999999996</v>
      </c>
      <c r="F359" s="1">
        <v>131.15</v>
      </c>
      <c r="G359" s="1">
        <v>5544.88</v>
      </c>
      <c r="H359" s="1">
        <v>463.26</v>
      </c>
      <c r="I359" s="1">
        <v>829.35</v>
      </c>
      <c r="J359" s="1">
        <v>10311.200000000001</v>
      </c>
    </row>
    <row r="360" spans="1:10">
      <c r="A360" s="2">
        <v>44005</v>
      </c>
      <c r="B360" s="1">
        <v>773.57</v>
      </c>
      <c r="C360" s="1">
        <v>1740.95</v>
      </c>
      <c r="D360" s="1">
        <v>485.59</v>
      </c>
      <c r="E360" s="1">
        <v>614.37</v>
      </c>
      <c r="F360" s="1">
        <v>131.75</v>
      </c>
      <c r="G360" s="1">
        <v>5535.95</v>
      </c>
      <c r="H360" s="1">
        <v>470.07</v>
      </c>
      <c r="I360" s="1">
        <v>884.32</v>
      </c>
      <c r="J360" s="1">
        <v>10471</v>
      </c>
    </row>
    <row r="361" spans="1:10">
      <c r="A361" s="2">
        <v>44006</v>
      </c>
      <c r="B361" s="1">
        <v>776.69</v>
      </c>
      <c r="C361" s="1">
        <v>1746.85</v>
      </c>
      <c r="D361" s="1">
        <v>481.02</v>
      </c>
      <c r="E361" s="1">
        <v>608.82000000000005</v>
      </c>
      <c r="F361" s="1">
        <v>136.01</v>
      </c>
      <c r="G361" s="1">
        <v>5412.61</v>
      </c>
      <c r="H361" s="1">
        <v>455</v>
      </c>
      <c r="I361" s="1">
        <v>873.31</v>
      </c>
      <c r="J361" s="1">
        <v>10305.299999999999</v>
      </c>
    </row>
    <row r="362" spans="1:10">
      <c r="A362" s="2">
        <v>44007</v>
      </c>
      <c r="B362" s="1">
        <v>772.22</v>
      </c>
      <c r="C362" s="1">
        <v>1724.52</v>
      </c>
      <c r="D362" s="1">
        <v>479.28</v>
      </c>
      <c r="E362" s="1">
        <v>597.19000000000005</v>
      </c>
      <c r="F362" s="1">
        <v>143.28</v>
      </c>
      <c r="G362" s="1">
        <v>5419.15</v>
      </c>
      <c r="H362" s="1">
        <v>458.05</v>
      </c>
      <c r="I362" s="1">
        <v>861.93</v>
      </c>
      <c r="J362" s="1">
        <v>10288.9</v>
      </c>
    </row>
    <row r="363" spans="1:10">
      <c r="A363" s="2">
        <v>44008</v>
      </c>
      <c r="B363" s="1">
        <v>782.9</v>
      </c>
      <c r="C363" s="1">
        <v>1812.41</v>
      </c>
      <c r="D363" s="1">
        <v>492.18</v>
      </c>
      <c r="E363" s="1">
        <v>637.85</v>
      </c>
      <c r="F363" s="1">
        <v>138.38</v>
      </c>
      <c r="G363" s="1">
        <v>5412.19</v>
      </c>
      <c r="H363" s="1">
        <v>450.82</v>
      </c>
      <c r="I363" s="1">
        <v>879.39</v>
      </c>
      <c r="J363" s="1">
        <v>10383</v>
      </c>
    </row>
    <row r="364" spans="1:10">
      <c r="A364" s="2">
        <v>44011</v>
      </c>
      <c r="B364" s="1">
        <v>774.58</v>
      </c>
      <c r="C364" s="1">
        <v>1797.7</v>
      </c>
      <c r="D364" s="1">
        <v>501.31</v>
      </c>
      <c r="E364" s="1">
        <v>623.83000000000004</v>
      </c>
      <c r="F364" s="1">
        <v>139.84</v>
      </c>
      <c r="G364" s="1">
        <v>5340.52</v>
      </c>
      <c r="H364" s="1">
        <v>452.74</v>
      </c>
      <c r="I364" s="1">
        <v>855.99</v>
      </c>
      <c r="J364" s="1">
        <v>10312.4</v>
      </c>
    </row>
    <row r="365" spans="1:10">
      <c r="A365" s="2">
        <v>44012</v>
      </c>
      <c r="B365" s="1">
        <v>766.02</v>
      </c>
      <c r="C365" s="1">
        <v>1781.02</v>
      </c>
      <c r="D365" s="1">
        <v>496.56</v>
      </c>
      <c r="E365" s="1">
        <v>627.41</v>
      </c>
      <c r="F365" s="1">
        <v>137.99</v>
      </c>
      <c r="G365" s="1">
        <v>5490.62</v>
      </c>
      <c r="H365" s="1">
        <v>444.24</v>
      </c>
      <c r="I365" s="1">
        <v>862.44</v>
      </c>
      <c r="J365" s="1">
        <v>10302.1</v>
      </c>
    </row>
    <row r="366" spans="1:10">
      <c r="A366" s="2">
        <v>44013</v>
      </c>
      <c r="B366" s="1">
        <v>781.08</v>
      </c>
      <c r="C366" s="1">
        <v>1789.49</v>
      </c>
      <c r="D366" s="1">
        <v>505.3</v>
      </c>
      <c r="E366" s="1">
        <v>623.96</v>
      </c>
      <c r="F366" s="1">
        <v>143.84</v>
      </c>
      <c r="G366" s="1">
        <v>5457.52</v>
      </c>
      <c r="H366" s="1">
        <v>439.73</v>
      </c>
      <c r="I366" s="1">
        <v>844.75</v>
      </c>
      <c r="J366" s="1">
        <v>10430.049999999999</v>
      </c>
    </row>
    <row r="367" spans="1:10">
      <c r="A367" s="2">
        <v>44014</v>
      </c>
      <c r="B367" s="1">
        <v>794.52</v>
      </c>
      <c r="C367" s="1">
        <v>1845.17</v>
      </c>
      <c r="D367" s="1">
        <v>507.53</v>
      </c>
      <c r="E367" s="1">
        <v>645.01</v>
      </c>
      <c r="F367" s="1">
        <v>145.93</v>
      </c>
      <c r="G367" s="1">
        <v>5594.21</v>
      </c>
      <c r="H367" s="1">
        <v>444.29</v>
      </c>
      <c r="I367" s="1">
        <v>860.29</v>
      </c>
      <c r="J367" s="1">
        <v>10551.7</v>
      </c>
    </row>
    <row r="368" spans="1:10">
      <c r="A368" s="2">
        <v>44015</v>
      </c>
      <c r="B368" s="1">
        <v>806.96</v>
      </c>
      <c r="C368" s="1">
        <v>1881.53</v>
      </c>
      <c r="D368" s="1">
        <v>500.33</v>
      </c>
      <c r="E368" s="1">
        <v>650.21</v>
      </c>
      <c r="F368" s="1">
        <v>147.13999999999999</v>
      </c>
      <c r="G368" s="1">
        <v>5578.83</v>
      </c>
      <c r="H368" s="1">
        <v>447.9</v>
      </c>
      <c r="I368" s="1">
        <v>862.98</v>
      </c>
      <c r="J368" s="1">
        <v>10607.35</v>
      </c>
    </row>
    <row r="369" spans="1:10">
      <c r="A369" s="2">
        <v>44018</v>
      </c>
      <c r="B369" s="1">
        <v>835.8</v>
      </c>
      <c r="C369" s="1">
        <v>1935.89</v>
      </c>
      <c r="D369" s="1">
        <v>513.87</v>
      </c>
      <c r="E369" s="1">
        <v>651.32000000000005</v>
      </c>
      <c r="F369" s="1">
        <v>149.22</v>
      </c>
      <c r="G369" s="1">
        <v>5758.93</v>
      </c>
      <c r="H369" s="1">
        <v>451.05</v>
      </c>
      <c r="I369" s="1">
        <v>869.34</v>
      </c>
      <c r="J369" s="1">
        <v>10763.65</v>
      </c>
    </row>
    <row r="370" spans="1:10">
      <c r="A370" s="2">
        <v>44019</v>
      </c>
      <c r="B370" s="1">
        <v>823</v>
      </c>
      <c r="C370" s="1">
        <v>1941.62</v>
      </c>
      <c r="D370" s="1">
        <v>514.87</v>
      </c>
      <c r="E370" s="1">
        <v>677.03</v>
      </c>
      <c r="F370" s="1">
        <v>145.08000000000001</v>
      </c>
      <c r="G370" s="1">
        <v>5855.94</v>
      </c>
      <c r="H370" s="1">
        <v>450.16</v>
      </c>
      <c r="I370" s="1">
        <v>862.39</v>
      </c>
      <c r="J370" s="1">
        <v>10799.65</v>
      </c>
    </row>
    <row r="371" spans="1:10">
      <c r="A371" s="2">
        <v>44020</v>
      </c>
      <c r="B371" s="1">
        <v>811.52</v>
      </c>
      <c r="C371" s="1">
        <v>1897.99</v>
      </c>
      <c r="D371" s="1">
        <v>517.29</v>
      </c>
      <c r="E371" s="1">
        <v>660.44</v>
      </c>
      <c r="F371" s="1">
        <v>146.61000000000001</v>
      </c>
      <c r="G371" s="1">
        <v>5684.45</v>
      </c>
      <c r="H371" s="1">
        <v>453.21</v>
      </c>
      <c r="I371" s="1">
        <v>860.24</v>
      </c>
      <c r="J371" s="1">
        <v>10705.75</v>
      </c>
    </row>
    <row r="372" spans="1:10">
      <c r="A372" s="2">
        <v>44021</v>
      </c>
      <c r="B372" s="1">
        <v>823.37</v>
      </c>
      <c r="C372" s="1">
        <v>1885.55</v>
      </c>
      <c r="D372" s="1">
        <v>524.09</v>
      </c>
      <c r="E372" s="1">
        <v>666.41</v>
      </c>
      <c r="F372" s="1">
        <v>145.97</v>
      </c>
      <c r="G372" s="1">
        <v>5644.9</v>
      </c>
      <c r="H372" s="1">
        <v>452.69</v>
      </c>
      <c r="I372" s="1">
        <v>863.62</v>
      </c>
      <c r="J372" s="1">
        <v>10813.45</v>
      </c>
    </row>
    <row r="373" spans="1:10">
      <c r="A373" s="2">
        <v>44022</v>
      </c>
      <c r="B373" s="1">
        <v>847.65</v>
      </c>
      <c r="C373" s="1">
        <v>1900.94</v>
      </c>
      <c r="D373" s="1">
        <v>514.85</v>
      </c>
      <c r="E373" s="1">
        <v>666.54</v>
      </c>
      <c r="F373" s="1">
        <v>145.15</v>
      </c>
      <c r="G373" s="1">
        <v>5600.98</v>
      </c>
      <c r="H373" s="1">
        <v>463.92</v>
      </c>
      <c r="I373" s="1">
        <v>851.92</v>
      </c>
      <c r="J373" s="1">
        <v>10768.05</v>
      </c>
    </row>
    <row r="374" spans="1:10">
      <c r="A374" s="2">
        <v>44025</v>
      </c>
      <c r="B374" s="1">
        <v>873.35</v>
      </c>
      <c r="C374" s="1">
        <v>1898.93</v>
      </c>
      <c r="D374" s="1">
        <v>503.27</v>
      </c>
      <c r="E374" s="1">
        <v>679.5</v>
      </c>
      <c r="F374" s="1">
        <v>147.54</v>
      </c>
      <c r="G374" s="1">
        <v>5632.2</v>
      </c>
      <c r="H374" s="1">
        <v>469.37</v>
      </c>
      <c r="I374" s="1">
        <v>848.27</v>
      </c>
      <c r="J374" s="1">
        <v>10802.7</v>
      </c>
    </row>
    <row r="375" spans="1:10">
      <c r="A375" s="2">
        <v>44026</v>
      </c>
      <c r="B375" s="1">
        <v>865.23</v>
      </c>
      <c r="C375" s="1">
        <v>1857.83</v>
      </c>
      <c r="D375" s="1">
        <v>493.3</v>
      </c>
      <c r="E375" s="1">
        <v>667.73</v>
      </c>
      <c r="F375" s="1">
        <v>146.31</v>
      </c>
      <c r="G375" s="1">
        <v>5428.03</v>
      </c>
      <c r="H375" s="1">
        <v>462.23</v>
      </c>
      <c r="I375" s="1">
        <v>834.33</v>
      </c>
      <c r="J375" s="1">
        <v>10607.35</v>
      </c>
    </row>
    <row r="376" spans="1:10">
      <c r="A376" s="2">
        <v>44027</v>
      </c>
      <c r="B376" s="1">
        <v>832.28</v>
      </c>
      <c r="C376" s="1">
        <v>1910.82</v>
      </c>
      <c r="D376" s="1">
        <v>490.64</v>
      </c>
      <c r="E376" s="1">
        <v>708.4</v>
      </c>
      <c r="F376" s="1">
        <v>148.4</v>
      </c>
      <c r="G376" s="1">
        <v>5455.82</v>
      </c>
      <c r="H376" s="1">
        <v>465.05</v>
      </c>
      <c r="I376" s="1">
        <v>833.69</v>
      </c>
      <c r="J376" s="1">
        <v>10618.2</v>
      </c>
    </row>
    <row r="377" spans="1:10">
      <c r="A377" s="2">
        <v>44028</v>
      </c>
      <c r="B377" s="1">
        <v>832.01</v>
      </c>
      <c r="C377" s="1">
        <v>1915.84</v>
      </c>
      <c r="D377" s="1">
        <v>495.02</v>
      </c>
      <c r="E377" s="1">
        <v>776.64</v>
      </c>
      <c r="F377" s="1">
        <v>144.78</v>
      </c>
      <c r="G377" s="1">
        <v>5525.46</v>
      </c>
      <c r="H377" s="1">
        <v>469.37</v>
      </c>
      <c r="I377" s="1">
        <v>841.87</v>
      </c>
      <c r="J377" s="1">
        <v>10739.95</v>
      </c>
    </row>
    <row r="378" spans="1:10">
      <c r="A378" s="2">
        <v>44029</v>
      </c>
      <c r="B378" s="1">
        <v>862.84</v>
      </c>
      <c r="C378" s="1">
        <v>1886.69</v>
      </c>
      <c r="D378" s="1">
        <v>511.75</v>
      </c>
      <c r="E378" s="1">
        <v>769.95</v>
      </c>
      <c r="F378" s="1">
        <v>144.93</v>
      </c>
      <c r="G378" s="1">
        <v>5566.98</v>
      </c>
      <c r="H378" s="1">
        <v>473.03</v>
      </c>
      <c r="I378" s="1">
        <v>845.89</v>
      </c>
      <c r="J378" s="1">
        <v>10901.7</v>
      </c>
    </row>
    <row r="379" spans="1:10">
      <c r="A379" s="2">
        <v>44032</v>
      </c>
      <c r="B379" s="1">
        <v>866.54</v>
      </c>
      <c r="C379" s="1">
        <v>1892.82</v>
      </c>
      <c r="D379" s="1">
        <v>527.87</v>
      </c>
      <c r="E379" s="1">
        <v>796.51</v>
      </c>
      <c r="F379" s="1">
        <v>143.91999999999999</v>
      </c>
      <c r="G379" s="1">
        <v>5518.08</v>
      </c>
      <c r="H379" s="1">
        <v>454.43</v>
      </c>
      <c r="I379" s="1">
        <v>840.45</v>
      </c>
      <c r="J379" s="1">
        <v>11022.2</v>
      </c>
    </row>
    <row r="380" spans="1:10">
      <c r="A380" s="2">
        <v>44033</v>
      </c>
      <c r="B380" s="1">
        <v>889.85</v>
      </c>
      <c r="C380" s="1">
        <v>1907.52</v>
      </c>
      <c r="D380" s="1">
        <v>530.42999999999995</v>
      </c>
      <c r="E380" s="1">
        <v>798.59</v>
      </c>
      <c r="F380" s="1">
        <v>143.58000000000001</v>
      </c>
      <c r="G380" s="1">
        <v>5765.75</v>
      </c>
      <c r="H380" s="1">
        <v>448.28</v>
      </c>
      <c r="I380" s="1">
        <v>857.32</v>
      </c>
      <c r="J380" s="1">
        <v>11162.25</v>
      </c>
    </row>
    <row r="381" spans="1:10">
      <c r="A381" s="2">
        <v>44034</v>
      </c>
      <c r="B381" s="1">
        <v>904.49</v>
      </c>
      <c r="C381" s="1">
        <v>1878.29</v>
      </c>
      <c r="D381" s="1">
        <v>524.75</v>
      </c>
      <c r="E381" s="1">
        <v>782.52</v>
      </c>
      <c r="F381" s="1">
        <v>146.80000000000001</v>
      </c>
      <c r="G381" s="1">
        <v>5645.89</v>
      </c>
      <c r="H381" s="1">
        <v>445.51</v>
      </c>
      <c r="I381" s="1">
        <v>841.64</v>
      </c>
      <c r="J381" s="1">
        <v>11132.6</v>
      </c>
    </row>
    <row r="382" spans="1:10">
      <c r="A382" s="2">
        <v>44035</v>
      </c>
      <c r="B382" s="1">
        <v>928.78</v>
      </c>
      <c r="C382" s="1">
        <v>1861.36</v>
      </c>
      <c r="D382" s="1">
        <v>526.63</v>
      </c>
      <c r="E382" s="1">
        <v>774.04</v>
      </c>
      <c r="F382" s="1">
        <v>149.9</v>
      </c>
      <c r="G382" s="1">
        <v>5704.71</v>
      </c>
      <c r="H382" s="1">
        <v>447.11</v>
      </c>
      <c r="I382" s="1">
        <v>837.67</v>
      </c>
      <c r="J382" s="1">
        <v>11215.45</v>
      </c>
    </row>
    <row r="383" spans="1:10">
      <c r="A383" s="2">
        <v>44036</v>
      </c>
      <c r="B383" s="1">
        <v>968.65</v>
      </c>
      <c r="C383" s="1">
        <v>1849.53</v>
      </c>
      <c r="D383" s="1">
        <v>521.37</v>
      </c>
      <c r="E383" s="1">
        <v>786.74</v>
      </c>
      <c r="F383" s="1">
        <v>149.07</v>
      </c>
      <c r="G383" s="1">
        <v>5643.35</v>
      </c>
      <c r="H383" s="1">
        <v>456.12</v>
      </c>
      <c r="I383" s="1">
        <v>826.56</v>
      </c>
      <c r="J383" s="1">
        <v>11194.15</v>
      </c>
    </row>
    <row r="384" spans="1:10">
      <c r="A384" s="2">
        <v>44039</v>
      </c>
      <c r="B384" s="1">
        <v>973.19</v>
      </c>
      <c r="C384" s="1">
        <v>1891.88</v>
      </c>
      <c r="D384" s="1">
        <v>502.92</v>
      </c>
      <c r="E384" s="1">
        <v>808.57</v>
      </c>
      <c r="F384" s="1">
        <v>146.68</v>
      </c>
      <c r="G384" s="1">
        <v>5683.41</v>
      </c>
      <c r="H384" s="1">
        <v>446.64</v>
      </c>
      <c r="I384" s="1">
        <v>826.01</v>
      </c>
      <c r="J384" s="1">
        <v>11131.8</v>
      </c>
    </row>
    <row r="385" spans="1:10">
      <c r="A385" s="2">
        <v>44040</v>
      </c>
      <c r="B385" s="1">
        <v>982.89</v>
      </c>
      <c r="C385" s="1">
        <v>1980.13</v>
      </c>
      <c r="D385" s="1">
        <v>506.25</v>
      </c>
      <c r="E385" s="1">
        <v>820.84</v>
      </c>
      <c r="F385" s="1">
        <v>145.94</v>
      </c>
      <c r="G385" s="1">
        <v>5908.65</v>
      </c>
      <c r="H385" s="1">
        <v>453.3</v>
      </c>
      <c r="I385" s="1">
        <v>834.88</v>
      </c>
      <c r="J385" s="1">
        <v>11300.55</v>
      </c>
    </row>
    <row r="386" spans="1:10">
      <c r="A386" s="2">
        <v>44041</v>
      </c>
      <c r="B386" s="1">
        <v>946.31</v>
      </c>
      <c r="C386" s="1">
        <v>1951.24</v>
      </c>
      <c r="D386" s="1">
        <v>495.98</v>
      </c>
      <c r="E386" s="1">
        <v>813.43</v>
      </c>
      <c r="F386" s="1">
        <v>146.91</v>
      </c>
      <c r="G386" s="1">
        <v>5816.81</v>
      </c>
      <c r="H386" s="1">
        <v>463.07</v>
      </c>
      <c r="I386" s="1">
        <v>842.6</v>
      </c>
      <c r="J386" s="1">
        <v>11202.85</v>
      </c>
    </row>
    <row r="387" spans="1:10">
      <c r="A387" s="2">
        <v>44042</v>
      </c>
      <c r="B387" s="1">
        <v>951.82</v>
      </c>
      <c r="C387" s="1">
        <v>1954.2</v>
      </c>
      <c r="D387" s="1">
        <v>489.48</v>
      </c>
      <c r="E387" s="1">
        <v>819.65</v>
      </c>
      <c r="F387" s="1">
        <v>144.41</v>
      </c>
      <c r="G387" s="1">
        <v>5892.29</v>
      </c>
      <c r="H387" s="1">
        <v>478.99</v>
      </c>
      <c r="I387" s="1">
        <v>830.08</v>
      </c>
      <c r="J387" s="1">
        <v>11102.15</v>
      </c>
    </row>
    <row r="388" spans="1:10">
      <c r="A388" s="2">
        <v>44043</v>
      </c>
      <c r="B388" s="1">
        <v>932.97</v>
      </c>
      <c r="C388" s="1">
        <v>1955.83</v>
      </c>
      <c r="D388" s="1">
        <v>481.16</v>
      </c>
      <c r="E388" s="1">
        <v>823.53</v>
      </c>
      <c r="F388" s="1">
        <v>145</v>
      </c>
      <c r="G388" s="1">
        <v>5889.79</v>
      </c>
      <c r="H388" s="1">
        <v>499.42</v>
      </c>
      <c r="I388" s="1">
        <v>834.83</v>
      </c>
      <c r="J388" s="1">
        <v>11073.45</v>
      </c>
    </row>
    <row r="389" spans="1:10">
      <c r="A389" s="2">
        <v>44046</v>
      </c>
      <c r="B389" s="1">
        <v>906.75</v>
      </c>
      <c r="C389" s="1">
        <v>1932.47</v>
      </c>
      <c r="D389" s="1">
        <v>466.81</v>
      </c>
      <c r="E389" s="1">
        <v>815.77</v>
      </c>
      <c r="F389" s="1">
        <v>143.85</v>
      </c>
      <c r="G389" s="1">
        <v>5798.05</v>
      </c>
      <c r="H389" s="1">
        <v>487.87</v>
      </c>
      <c r="I389" s="1">
        <v>837.07</v>
      </c>
      <c r="J389" s="1">
        <v>10891.6</v>
      </c>
    </row>
    <row r="390" spans="1:10">
      <c r="A390" s="2">
        <v>44047</v>
      </c>
      <c r="B390" s="1">
        <v>970.66</v>
      </c>
      <c r="C390" s="1">
        <v>1928.65</v>
      </c>
      <c r="D390" s="1">
        <v>485.29</v>
      </c>
      <c r="E390" s="1">
        <v>809.76</v>
      </c>
      <c r="F390" s="1">
        <v>144.63</v>
      </c>
      <c r="G390" s="1">
        <v>5980.26</v>
      </c>
      <c r="H390" s="1">
        <v>496.84</v>
      </c>
      <c r="I390" s="1">
        <v>844.7</v>
      </c>
      <c r="J390" s="1">
        <v>11095.25</v>
      </c>
    </row>
    <row r="391" spans="1:10">
      <c r="A391" s="2">
        <v>44048</v>
      </c>
      <c r="B391" s="1">
        <v>959.76</v>
      </c>
      <c r="C391" s="1">
        <v>1937.06</v>
      </c>
      <c r="D391" s="1">
        <v>478.72</v>
      </c>
      <c r="E391" s="1">
        <v>805.37</v>
      </c>
      <c r="F391" s="1">
        <v>144</v>
      </c>
      <c r="G391" s="1">
        <v>6137.6</v>
      </c>
      <c r="H391" s="1">
        <v>496.75</v>
      </c>
      <c r="I391" s="1">
        <v>853.46</v>
      </c>
      <c r="J391" s="1">
        <v>11101.65</v>
      </c>
    </row>
    <row r="392" spans="1:10">
      <c r="A392" s="2">
        <v>44049</v>
      </c>
      <c r="B392" s="1">
        <v>963.21</v>
      </c>
      <c r="C392" s="1">
        <v>1978.72</v>
      </c>
      <c r="D392" s="1">
        <v>484.84</v>
      </c>
      <c r="E392" s="1">
        <v>827.67</v>
      </c>
      <c r="F392" s="1">
        <v>145.9</v>
      </c>
      <c r="G392" s="1">
        <v>6165.34</v>
      </c>
      <c r="H392" s="1">
        <v>499.94</v>
      </c>
      <c r="I392" s="1">
        <v>850.14</v>
      </c>
      <c r="J392" s="1">
        <v>11200.15</v>
      </c>
    </row>
    <row r="393" spans="1:10">
      <c r="A393" s="2">
        <v>44050</v>
      </c>
      <c r="B393" s="1">
        <v>968.79</v>
      </c>
      <c r="C393" s="1">
        <v>1967.79</v>
      </c>
      <c r="D393" s="1">
        <v>486.31</v>
      </c>
      <c r="E393" s="1">
        <v>810.66</v>
      </c>
      <c r="F393" s="1">
        <v>146.41999999999999</v>
      </c>
      <c r="G393" s="1">
        <v>6281.25</v>
      </c>
      <c r="H393" s="1">
        <v>494.02</v>
      </c>
      <c r="I393" s="1">
        <v>844.15</v>
      </c>
      <c r="J393" s="1">
        <v>11214.05</v>
      </c>
    </row>
    <row r="394" spans="1:10">
      <c r="A394" s="2">
        <v>44053</v>
      </c>
      <c r="B394" s="1">
        <v>956.78</v>
      </c>
      <c r="C394" s="1">
        <v>1957.03</v>
      </c>
      <c r="D394" s="1">
        <v>489.48</v>
      </c>
      <c r="E394" s="1">
        <v>811.04</v>
      </c>
      <c r="F394" s="1">
        <v>148.51</v>
      </c>
      <c r="G394" s="1">
        <v>6215.33</v>
      </c>
      <c r="H394" s="1">
        <v>510.84</v>
      </c>
      <c r="I394" s="1">
        <v>885.08</v>
      </c>
      <c r="J394" s="1">
        <v>11270.15</v>
      </c>
    </row>
    <row r="395" spans="1:10">
      <c r="A395" s="2">
        <v>44054</v>
      </c>
      <c r="B395" s="1">
        <v>963.08</v>
      </c>
      <c r="C395" s="1">
        <v>1954.54</v>
      </c>
      <c r="D395" s="1">
        <v>496.93</v>
      </c>
      <c r="E395" s="1">
        <v>808.57</v>
      </c>
      <c r="F395" s="1">
        <v>151.65</v>
      </c>
      <c r="G395" s="1">
        <v>6253.23</v>
      </c>
      <c r="H395" s="1">
        <v>508.21</v>
      </c>
      <c r="I395" s="1">
        <v>886.79</v>
      </c>
      <c r="J395" s="1">
        <v>11322.5</v>
      </c>
    </row>
    <row r="396" spans="1:10">
      <c r="A396" s="2">
        <v>44055</v>
      </c>
      <c r="B396" s="1">
        <v>960.28</v>
      </c>
      <c r="C396" s="1">
        <v>1935.21</v>
      </c>
      <c r="D396" s="1">
        <v>495.56</v>
      </c>
      <c r="E396" s="1">
        <v>814.11</v>
      </c>
      <c r="F396" s="1">
        <v>152.51</v>
      </c>
      <c r="G396" s="1">
        <v>6329.5</v>
      </c>
      <c r="H396" s="1">
        <v>499.85</v>
      </c>
      <c r="I396" s="1">
        <v>875.59</v>
      </c>
      <c r="J396" s="1">
        <v>11308.4</v>
      </c>
    </row>
    <row r="397" spans="1:10">
      <c r="A397" s="2">
        <v>44056</v>
      </c>
      <c r="B397" s="1">
        <v>957.78</v>
      </c>
      <c r="C397" s="1">
        <v>1932.73</v>
      </c>
      <c r="D397" s="1">
        <v>493.39</v>
      </c>
      <c r="E397" s="1">
        <v>810.91</v>
      </c>
      <c r="F397" s="1">
        <v>150.46</v>
      </c>
      <c r="G397" s="1">
        <v>6387.71</v>
      </c>
      <c r="H397" s="1">
        <v>489.19</v>
      </c>
      <c r="I397" s="1">
        <v>913.34</v>
      </c>
      <c r="J397" s="1">
        <v>11300.45</v>
      </c>
    </row>
    <row r="398" spans="1:10">
      <c r="A398" s="2">
        <v>44057</v>
      </c>
      <c r="B398" s="1">
        <v>954.05</v>
      </c>
      <c r="C398" s="1">
        <v>1922.18</v>
      </c>
      <c r="D398" s="1">
        <v>481.93</v>
      </c>
      <c r="E398" s="1">
        <v>812.96</v>
      </c>
      <c r="F398" s="1">
        <v>146.68</v>
      </c>
      <c r="G398" s="1">
        <v>6251.59</v>
      </c>
      <c r="H398" s="1">
        <v>499.1</v>
      </c>
      <c r="I398" s="1">
        <v>906.06</v>
      </c>
      <c r="J398" s="1">
        <v>11178.4</v>
      </c>
    </row>
    <row r="399" spans="1:10">
      <c r="A399" s="2">
        <v>44060</v>
      </c>
      <c r="B399" s="1">
        <v>943.92</v>
      </c>
      <c r="C399" s="1">
        <v>1931.83</v>
      </c>
      <c r="D399" s="1">
        <v>481.14</v>
      </c>
      <c r="E399" s="1">
        <v>816.28</v>
      </c>
      <c r="F399" s="1">
        <v>148.44</v>
      </c>
      <c r="G399" s="1">
        <v>6422.59</v>
      </c>
      <c r="H399" s="1">
        <v>496.28</v>
      </c>
      <c r="I399" s="1">
        <v>922.65</v>
      </c>
      <c r="J399" s="1">
        <v>11247.1</v>
      </c>
    </row>
    <row r="400" spans="1:10">
      <c r="A400" s="2">
        <v>44061</v>
      </c>
      <c r="B400" s="1">
        <v>956.2</v>
      </c>
      <c r="C400" s="1">
        <v>1945.84</v>
      </c>
      <c r="D400" s="1">
        <v>492.2</v>
      </c>
      <c r="E400" s="1">
        <v>824.85</v>
      </c>
      <c r="F400" s="1">
        <v>148.29</v>
      </c>
      <c r="G400" s="1">
        <v>6540.92</v>
      </c>
      <c r="H400" s="1">
        <v>494.07</v>
      </c>
      <c r="I400" s="1">
        <v>926.11</v>
      </c>
      <c r="J400" s="1">
        <v>11385.35</v>
      </c>
    </row>
    <row r="401" spans="1:10">
      <c r="A401" s="2">
        <v>44062</v>
      </c>
      <c r="B401" s="1">
        <v>962.06</v>
      </c>
      <c r="C401" s="1">
        <v>1934.57</v>
      </c>
      <c r="D401" s="1">
        <v>496.91</v>
      </c>
      <c r="E401" s="1">
        <v>817.82</v>
      </c>
      <c r="F401" s="1">
        <v>148.21</v>
      </c>
      <c r="G401" s="1">
        <v>6633.15</v>
      </c>
      <c r="H401" s="1">
        <v>494.45</v>
      </c>
      <c r="I401" s="1">
        <v>930.3</v>
      </c>
      <c r="J401" s="1">
        <v>11408.4</v>
      </c>
    </row>
    <row r="402" spans="1:10">
      <c r="A402" s="2">
        <v>44063</v>
      </c>
      <c r="B402" s="1">
        <v>946.49</v>
      </c>
      <c r="C402" s="1">
        <v>1931.35</v>
      </c>
      <c r="D402" s="1">
        <v>493.37</v>
      </c>
      <c r="E402" s="1">
        <v>814.28</v>
      </c>
      <c r="F402" s="1">
        <v>146.24</v>
      </c>
      <c r="G402" s="1">
        <v>6618.35</v>
      </c>
      <c r="H402" s="1">
        <v>491.53</v>
      </c>
      <c r="I402" s="1">
        <v>918</v>
      </c>
      <c r="J402" s="1">
        <v>11312.2</v>
      </c>
    </row>
    <row r="403" spans="1:10">
      <c r="A403" s="2">
        <v>44064</v>
      </c>
      <c r="B403" s="1">
        <v>939.63</v>
      </c>
      <c r="C403" s="1">
        <v>1927.71</v>
      </c>
      <c r="D403" s="1">
        <v>505.79</v>
      </c>
      <c r="E403" s="1">
        <v>808.87</v>
      </c>
      <c r="F403" s="1">
        <v>146.97999999999999</v>
      </c>
      <c r="G403" s="1">
        <v>6616.73</v>
      </c>
      <c r="H403" s="1">
        <v>500.99</v>
      </c>
      <c r="I403" s="1">
        <v>916.52</v>
      </c>
      <c r="J403" s="1">
        <v>11371.6</v>
      </c>
    </row>
    <row r="404" spans="1:10">
      <c r="A404" s="2">
        <v>44067</v>
      </c>
      <c r="B404" s="1">
        <v>945.91</v>
      </c>
      <c r="C404" s="1">
        <v>1927.28</v>
      </c>
      <c r="D404" s="1">
        <v>520.41</v>
      </c>
      <c r="E404" s="1">
        <v>807.67</v>
      </c>
      <c r="F404" s="1">
        <v>146.91</v>
      </c>
      <c r="G404" s="1">
        <v>6720.64</v>
      </c>
      <c r="H404" s="1">
        <v>502.02</v>
      </c>
      <c r="I404" s="1">
        <v>913.94</v>
      </c>
      <c r="J404" s="1">
        <v>11466.45</v>
      </c>
    </row>
    <row r="405" spans="1:10">
      <c r="A405" s="2">
        <v>44068</v>
      </c>
      <c r="B405" s="1">
        <v>939.74</v>
      </c>
      <c r="C405" s="1">
        <v>1922.61</v>
      </c>
      <c r="D405" s="1">
        <v>521.65</v>
      </c>
      <c r="E405" s="1">
        <v>799.75</v>
      </c>
      <c r="F405" s="1">
        <v>145.94</v>
      </c>
      <c r="G405" s="1">
        <v>6746.69</v>
      </c>
      <c r="H405" s="1">
        <v>494.16</v>
      </c>
      <c r="I405" s="1">
        <v>903.85</v>
      </c>
      <c r="J405" s="1">
        <v>11472.25</v>
      </c>
    </row>
    <row r="406" spans="1:10">
      <c r="A406" s="2">
        <v>44069</v>
      </c>
      <c r="B406" s="1">
        <v>964.66</v>
      </c>
      <c r="C406" s="1">
        <v>1931.91</v>
      </c>
      <c r="D406" s="1">
        <v>521.07000000000005</v>
      </c>
      <c r="E406" s="1">
        <v>810.57</v>
      </c>
      <c r="F406" s="1">
        <v>145.6</v>
      </c>
      <c r="G406" s="1">
        <v>6650.56</v>
      </c>
      <c r="H406" s="1">
        <v>494.21</v>
      </c>
      <c r="I406" s="1">
        <v>893.29</v>
      </c>
      <c r="J406" s="1">
        <v>11549.6</v>
      </c>
    </row>
    <row r="407" spans="1:10">
      <c r="A407" s="2">
        <v>44070</v>
      </c>
      <c r="B407" s="1">
        <v>952.61</v>
      </c>
      <c r="C407" s="1">
        <v>1927.54</v>
      </c>
      <c r="D407" s="1">
        <v>518.11</v>
      </c>
      <c r="E407" s="1">
        <v>807.38</v>
      </c>
      <c r="F407" s="1">
        <v>145.08000000000001</v>
      </c>
      <c r="G407" s="1">
        <v>6735.35</v>
      </c>
      <c r="H407" s="1">
        <v>500.89</v>
      </c>
      <c r="I407" s="1">
        <v>899.42</v>
      </c>
      <c r="J407" s="1">
        <v>11559.25</v>
      </c>
    </row>
    <row r="408" spans="1:10">
      <c r="A408" s="2">
        <v>44071</v>
      </c>
      <c r="B408" s="1">
        <v>955.11</v>
      </c>
      <c r="C408" s="1">
        <v>1919.1</v>
      </c>
      <c r="D408" s="1">
        <v>519.23</v>
      </c>
      <c r="E408" s="1">
        <v>797.32</v>
      </c>
      <c r="F408" s="1">
        <v>146.05000000000001</v>
      </c>
      <c r="G408" s="1">
        <v>6741.14</v>
      </c>
      <c r="H408" s="1">
        <v>523.01</v>
      </c>
      <c r="I408" s="1">
        <v>905.18</v>
      </c>
      <c r="J408" s="1">
        <v>11647.6</v>
      </c>
    </row>
    <row r="409" spans="1:10">
      <c r="A409" s="2">
        <v>44074</v>
      </c>
      <c r="B409" s="1">
        <v>939.11</v>
      </c>
      <c r="C409" s="1">
        <v>1935.13</v>
      </c>
      <c r="D409" s="1">
        <v>519.85</v>
      </c>
      <c r="E409" s="1">
        <v>791.65</v>
      </c>
      <c r="F409" s="1">
        <v>142.72999999999999</v>
      </c>
      <c r="G409" s="1">
        <v>6490.48</v>
      </c>
      <c r="H409" s="1">
        <v>489.6</v>
      </c>
      <c r="I409" s="1">
        <v>871.16</v>
      </c>
      <c r="J409" s="1">
        <v>11387.5</v>
      </c>
    </row>
    <row r="410" spans="1:10">
      <c r="A410" s="2">
        <v>44075</v>
      </c>
      <c r="B410" s="1">
        <v>942.07</v>
      </c>
      <c r="C410" s="1">
        <v>1925.78</v>
      </c>
      <c r="D410" s="1">
        <v>525.19000000000005</v>
      </c>
      <c r="E410" s="1">
        <v>779.33</v>
      </c>
      <c r="F410" s="1">
        <v>142.05000000000001</v>
      </c>
      <c r="G410" s="1">
        <v>6552.82</v>
      </c>
      <c r="H410" s="1">
        <v>490.73</v>
      </c>
      <c r="I410" s="1">
        <v>880.61</v>
      </c>
      <c r="J410" s="1">
        <v>11470.25</v>
      </c>
    </row>
    <row r="411" spans="1:10">
      <c r="A411" s="2">
        <v>44076</v>
      </c>
      <c r="B411" s="1">
        <v>960.55</v>
      </c>
      <c r="C411" s="1">
        <v>1941.9</v>
      </c>
      <c r="D411" s="1">
        <v>528.38</v>
      </c>
      <c r="E411" s="1">
        <v>787.72</v>
      </c>
      <c r="F411" s="1">
        <v>142.91</v>
      </c>
      <c r="G411" s="1">
        <v>6567.15</v>
      </c>
      <c r="H411" s="1">
        <v>484.19</v>
      </c>
      <c r="I411" s="1">
        <v>880.94</v>
      </c>
      <c r="J411" s="1">
        <v>11535</v>
      </c>
    </row>
    <row r="412" spans="1:10">
      <c r="A412" s="2">
        <v>44077</v>
      </c>
      <c r="B412" s="1">
        <v>953.28</v>
      </c>
      <c r="C412" s="1">
        <v>1971.35</v>
      </c>
      <c r="D412" s="1">
        <v>526.87</v>
      </c>
      <c r="E412" s="1">
        <v>797.57</v>
      </c>
      <c r="F412" s="1">
        <v>143.1</v>
      </c>
      <c r="G412" s="1">
        <v>6711.24</v>
      </c>
      <c r="H412" s="1">
        <v>492.61</v>
      </c>
      <c r="I412" s="1">
        <v>886.1</v>
      </c>
      <c r="J412" s="1">
        <v>11527.45</v>
      </c>
    </row>
    <row r="413" spans="1:10">
      <c r="A413" s="2">
        <v>44078</v>
      </c>
      <c r="B413" s="1">
        <v>937.56</v>
      </c>
      <c r="C413" s="1">
        <v>1962.17</v>
      </c>
      <c r="D413" s="1">
        <v>521.46</v>
      </c>
      <c r="E413" s="1">
        <v>783.59</v>
      </c>
      <c r="F413" s="1">
        <v>139.44</v>
      </c>
      <c r="G413" s="1">
        <v>6822.74</v>
      </c>
      <c r="H413" s="1">
        <v>482.26</v>
      </c>
      <c r="I413" s="1">
        <v>868.91</v>
      </c>
      <c r="J413" s="1">
        <v>11333.85</v>
      </c>
    </row>
    <row r="414" spans="1:10">
      <c r="A414" s="2">
        <v>44081</v>
      </c>
      <c r="B414" s="1">
        <v>939.99</v>
      </c>
      <c r="C414" s="1">
        <v>1994.97</v>
      </c>
      <c r="D414" s="1">
        <v>517.36</v>
      </c>
      <c r="E414" s="1">
        <v>788.62</v>
      </c>
      <c r="F414" s="1">
        <v>141.22999999999999</v>
      </c>
      <c r="G414" s="1">
        <v>6840.82</v>
      </c>
      <c r="H414" s="1">
        <v>483.01</v>
      </c>
      <c r="I414" s="1">
        <v>859.36</v>
      </c>
      <c r="J414" s="1">
        <v>11355.05</v>
      </c>
    </row>
    <row r="415" spans="1:10">
      <c r="A415" s="2">
        <v>44082</v>
      </c>
      <c r="B415" s="1">
        <v>951.03</v>
      </c>
      <c r="C415" s="1">
        <v>2013.1</v>
      </c>
      <c r="D415" s="1">
        <v>518.27</v>
      </c>
      <c r="E415" s="1">
        <v>800.77</v>
      </c>
      <c r="F415" s="1">
        <v>140.52000000000001</v>
      </c>
      <c r="G415" s="1">
        <v>6854.91</v>
      </c>
      <c r="H415" s="1">
        <v>472.33</v>
      </c>
      <c r="I415" s="1">
        <v>845.12</v>
      </c>
      <c r="J415" s="1">
        <v>11317.35</v>
      </c>
    </row>
    <row r="416" spans="1:10">
      <c r="A416" s="2">
        <v>44083</v>
      </c>
      <c r="B416" s="1">
        <v>975.51</v>
      </c>
      <c r="C416" s="1">
        <v>1995.48</v>
      </c>
      <c r="D416" s="1">
        <v>510.84</v>
      </c>
      <c r="E416" s="1">
        <v>790.92</v>
      </c>
      <c r="F416" s="1">
        <v>137.27000000000001</v>
      </c>
      <c r="G416" s="1">
        <v>6846.61</v>
      </c>
      <c r="H416" s="1">
        <v>479.29</v>
      </c>
      <c r="I416" s="1">
        <v>838.48</v>
      </c>
      <c r="J416" s="1">
        <v>11278</v>
      </c>
    </row>
    <row r="417" spans="1:10">
      <c r="A417" s="2">
        <v>44084</v>
      </c>
      <c r="B417" s="1">
        <v>1044.4100000000001</v>
      </c>
      <c r="C417" s="1">
        <v>1998.48</v>
      </c>
      <c r="D417" s="1">
        <v>508.07</v>
      </c>
      <c r="E417" s="1">
        <v>801.41</v>
      </c>
      <c r="F417" s="1">
        <v>138.09</v>
      </c>
      <c r="G417" s="1">
        <v>6862.17</v>
      </c>
      <c r="H417" s="1">
        <v>478.02</v>
      </c>
      <c r="I417" s="1">
        <v>849.04</v>
      </c>
      <c r="J417" s="1">
        <v>11449.25</v>
      </c>
    </row>
    <row r="418" spans="1:10">
      <c r="A418" s="2">
        <v>44085</v>
      </c>
      <c r="B418" s="1">
        <v>1047.01</v>
      </c>
      <c r="C418" s="1">
        <v>2035.3</v>
      </c>
      <c r="D418" s="1">
        <v>502.52</v>
      </c>
      <c r="E418" s="1">
        <v>806.22</v>
      </c>
      <c r="F418" s="1">
        <v>137.38999999999999</v>
      </c>
      <c r="G418" s="1">
        <v>6826.06</v>
      </c>
      <c r="H418" s="1">
        <v>475.77</v>
      </c>
      <c r="I418" s="1">
        <v>845.76</v>
      </c>
      <c r="J418" s="1">
        <v>11464.45</v>
      </c>
    </row>
    <row r="419" spans="1:10">
      <c r="A419" s="2">
        <v>44088</v>
      </c>
      <c r="B419" s="1">
        <v>1039.24</v>
      </c>
      <c r="C419" s="1">
        <v>2135.86</v>
      </c>
      <c r="D419" s="1">
        <v>492.88</v>
      </c>
      <c r="E419" s="1">
        <v>834.1</v>
      </c>
      <c r="F419" s="1">
        <v>136.94</v>
      </c>
      <c r="G419" s="1">
        <v>6764.62</v>
      </c>
      <c r="H419" s="1">
        <v>466.59</v>
      </c>
      <c r="I419" s="1">
        <v>831.66</v>
      </c>
      <c r="J419" s="1">
        <v>11440.05</v>
      </c>
    </row>
    <row r="420" spans="1:10">
      <c r="A420" s="2">
        <v>44089</v>
      </c>
      <c r="B420" s="1">
        <v>1046.5999999999999</v>
      </c>
      <c r="C420" s="1">
        <v>2135.86</v>
      </c>
      <c r="D420" s="1">
        <v>498.73</v>
      </c>
      <c r="E420" s="1">
        <v>837.55</v>
      </c>
      <c r="F420" s="1">
        <v>135.78</v>
      </c>
      <c r="G420" s="1">
        <v>6692.46</v>
      </c>
      <c r="H420" s="1">
        <v>476.57</v>
      </c>
      <c r="I420" s="1">
        <v>838.9</v>
      </c>
      <c r="J420" s="1">
        <v>11521.8</v>
      </c>
    </row>
    <row r="421" spans="1:10">
      <c r="A421" s="2">
        <v>44090</v>
      </c>
      <c r="B421" s="1">
        <v>1049.17</v>
      </c>
      <c r="C421" s="1">
        <v>2145.81</v>
      </c>
      <c r="D421" s="1">
        <v>509.51</v>
      </c>
      <c r="E421" s="1">
        <v>854.01</v>
      </c>
      <c r="F421" s="1">
        <v>134.91999999999999</v>
      </c>
      <c r="G421" s="1">
        <v>6697.34</v>
      </c>
      <c r="H421" s="1">
        <v>487.95</v>
      </c>
      <c r="I421" s="1">
        <v>849.82</v>
      </c>
      <c r="J421" s="1">
        <v>11604.55</v>
      </c>
    </row>
    <row r="422" spans="1:10">
      <c r="A422" s="2">
        <v>44091</v>
      </c>
      <c r="B422" s="1">
        <v>1037.53</v>
      </c>
      <c r="C422" s="1">
        <v>2109.7600000000002</v>
      </c>
      <c r="D422" s="1">
        <v>504.83</v>
      </c>
      <c r="E422" s="1">
        <v>861.89</v>
      </c>
      <c r="F422" s="1">
        <v>133.38999999999999</v>
      </c>
      <c r="G422" s="1">
        <v>6723.82</v>
      </c>
      <c r="H422" s="1">
        <v>481.84</v>
      </c>
      <c r="I422" s="1">
        <v>835.53</v>
      </c>
      <c r="J422" s="1">
        <v>11516.1</v>
      </c>
    </row>
    <row r="423" spans="1:10">
      <c r="A423" s="2">
        <v>44092</v>
      </c>
      <c r="B423" s="1">
        <v>1040.6600000000001</v>
      </c>
      <c r="C423" s="1">
        <v>2100.2800000000002</v>
      </c>
      <c r="D423" s="1">
        <v>492.58</v>
      </c>
      <c r="E423" s="1">
        <v>854.35</v>
      </c>
      <c r="F423" s="1">
        <v>133.76</v>
      </c>
      <c r="G423" s="1">
        <v>6608.91</v>
      </c>
      <c r="H423" s="1">
        <v>492.52</v>
      </c>
      <c r="I423" s="1">
        <v>830.37</v>
      </c>
      <c r="J423" s="1">
        <v>11504.95</v>
      </c>
    </row>
    <row r="424" spans="1:10">
      <c r="A424" s="2">
        <v>44095</v>
      </c>
      <c r="B424" s="1">
        <v>1018.17</v>
      </c>
      <c r="C424" s="1">
        <v>2113.4899999999998</v>
      </c>
      <c r="D424" s="1">
        <v>488.85</v>
      </c>
      <c r="E424" s="1">
        <v>860.96</v>
      </c>
      <c r="F424" s="1">
        <v>131.26</v>
      </c>
      <c r="G424" s="1">
        <v>6288.36</v>
      </c>
      <c r="H424" s="1">
        <v>473.98</v>
      </c>
      <c r="I424" s="1">
        <v>812.99</v>
      </c>
      <c r="J424" s="1">
        <v>11250.55</v>
      </c>
    </row>
    <row r="425" spans="1:10">
      <c r="A425" s="2">
        <v>44096</v>
      </c>
      <c r="B425" s="1">
        <v>997.99</v>
      </c>
      <c r="C425" s="1">
        <v>2162.91</v>
      </c>
      <c r="D425" s="1">
        <v>482.37</v>
      </c>
      <c r="E425" s="1">
        <v>858.91</v>
      </c>
      <c r="F425" s="1">
        <v>130.1</v>
      </c>
      <c r="G425" s="1">
        <v>6111.49</v>
      </c>
      <c r="H425" s="1">
        <v>478.87</v>
      </c>
      <c r="I425" s="1">
        <v>789.62</v>
      </c>
      <c r="J425" s="1">
        <v>11153.65</v>
      </c>
    </row>
    <row r="426" spans="1:10">
      <c r="A426" s="2">
        <v>44097</v>
      </c>
      <c r="B426" s="1">
        <v>1006.86</v>
      </c>
      <c r="C426" s="1">
        <v>2115.33</v>
      </c>
      <c r="D426" s="1">
        <v>487.9</v>
      </c>
      <c r="E426" s="1">
        <v>869.35</v>
      </c>
      <c r="F426" s="1">
        <v>128.83000000000001</v>
      </c>
      <c r="G426" s="1">
        <v>6169.13</v>
      </c>
      <c r="H426" s="1">
        <v>473.27</v>
      </c>
      <c r="I426" s="1">
        <v>793.4</v>
      </c>
      <c r="J426" s="1">
        <v>11131.85</v>
      </c>
    </row>
    <row r="427" spans="1:10">
      <c r="A427" s="2">
        <v>44098</v>
      </c>
      <c r="B427" s="1">
        <v>984.47</v>
      </c>
      <c r="C427" s="1">
        <v>1999.42</v>
      </c>
      <c r="D427" s="1">
        <v>480.05</v>
      </c>
      <c r="E427" s="1">
        <v>831.54</v>
      </c>
      <c r="F427" s="1">
        <v>124.39</v>
      </c>
      <c r="G427" s="1">
        <v>5975.94</v>
      </c>
      <c r="H427" s="1">
        <v>457.18</v>
      </c>
      <c r="I427" s="1">
        <v>784.27</v>
      </c>
      <c r="J427" s="1">
        <v>10805.55</v>
      </c>
    </row>
    <row r="428" spans="1:10">
      <c r="A428" s="2">
        <v>44099</v>
      </c>
      <c r="B428" s="1">
        <v>993.73</v>
      </c>
      <c r="C428" s="1">
        <v>2076.62</v>
      </c>
      <c r="D428" s="1">
        <v>486.38</v>
      </c>
      <c r="E428" s="1">
        <v>862.28</v>
      </c>
      <c r="F428" s="1">
        <v>127.53</v>
      </c>
      <c r="G428" s="1">
        <v>6165.72</v>
      </c>
      <c r="H428" s="1">
        <v>460.8</v>
      </c>
      <c r="I428" s="1">
        <v>819.81</v>
      </c>
      <c r="J428" s="1">
        <v>11050.25</v>
      </c>
    </row>
    <row r="429" spans="1:10">
      <c r="A429" s="2">
        <v>44102</v>
      </c>
      <c r="B429" s="1">
        <v>1000.29</v>
      </c>
      <c r="C429" s="1">
        <v>2080.0500000000002</v>
      </c>
      <c r="D429" s="1">
        <v>491.13</v>
      </c>
      <c r="E429" s="1">
        <v>861.38</v>
      </c>
      <c r="F429" s="1">
        <v>129.43</v>
      </c>
      <c r="G429" s="1">
        <v>6360.53</v>
      </c>
      <c r="H429" s="1">
        <v>480.05</v>
      </c>
      <c r="I429" s="1">
        <v>832.35</v>
      </c>
      <c r="J429" s="1">
        <v>11227.55</v>
      </c>
    </row>
    <row r="430" spans="1:10">
      <c r="A430" s="2">
        <v>44103</v>
      </c>
      <c r="B430" s="1">
        <v>1013.29</v>
      </c>
      <c r="C430" s="1">
        <v>2133.29</v>
      </c>
      <c r="D430" s="1">
        <v>495.02</v>
      </c>
      <c r="E430" s="1">
        <v>860.19</v>
      </c>
      <c r="F430" s="1">
        <v>126.52</v>
      </c>
      <c r="G430" s="1">
        <v>6398.25</v>
      </c>
      <c r="H430" s="1">
        <v>476.33</v>
      </c>
      <c r="I430" s="1">
        <v>825.53</v>
      </c>
      <c r="J430" s="1">
        <v>11222.4</v>
      </c>
    </row>
    <row r="431" spans="1:10">
      <c r="A431" s="2">
        <v>44104</v>
      </c>
      <c r="B431" s="1">
        <v>1008.46</v>
      </c>
      <c r="C431" s="1">
        <v>2136.63</v>
      </c>
      <c r="D431" s="1">
        <v>502.5</v>
      </c>
      <c r="E431" s="1">
        <v>859.55</v>
      </c>
      <c r="F431" s="1">
        <v>128.24</v>
      </c>
      <c r="G431" s="1">
        <v>6398.91</v>
      </c>
      <c r="H431" s="1">
        <v>470.97</v>
      </c>
      <c r="I431" s="1">
        <v>831.2</v>
      </c>
      <c r="J431" s="1">
        <v>11247.55</v>
      </c>
    </row>
    <row r="432" spans="1:10">
      <c r="A432" s="2">
        <v>44105</v>
      </c>
      <c r="B432" s="1">
        <v>1004.35</v>
      </c>
      <c r="C432" s="1">
        <v>2163.34</v>
      </c>
      <c r="D432" s="1">
        <v>515.71</v>
      </c>
      <c r="E432" s="1">
        <v>867.56</v>
      </c>
      <c r="F432" s="1">
        <v>127.6</v>
      </c>
      <c r="G432" s="1">
        <v>6449.06</v>
      </c>
      <c r="H432" s="1">
        <v>477.04</v>
      </c>
      <c r="I432" s="1">
        <v>832.3</v>
      </c>
      <c r="J432" s="1">
        <v>11416.95</v>
      </c>
    </row>
    <row r="433" spans="1:10">
      <c r="A433" s="2">
        <v>44109</v>
      </c>
      <c r="B433" s="1">
        <v>998.46</v>
      </c>
      <c r="C433" s="1">
        <v>2319.67</v>
      </c>
      <c r="D433" s="1">
        <v>519.16</v>
      </c>
      <c r="E433" s="1">
        <v>894.03</v>
      </c>
      <c r="F433" s="1">
        <v>126.41</v>
      </c>
      <c r="G433" s="1">
        <v>6470.46</v>
      </c>
      <c r="H433" s="1">
        <v>492.28</v>
      </c>
      <c r="I433" s="1">
        <v>826.91</v>
      </c>
      <c r="J433" s="1">
        <v>11503.35</v>
      </c>
    </row>
    <row r="434" spans="1:10">
      <c r="A434" s="2">
        <v>44110</v>
      </c>
      <c r="B434" s="1">
        <v>997.63</v>
      </c>
      <c r="C434" s="1">
        <v>2326.9499999999998</v>
      </c>
      <c r="D434" s="1">
        <v>533.02</v>
      </c>
      <c r="E434" s="1">
        <v>900.04</v>
      </c>
      <c r="F434" s="1">
        <v>126.89</v>
      </c>
      <c r="G434" s="1">
        <v>6540.25</v>
      </c>
      <c r="H434" s="1">
        <v>490.35</v>
      </c>
      <c r="I434" s="1">
        <v>822.9</v>
      </c>
      <c r="J434" s="1">
        <v>11662.4</v>
      </c>
    </row>
    <row r="435" spans="1:10">
      <c r="A435" s="2">
        <v>44111</v>
      </c>
      <c r="B435" s="1">
        <v>1018.91</v>
      </c>
      <c r="C435" s="1">
        <v>2345.5100000000002</v>
      </c>
      <c r="D435" s="1">
        <v>541.47</v>
      </c>
      <c r="E435" s="1">
        <v>909.25</v>
      </c>
      <c r="F435" s="1">
        <v>126.59</v>
      </c>
      <c r="G435" s="1">
        <v>6686.86</v>
      </c>
      <c r="H435" s="1">
        <v>481.6</v>
      </c>
      <c r="I435" s="1">
        <v>818.57</v>
      </c>
      <c r="J435" s="1">
        <v>11738.85</v>
      </c>
    </row>
    <row r="436" spans="1:10">
      <c r="A436" s="2">
        <v>44112</v>
      </c>
      <c r="B436" s="1">
        <v>1010.67</v>
      </c>
      <c r="C436" s="1">
        <v>2422.46</v>
      </c>
      <c r="D436" s="1">
        <v>555.24</v>
      </c>
      <c r="E436" s="1">
        <v>932.4</v>
      </c>
      <c r="F436" s="1">
        <v>124.84</v>
      </c>
      <c r="G436" s="1">
        <v>6718.12</v>
      </c>
      <c r="H436" s="1">
        <v>493.22</v>
      </c>
      <c r="I436" s="1">
        <v>812.25</v>
      </c>
      <c r="J436" s="1">
        <v>11834.6</v>
      </c>
    </row>
    <row r="437" spans="1:10">
      <c r="A437" s="2">
        <v>44113</v>
      </c>
      <c r="B437" s="1">
        <v>1008.06</v>
      </c>
      <c r="C437" s="1">
        <v>2411.52</v>
      </c>
      <c r="D437" s="1">
        <v>574.69000000000005</v>
      </c>
      <c r="E437" s="1">
        <v>943.56</v>
      </c>
      <c r="F437" s="1">
        <v>125.36</v>
      </c>
      <c r="G437" s="1">
        <v>6701.57</v>
      </c>
      <c r="H437" s="1">
        <v>482.68</v>
      </c>
      <c r="I437" s="1">
        <v>837.51</v>
      </c>
      <c r="J437" s="1">
        <v>11914.2</v>
      </c>
    </row>
    <row r="438" spans="1:10">
      <c r="A438" s="2">
        <v>44116</v>
      </c>
      <c r="B438" s="1">
        <v>1009.68</v>
      </c>
      <c r="C438" s="1">
        <v>2426.14</v>
      </c>
      <c r="D438" s="1">
        <v>565.41999999999996</v>
      </c>
      <c r="E438" s="1">
        <v>965.13</v>
      </c>
      <c r="F438" s="1">
        <v>128.61000000000001</v>
      </c>
      <c r="G438" s="1">
        <v>6772.02</v>
      </c>
      <c r="H438" s="1">
        <v>483.62</v>
      </c>
      <c r="I438" s="1">
        <v>835.02</v>
      </c>
      <c r="J438" s="1">
        <v>11930.95</v>
      </c>
    </row>
    <row r="439" spans="1:10">
      <c r="A439" s="2">
        <v>44117</v>
      </c>
      <c r="B439" s="1">
        <v>1029.3800000000001</v>
      </c>
      <c r="C439" s="1">
        <v>2423.1799999999998</v>
      </c>
      <c r="D439" s="1">
        <v>558.34</v>
      </c>
      <c r="E439" s="1">
        <v>987.04</v>
      </c>
      <c r="F439" s="1">
        <v>127.08</v>
      </c>
      <c r="G439" s="1">
        <v>6673.57</v>
      </c>
      <c r="H439" s="1">
        <v>473.51</v>
      </c>
      <c r="I439" s="1">
        <v>826.45</v>
      </c>
      <c r="J439" s="1">
        <v>11934.5</v>
      </c>
    </row>
    <row r="440" spans="1:10">
      <c r="A440" s="2">
        <v>44118</v>
      </c>
      <c r="B440" s="1">
        <v>1032.45</v>
      </c>
      <c r="C440" s="1">
        <v>2418.92</v>
      </c>
      <c r="D440" s="1">
        <v>564.41999999999996</v>
      </c>
      <c r="E440" s="1">
        <v>969.31</v>
      </c>
      <c r="F440" s="1">
        <v>125.32</v>
      </c>
      <c r="G440" s="1">
        <v>6644.58</v>
      </c>
      <c r="H440" s="1">
        <v>472.61</v>
      </c>
      <c r="I440" s="1">
        <v>843.74</v>
      </c>
      <c r="J440" s="1">
        <v>11971.05</v>
      </c>
    </row>
    <row r="441" spans="1:10">
      <c r="A441" s="2">
        <v>44119</v>
      </c>
      <c r="B441" s="1">
        <v>995.89</v>
      </c>
      <c r="C441" s="1">
        <v>2359.52</v>
      </c>
      <c r="D441" s="1">
        <v>544.73</v>
      </c>
      <c r="E441" s="1">
        <v>944.8</v>
      </c>
      <c r="F441" s="1">
        <v>123.27</v>
      </c>
      <c r="G441" s="1">
        <v>6540.44</v>
      </c>
      <c r="H441" s="1">
        <v>461.41</v>
      </c>
      <c r="I441" s="1">
        <v>819.4</v>
      </c>
      <c r="J441" s="1">
        <v>11680.35</v>
      </c>
    </row>
    <row r="442" spans="1:10">
      <c r="A442" s="2">
        <v>44120</v>
      </c>
      <c r="B442" s="1">
        <v>982.04</v>
      </c>
      <c r="C442" s="1">
        <v>2379.06</v>
      </c>
      <c r="D442" s="1">
        <v>558.76</v>
      </c>
      <c r="E442" s="1">
        <v>961.21</v>
      </c>
      <c r="F442" s="1">
        <v>123.76</v>
      </c>
      <c r="G442" s="1">
        <v>6542.62</v>
      </c>
      <c r="H442" s="1">
        <v>458.21</v>
      </c>
      <c r="I442" s="1">
        <v>824.28</v>
      </c>
      <c r="J442" s="1">
        <v>11762.45</v>
      </c>
    </row>
    <row r="443" spans="1:10">
      <c r="A443" s="2">
        <v>44123</v>
      </c>
      <c r="B443" s="1">
        <v>982.22</v>
      </c>
      <c r="C443" s="1">
        <v>2334.5100000000002</v>
      </c>
      <c r="D443" s="1">
        <v>560.71</v>
      </c>
      <c r="E443" s="1">
        <v>959.85</v>
      </c>
      <c r="F443" s="1">
        <v>125.66</v>
      </c>
      <c r="G443" s="1">
        <v>6501.87</v>
      </c>
      <c r="H443" s="1">
        <v>455.16</v>
      </c>
      <c r="I443" s="1">
        <v>832.4</v>
      </c>
      <c r="J443" s="1">
        <v>11873.05</v>
      </c>
    </row>
    <row r="444" spans="1:10">
      <c r="A444" s="2">
        <v>44124</v>
      </c>
      <c r="B444" s="1">
        <v>973.05</v>
      </c>
      <c r="C444" s="1">
        <v>2358.14</v>
      </c>
      <c r="D444" s="1">
        <v>570.22</v>
      </c>
      <c r="E444" s="1">
        <v>969.74</v>
      </c>
      <c r="F444" s="1">
        <v>125.06</v>
      </c>
      <c r="G444" s="1">
        <v>6494.89</v>
      </c>
      <c r="H444" s="1">
        <v>457.7</v>
      </c>
      <c r="I444" s="1">
        <v>845.67</v>
      </c>
      <c r="J444" s="1">
        <v>11896.8</v>
      </c>
    </row>
    <row r="445" spans="1:10">
      <c r="A445" s="2">
        <v>44125</v>
      </c>
      <c r="B445" s="1">
        <v>958.93</v>
      </c>
      <c r="C445" s="1">
        <v>2303.38</v>
      </c>
      <c r="D445" s="1">
        <v>580.82000000000005</v>
      </c>
      <c r="E445" s="1">
        <v>978.99</v>
      </c>
      <c r="F445" s="1">
        <v>125.21</v>
      </c>
      <c r="G445" s="1">
        <v>6511.26</v>
      </c>
      <c r="H445" s="1">
        <v>461.32</v>
      </c>
      <c r="I445" s="1">
        <v>852.26</v>
      </c>
      <c r="J445" s="1">
        <v>11937.65</v>
      </c>
    </row>
    <row r="446" spans="1:10">
      <c r="A446" s="2">
        <v>44126</v>
      </c>
      <c r="B446" s="1">
        <v>950.96</v>
      </c>
      <c r="C446" s="1">
        <v>2299.7199999999998</v>
      </c>
      <c r="D446" s="1">
        <v>574.57000000000005</v>
      </c>
      <c r="E446" s="1">
        <v>962.53</v>
      </c>
      <c r="F446" s="1">
        <v>125.88</v>
      </c>
      <c r="G446" s="1">
        <v>6463.53</v>
      </c>
      <c r="H446" s="1">
        <v>456.94</v>
      </c>
      <c r="I446" s="1">
        <v>863.19</v>
      </c>
      <c r="J446" s="1">
        <v>11896.45</v>
      </c>
    </row>
    <row r="447" spans="1:10">
      <c r="A447" s="2">
        <v>44127</v>
      </c>
      <c r="B447" s="1">
        <v>953.71</v>
      </c>
      <c r="C447" s="1">
        <v>2313.1999999999998</v>
      </c>
      <c r="D447" s="1">
        <v>575.74</v>
      </c>
      <c r="E447" s="1">
        <v>967.23</v>
      </c>
      <c r="F447" s="1">
        <v>127.53</v>
      </c>
      <c r="G447" s="1">
        <v>6740.33</v>
      </c>
      <c r="H447" s="1">
        <v>455.96</v>
      </c>
      <c r="I447" s="1">
        <v>867.75</v>
      </c>
      <c r="J447" s="1">
        <v>11930.35</v>
      </c>
    </row>
    <row r="448" spans="1:10">
      <c r="A448" s="2">
        <v>44130</v>
      </c>
      <c r="B448" s="1">
        <v>915.82</v>
      </c>
      <c r="C448" s="1">
        <v>2314.4</v>
      </c>
      <c r="D448" s="1">
        <v>564.14</v>
      </c>
      <c r="E448" s="1">
        <v>958.57</v>
      </c>
      <c r="F448" s="1">
        <v>125.88</v>
      </c>
      <c r="G448" s="1">
        <v>6694.35</v>
      </c>
      <c r="H448" s="1">
        <v>446.55</v>
      </c>
      <c r="I448" s="1">
        <v>877.43</v>
      </c>
      <c r="J448" s="1">
        <v>11767.75</v>
      </c>
    </row>
    <row r="449" spans="1:10">
      <c r="A449" s="2">
        <v>44131</v>
      </c>
      <c r="B449" s="1">
        <v>918.26</v>
      </c>
      <c r="C449" s="1">
        <v>2264.4299999999998</v>
      </c>
      <c r="D449" s="1">
        <v>574.48</v>
      </c>
      <c r="E449" s="1">
        <v>939.96</v>
      </c>
      <c r="F449" s="1">
        <v>124.88</v>
      </c>
      <c r="G449" s="1">
        <v>6792.66</v>
      </c>
      <c r="H449" s="1">
        <v>442.73</v>
      </c>
      <c r="I449" s="1">
        <v>905.27</v>
      </c>
      <c r="J449" s="1">
        <v>11889.4</v>
      </c>
    </row>
    <row r="450" spans="1:10">
      <c r="A450" s="2">
        <v>44132</v>
      </c>
      <c r="B450" s="1">
        <v>907.86</v>
      </c>
      <c r="C450" s="1">
        <v>2257.58</v>
      </c>
      <c r="D450" s="1">
        <v>563.53</v>
      </c>
      <c r="E450" s="1">
        <v>927.64</v>
      </c>
      <c r="F450" s="1">
        <v>123.61</v>
      </c>
      <c r="G450" s="1">
        <v>6818.9</v>
      </c>
      <c r="H450" s="1">
        <v>436.1</v>
      </c>
      <c r="I450" s="1">
        <v>906.1</v>
      </c>
      <c r="J450" s="1">
        <v>11729.6</v>
      </c>
    </row>
    <row r="451" spans="1:10">
      <c r="A451" s="2">
        <v>44133</v>
      </c>
      <c r="B451" s="1">
        <v>914.83</v>
      </c>
      <c r="C451" s="1">
        <v>2266.58</v>
      </c>
      <c r="D451" s="1">
        <v>553.1</v>
      </c>
      <c r="E451" s="1">
        <v>926.17</v>
      </c>
      <c r="F451" s="1">
        <v>122.37</v>
      </c>
      <c r="G451" s="1">
        <v>6754.04</v>
      </c>
      <c r="H451" s="1">
        <v>429.46</v>
      </c>
      <c r="I451" s="1">
        <v>861.53</v>
      </c>
      <c r="J451" s="1">
        <v>11670.8</v>
      </c>
    </row>
    <row r="452" spans="1:10">
      <c r="A452" s="2">
        <v>44134</v>
      </c>
      <c r="B452" s="1">
        <v>927.29</v>
      </c>
      <c r="C452" s="1">
        <v>2294.3000000000002</v>
      </c>
      <c r="D452" s="1">
        <v>551.4</v>
      </c>
      <c r="E452" s="1">
        <v>913.89</v>
      </c>
      <c r="F452" s="1">
        <v>123.42</v>
      </c>
      <c r="G452" s="1">
        <v>6609.28</v>
      </c>
      <c r="H452" s="1">
        <v>438.31</v>
      </c>
      <c r="I452" s="1">
        <v>856.92</v>
      </c>
      <c r="J452" s="1">
        <v>11642.4</v>
      </c>
    </row>
    <row r="453" spans="1:10">
      <c r="A453" s="2">
        <v>44137</v>
      </c>
      <c r="B453" s="1">
        <v>847.38</v>
      </c>
      <c r="C453" s="1">
        <v>2242.4299999999998</v>
      </c>
      <c r="D453" s="1">
        <v>566.16</v>
      </c>
      <c r="E453" s="1">
        <v>923.97</v>
      </c>
      <c r="F453" s="1">
        <v>124.54</v>
      </c>
      <c r="G453" s="1">
        <v>6517.43</v>
      </c>
      <c r="H453" s="1">
        <v>441.75</v>
      </c>
      <c r="I453" s="1">
        <v>856.74</v>
      </c>
      <c r="J453" s="1">
        <v>11669.15</v>
      </c>
    </row>
    <row r="454" spans="1:10">
      <c r="A454" s="2">
        <v>44138</v>
      </c>
      <c r="B454" s="1">
        <v>835.17</v>
      </c>
      <c r="C454" s="1">
        <v>2267.4</v>
      </c>
      <c r="D454" s="1">
        <v>581.4</v>
      </c>
      <c r="E454" s="1">
        <v>915.57</v>
      </c>
      <c r="F454" s="1">
        <v>127.04</v>
      </c>
      <c r="G454" s="1">
        <v>6560.13</v>
      </c>
      <c r="H454" s="1">
        <v>456.99</v>
      </c>
      <c r="I454" s="1">
        <v>873.75</v>
      </c>
      <c r="J454" s="1">
        <v>11813.5</v>
      </c>
    </row>
    <row r="455" spans="1:10">
      <c r="A455" s="2">
        <v>44139</v>
      </c>
      <c r="B455" s="1">
        <v>863.51</v>
      </c>
      <c r="C455" s="1">
        <v>2284.23</v>
      </c>
      <c r="D455" s="1">
        <v>585.79999999999995</v>
      </c>
      <c r="E455" s="1">
        <v>942.63</v>
      </c>
      <c r="F455" s="1">
        <v>126.82</v>
      </c>
      <c r="G455" s="1">
        <v>6598.75</v>
      </c>
      <c r="H455" s="1">
        <v>474.92</v>
      </c>
      <c r="I455" s="1">
        <v>883.24</v>
      </c>
      <c r="J455" s="1">
        <v>11908.5</v>
      </c>
    </row>
    <row r="456" spans="1:10">
      <c r="A456" s="2">
        <v>44140</v>
      </c>
      <c r="B456" s="1">
        <v>882.38</v>
      </c>
      <c r="C456" s="1">
        <v>2312.25</v>
      </c>
      <c r="D456" s="1">
        <v>591.29999999999995</v>
      </c>
      <c r="E456" s="1">
        <v>951.29</v>
      </c>
      <c r="F456" s="1">
        <v>130.51</v>
      </c>
      <c r="G456" s="1">
        <v>6730.41</v>
      </c>
      <c r="H456" s="1">
        <v>482.31</v>
      </c>
      <c r="I456" s="1">
        <v>900.39</v>
      </c>
      <c r="J456" s="1">
        <v>12120.3</v>
      </c>
    </row>
    <row r="457" spans="1:10">
      <c r="A457" s="2">
        <v>44141</v>
      </c>
      <c r="B457" s="1">
        <v>915.85</v>
      </c>
      <c r="C457" s="1">
        <v>2330.98</v>
      </c>
      <c r="D457" s="1">
        <v>609.21</v>
      </c>
      <c r="E457" s="1">
        <v>958.83</v>
      </c>
      <c r="F457" s="1">
        <v>129.91999999999999</v>
      </c>
      <c r="G457" s="1">
        <v>6554.68</v>
      </c>
      <c r="H457" s="1">
        <v>479.15</v>
      </c>
      <c r="I457" s="1">
        <v>902.88</v>
      </c>
      <c r="J457" s="1">
        <v>12263.55</v>
      </c>
    </row>
    <row r="458" spans="1:10">
      <c r="A458" s="2">
        <v>44144</v>
      </c>
      <c r="B458" s="1">
        <v>925.57</v>
      </c>
      <c r="C458" s="1">
        <v>2347.46</v>
      </c>
      <c r="D458" s="1">
        <v>624.54</v>
      </c>
      <c r="E458" s="1">
        <v>979.34</v>
      </c>
      <c r="F458" s="1">
        <v>129.06</v>
      </c>
      <c r="G458" s="1">
        <v>6521.04</v>
      </c>
      <c r="H458" s="1">
        <v>480.09</v>
      </c>
      <c r="I458" s="1">
        <v>907.67</v>
      </c>
      <c r="J458" s="1">
        <v>12461.05</v>
      </c>
    </row>
    <row r="459" spans="1:10">
      <c r="A459" s="2">
        <v>44145</v>
      </c>
      <c r="B459" s="1">
        <v>940.85</v>
      </c>
      <c r="C459" s="1">
        <v>2281.17</v>
      </c>
      <c r="D459" s="1">
        <v>649.28</v>
      </c>
      <c r="E459" s="1">
        <v>940.13</v>
      </c>
      <c r="F459" s="1">
        <v>133.19999999999999</v>
      </c>
      <c r="G459" s="1">
        <v>6446.36</v>
      </c>
      <c r="H459" s="1">
        <v>461.98</v>
      </c>
      <c r="I459" s="1">
        <v>971.43</v>
      </c>
      <c r="J459" s="1">
        <v>12631.1</v>
      </c>
    </row>
    <row r="460" spans="1:10">
      <c r="A460" s="2">
        <v>44146</v>
      </c>
      <c r="B460" s="1">
        <v>901.43</v>
      </c>
      <c r="C460" s="1">
        <v>2314.06</v>
      </c>
      <c r="D460" s="1">
        <v>647.54999999999995</v>
      </c>
      <c r="E460" s="1">
        <v>967.23</v>
      </c>
      <c r="F460" s="1">
        <v>138.38999999999999</v>
      </c>
      <c r="G460" s="1">
        <v>6506.99</v>
      </c>
      <c r="H460" s="1">
        <v>476.24</v>
      </c>
      <c r="I460" s="1">
        <v>995.63</v>
      </c>
      <c r="J460" s="1">
        <v>12749.15</v>
      </c>
    </row>
    <row r="461" spans="1:10">
      <c r="A461" s="2">
        <v>44147</v>
      </c>
      <c r="B461" s="1">
        <v>893.66</v>
      </c>
      <c r="C461" s="1">
        <v>2299.64</v>
      </c>
      <c r="D461" s="1">
        <v>639.04999999999995</v>
      </c>
      <c r="E461" s="1">
        <v>963.14</v>
      </c>
      <c r="F461" s="1">
        <v>140.41</v>
      </c>
      <c r="G461" s="1">
        <v>6487.54</v>
      </c>
      <c r="H461" s="1">
        <v>479.25</v>
      </c>
      <c r="I461" s="1">
        <v>1008.55</v>
      </c>
      <c r="J461" s="1">
        <v>12690.8</v>
      </c>
    </row>
    <row r="462" spans="1:10">
      <c r="A462" s="2">
        <v>44148</v>
      </c>
      <c r="B462" s="1">
        <v>901.06</v>
      </c>
      <c r="C462" s="1">
        <v>2287.41</v>
      </c>
      <c r="D462" s="1">
        <v>633.04</v>
      </c>
      <c r="E462" s="1">
        <v>968.69</v>
      </c>
      <c r="F462" s="1">
        <v>139.74</v>
      </c>
      <c r="G462" s="1">
        <v>6461.35</v>
      </c>
      <c r="H462" s="1">
        <v>478.5</v>
      </c>
      <c r="I462" s="1">
        <v>988.16</v>
      </c>
      <c r="J462" s="1">
        <v>12719.95</v>
      </c>
    </row>
    <row r="463" spans="1:10">
      <c r="A463" s="2">
        <v>44149</v>
      </c>
      <c r="B463" s="1">
        <v>903.73</v>
      </c>
      <c r="C463" s="1">
        <v>2299.0300000000002</v>
      </c>
      <c r="D463" s="1">
        <v>638.12</v>
      </c>
      <c r="E463" s="1">
        <v>976.66</v>
      </c>
      <c r="F463" s="1">
        <v>140.86000000000001</v>
      </c>
      <c r="G463" s="1">
        <v>6502.15</v>
      </c>
      <c r="H463" s="1">
        <v>483.72</v>
      </c>
      <c r="I463" s="1">
        <v>995.4</v>
      </c>
      <c r="J463" s="1">
        <v>12719.95</v>
      </c>
    </row>
    <row r="464" spans="1:10">
      <c r="A464" s="2">
        <v>44152</v>
      </c>
      <c r="B464" s="1">
        <v>899.64</v>
      </c>
      <c r="C464" s="1">
        <v>2295.33</v>
      </c>
      <c r="D464" s="1">
        <v>656.17</v>
      </c>
      <c r="E464" s="1">
        <v>968.26</v>
      </c>
      <c r="F464" s="1">
        <v>139.91999999999999</v>
      </c>
      <c r="G464" s="1">
        <v>6624.75</v>
      </c>
      <c r="H464" s="1">
        <v>487.86</v>
      </c>
      <c r="I464" s="1">
        <v>1015.79</v>
      </c>
      <c r="J464" s="1">
        <v>12874.2</v>
      </c>
    </row>
    <row r="465" spans="1:10">
      <c r="A465" s="2">
        <v>44153</v>
      </c>
      <c r="B465" s="1">
        <v>896.91</v>
      </c>
      <c r="C465" s="1">
        <v>2261.41</v>
      </c>
      <c r="D465" s="1">
        <v>656.29</v>
      </c>
      <c r="E465" s="1">
        <v>956.93</v>
      </c>
      <c r="F465" s="1">
        <v>137.46</v>
      </c>
      <c r="G465" s="1">
        <v>6693.88</v>
      </c>
      <c r="H465" s="1">
        <v>482.78</v>
      </c>
      <c r="I465" s="1">
        <v>1078.99</v>
      </c>
      <c r="J465" s="1">
        <v>12938.25</v>
      </c>
    </row>
    <row r="466" spans="1:10">
      <c r="A466" s="2">
        <v>44154</v>
      </c>
      <c r="B466" s="1">
        <v>890.57</v>
      </c>
      <c r="C466" s="1">
        <v>2270.2399999999998</v>
      </c>
      <c r="D466" s="1">
        <v>640.29</v>
      </c>
      <c r="E466" s="1">
        <v>945.04</v>
      </c>
      <c r="F466" s="1">
        <v>140.34</v>
      </c>
      <c r="G466" s="1">
        <v>6607.53</v>
      </c>
      <c r="H466" s="1">
        <v>477.46</v>
      </c>
      <c r="I466" s="1">
        <v>1065.93</v>
      </c>
      <c r="J466" s="1">
        <v>12771.7</v>
      </c>
    </row>
    <row r="467" spans="1:10">
      <c r="A467" s="2">
        <v>44155</v>
      </c>
      <c r="B467" s="1">
        <v>857.33</v>
      </c>
      <c r="C467" s="1">
        <v>2290.34</v>
      </c>
      <c r="D467" s="1">
        <v>653.94000000000005</v>
      </c>
      <c r="E467" s="1">
        <v>950.73</v>
      </c>
      <c r="F467" s="1">
        <v>143.16999999999999</v>
      </c>
      <c r="G467" s="1">
        <v>6609.95</v>
      </c>
      <c r="H467" s="1">
        <v>473.6</v>
      </c>
      <c r="I467" s="1">
        <v>1064.0899999999999</v>
      </c>
      <c r="J467" s="1">
        <v>12859.05</v>
      </c>
    </row>
    <row r="468" spans="1:10">
      <c r="A468" s="2">
        <v>44158</v>
      </c>
      <c r="B468" s="1">
        <v>880.44</v>
      </c>
      <c r="C468" s="1">
        <v>2345.44</v>
      </c>
      <c r="D468" s="1">
        <v>649.72</v>
      </c>
      <c r="E468" s="1">
        <v>982.18</v>
      </c>
      <c r="F468" s="1">
        <v>142.54</v>
      </c>
      <c r="G468" s="1">
        <v>6630.73</v>
      </c>
      <c r="H468" s="1">
        <v>482.64</v>
      </c>
      <c r="I468" s="1">
        <v>1058.03</v>
      </c>
      <c r="J468" s="1">
        <v>12926.45</v>
      </c>
    </row>
    <row r="469" spans="1:10">
      <c r="A469" s="2">
        <v>44159</v>
      </c>
      <c r="B469" s="1">
        <v>886.46</v>
      </c>
      <c r="C469" s="1">
        <v>2343.5500000000002</v>
      </c>
      <c r="D469" s="1">
        <v>670.03</v>
      </c>
      <c r="E469" s="1">
        <v>982.35</v>
      </c>
      <c r="F469" s="1">
        <v>146.05000000000001</v>
      </c>
      <c r="G469" s="1">
        <v>6792.66</v>
      </c>
      <c r="H469" s="1">
        <v>489.51</v>
      </c>
      <c r="I469" s="1">
        <v>1067.0999999999999</v>
      </c>
      <c r="J469" s="1">
        <v>13055.15</v>
      </c>
    </row>
    <row r="470" spans="1:10">
      <c r="A470" s="2">
        <v>44160</v>
      </c>
      <c r="B470" s="1">
        <v>879.13</v>
      </c>
      <c r="C470" s="1">
        <v>2325.6799999999998</v>
      </c>
      <c r="D470" s="1">
        <v>653.54</v>
      </c>
      <c r="E470" s="1">
        <v>961.33</v>
      </c>
      <c r="F470" s="1">
        <v>144.78</v>
      </c>
      <c r="G470" s="1">
        <v>6695.21</v>
      </c>
      <c r="H470" s="1">
        <v>476.38</v>
      </c>
      <c r="I470" s="1">
        <v>1048.78</v>
      </c>
      <c r="J470" s="1">
        <v>12858.4</v>
      </c>
    </row>
    <row r="471" spans="1:10">
      <c r="A471" s="2">
        <v>44161</v>
      </c>
      <c r="B471" s="1">
        <v>881.3</v>
      </c>
      <c r="C471" s="1">
        <v>2342.3000000000002</v>
      </c>
      <c r="D471" s="1">
        <v>664.65</v>
      </c>
      <c r="E471" s="1">
        <v>959.22</v>
      </c>
      <c r="F471" s="1">
        <v>145.49</v>
      </c>
      <c r="G471" s="1">
        <v>6636.9</v>
      </c>
      <c r="H471" s="1">
        <v>481.55</v>
      </c>
      <c r="I471" s="1">
        <v>1051.45</v>
      </c>
      <c r="J471" s="1">
        <v>12987</v>
      </c>
    </row>
    <row r="472" spans="1:10">
      <c r="A472" s="2">
        <v>44162</v>
      </c>
      <c r="B472" s="1">
        <v>871</v>
      </c>
      <c r="C472" s="1">
        <v>2307.04</v>
      </c>
      <c r="D472" s="1">
        <v>671.27</v>
      </c>
      <c r="E472" s="1">
        <v>947.84</v>
      </c>
      <c r="F472" s="1">
        <v>144.63</v>
      </c>
      <c r="G472" s="1">
        <v>6676.32</v>
      </c>
      <c r="H472" s="1">
        <v>481.51</v>
      </c>
      <c r="I472" s="1">
        <v>1054.79</v>
      </c>
      <c r="J472" s="1">
        <v>12968.95</v>
      </c>
    </row>
    <row r="473" spans="1:10">
      <c r="A473" s="2">
        <v>44166</v>
      </c>
      <c r="B473" s="1">
        <v>882.33</v>
      </c>
      <c r="C473" s="1">
        <v>2347.64</v>
      </c>
      <c r="D473" s="1">
        <v>667.75</v>
      </c>
      <c r="E473" s="1">
        <v>980.46</v>
      </c>
      <c r="F473" s="1">
        <v>145.19</v>
      </c>
      <c r="G473" s="1">
        <v>6738.86</v>
      </c>
      <c r="H473" s="1">
        <v>507.57</v>
      </c>
      <c r="I473" s="1">
        <v>1048.73</v>
      </c>
      <c r="J473" s="1">
        <v>13109.05</v>
      </c>
    </row>
    <row r="474" spans="1:10">
      <c r="A474" s="2">
        <v>44167</v>
      </c>
      <c r="B474" s="1">
        <v>883.8</v>
      </c>
      <c r="C474" s="1">
        <v>2367.2199999999998</v>
      </c>
      <c r="D474" s="1">
        <v>655.47</v>
      </c>
      <c r="E474" s="1">
        <v>983.08</v>
      </c>
      <c r="F474" s="1">
        <v>146.35</v>
      </c>
      <c r="G474" s="1">
        <v>6838.3</v>
      </c>
      <c r="H474" s="1">
        <v>512.55999999999995</v>
      </c>
      <c r="I474" s="1">
        <v>1046.6600000000001</v>
      </c>
      <c r="J474" s="1">
        <v>13113.75</v>
      </c>
    </row>
    <row r="475" spans="1:10">
      <c r="A475" s="2">
        <v>44168</v>
      </c>
      <c r="B475" s="1">
        <v>886.46</v>
      </c>
      <c r="C475" s="1">
        <v>2332.6999999999998</v>
      </c>
      <c r="D475" s="1">
        <v>641.61</v>
      </c>
      <c r="E475" s="1">
        <v>970.63</v>
      </c>
      <c r="F475" s="1">
        <v>146.53</v>
      </c>
      <c r="G475" s="1">
        <v>7343.69</v>
      </c>
      <c r="H475" s="1">
        <v>515.95000000000005</v>
      </c>
      <c r="I475" s="1">
        <v>1057.3699999999999</v>
      </c>
      <c r="J475" s="1">
        <v>13133.9</v>
      </c>
    </row>
    <row r="476" spans="1:10">
      <c r="A476" s="2">
        <v>44169</v>
      </c>
      <c r="B476" s="1">
        <v>878.65</v>
      </c>
      <c r="C476" s="1">
        <v>2348.2800000000002</v>
      </c>
      <c r="D476" s="1">
        <v>645.53</v>
      </c>
      <c r="E476" s="1">
        <v>977.7</v>
      </c>
      <c r="F476" s="1">
        <v>148.03</v>
      </c>
      <c r="G476" s="1">
        <v>7404.47</v>
      </c>
      <c r="H476" s="1">
        <v>535.52</v>
      </c>
      <c r="I476" s="1">
        <v>1080.26</v>
      </c>
      <c r="J476" s="1">
        <v>13258.55</v>
      </c>
    </row>
    <row r="477" spans="1:10">
      <c r="A477" s="2">
        <v>44172</v>
      </c>
      <c r="B477" s="1">
        <v>883.82</v>
      </c>
      <c r="C477" s="1">
        <v>2357.02</v>
      </c>
      <c r="D477" s="1">
        <v>639.30999999999995</v>
      </c>
      <c r="E477" s="1">
        <v>985.32</v>
      </c>
      <c r="F477" s="1">
        <v>151.72999999999999</v>
      </c>
      <c r="G477" s="1">
        <v>7347.77</v>
      </c>
      <c r="H477" s="1">
        <v>547.99</v>
      </c>
      <c r="I477" s="1">
        <v>1099.24</v>
      </c>
      <c r="J477" s="1">
        <v>13355.75</v>
      </c>
    </row>
    <row r="478" spans="1:10">
      <c r="A478" s="2">
        <v>44173</v>
      </c>
      <c r="B478" s="1">
        <v>899.87</v>
      </c>
      <c r="C478" s="1">
        <v>2408.33</v>
      </c>
      <c r="D478" s="1">
        <v>641.19000000000005</v>
      </c>
      <c r="E478" s="1">
        <v>993.81</v>
      </c>
      <c r="F478" s="1">
        <v>151.19999999999999</v>
      </c>
      <c r="G478" s="1">
        <v>7366.09</v>
      </c>
      <c r="H478" s="1">
        <v>535.20000000000005</v>
      </c>
      <c r="I478" s="1">
        <v>1100.8399999999999</v>
      </c>
      <c r="J478" s="1">
        <v>13392.95</v>
      </c>
    </row>
    <row r="479" spans="1:10">
      <c r="A479" s="2">
        <v>44174</v>
      </c>
      <c r="B479" s="1">
        <v>914.85</v>
      </c>
      <c r="C479" s="1">
        <v>2419.96</v>
      </c>
      <c r="D479" s="1">
        <v>655.59</v>
      </c>
      <c r="E479" s="1">
        <v>1012.64</v>
      </c>
      <c r="F479" s="1">
        <v>153.41</v>
      </c>
      <c r="G479" s="1">
        <v>7315.37</v>
      </c>
      <c r="H479" s="1">
        <v>536</v>
      </c>
      <c r="I479" s="1">
        <v>1109.8599999999999</v>
      </c>
      <c r="J479" s="1">
        <v>13529.1</v>
      </c>
    </row>
    <row r="480" spans="1:10">
      <c r="A480" s="2">
        <v>44175</v>
      </c>
      <c r="B480" s="1">
        <v>905.85</v>
      </c>
      <c r="C480" s="1">
        <v>2397.14</v>
      </c>
      <c r="D480" s="1">
        <v>645.64</v>
      </c>
      <c r="E480" s="1">
        <v>1006.22</v>
      </c>
      <c r="F480" s="1">
        <v>158.86000000000001</v>
      </c>
      <c r="G480" s="1">
        <v>7340.75</v>
      </c>
      <c r="H480" s="1">
        <v>531.9</v>
      </c>
      <c r="I480" s="1">
        <v>1118.6500000000001</v>
      </c>
      <c r="J480" s="1">
        <v>13478.3</v>
      </c>
    </row>
    <row r="481" spans="1:10">
      <c r="A481" s="2">
        <v>44176</v>
      </c>
      <c r="B481" s="1">
        <v>905.31</v>
      </c>
      <c r="C481" s="1">
        <v>2396.54</v>
      </c>
      <c r="D481" s="1">
        <v>644.22</v>
      </c>
      <c r="E481" s="1">
        <v>1002.3</v>
      </c>
      <c r="F481" s="1">
        <v>161.55000000000001</v>
      </c>
      <c r="G481" s="1">
        <v>7338.43</v>
      </c>
      <c r="H481" s="1">
        <v>534.63</v>
      </c>
      <c r="I481" s="1">
        <v>1122.3599999999999</v>
      </c>
      <c r="J481" s="1">
        <v>13513.85</v>
      </c>
    </row>
    <row r="482" spans="1:10">
      <c r="A482" s="2">
        <v>44179</v>
      </c>
      <c r="B482" s="1">
        <v>898.76</v>
      </c>
      <c r="C482" s="1">
        <v>2408.6799999999998</v>
      </c>
      <c r="D482" s="1">
        <v>639.26</v>
      </c>
      <c r="E482" s="1">
        <v>1003.46</v>
      </c>
      <c r="F482" s="1">
        <v>161.25</v>
      </c>
      <c r="G482" s="1">
        <v>7303.55</v>
      </c>
      <c r="H482" s="1">
        <v>542.29999999999995</v>
      </c>
      <c r="I482" s="1">
        <v>1174.3800000000001</v>
      </c>
      <c r="J482" s="1">
        <v>13558.15</v>
      </c>
    </row>
    <row r="483" spans="1:10">
      <c r="A483" s="2">
        <v>44180</v>
      </c>
      <c r="B483" s="1">
        <v>891.11</v>
      </c>
      <c r="C483" s="1">
        <v>2377.5500000000002</v>
      </c>
      <c r="D483" s="1">
        <v>648.17999999999995</v>
      </c>
      <c r="E483" s="1">
        <v>994.89</v>
      </c>
      <c r="F483" s="1">
        <v>159.49</v>
      </c>
      <c r="G483" s="1">
        <v>7368.51</v>
      </c>
      <c r="H483" s="1">
        <v>537.97</v>
      </c>
      <c r="I483" s="1">
        <v>1171.18</v>
      </c>
      <c r="J483" s="1">
        <v>13567.85</v>
      </c>
    </row>
    <row r="484" spans="1:10">
      <c r="A484" s="2">
        <v>44181</v>
      </c>
      <c r="B484" s="1">
        <v>892.1</v>
      </c>
      <c r="C484" s="1">
        <v>2422.88</v>
      </c>
      <c r="D484" s="1">
        <v>657.22</v>
      </c>
      <c r="E484" s="1">
        <v>1004.45</v>
      </c>
      <c r="F484" s="1">
        <v>159.83000000000001</v>
      </c>
      <c r="G484" s="1">
        <v>7398.02</v>
      </c>
      <c r="H484" s="1">
        <v>542.63</v>
      </c>
      <c r="I484" s="1">
        <v>1191.8499999999999</v>
      </c>
      <c r="J484" s="1">
        <v>13682.7</v>
      </c>
    </row>
    <row r="485" spans="1:10">
      <c r="A485" s="2">
        <v>44182</v>
      </c>
      <c r="B485" s="1">
        <v>896.19</v>
      </c>
      <c r="C485" s="1">
        <v>2443.5500000000002</v>
      </c>
      <c r="D485" s="1">
        <v>671.71</v>
      </c>
      <c r="E485" s="1">
        <v>998.85</v>
      </c>
      <c r="F485" s="1">
        <v>159.12</v>
      </c>
      <c r="G485" s="1">
        <v>7300.9</v>
      </c>
      <c r="H485" s="1">
        <v>537.69000000000005</v>
      </c>
      <c r="I485" s="1">
        <v>1201.77</v>
      </c>
      <c r="J485" s="1">
        <v>13740.7</v>
      </c>
    </row>
    <row r="486" spans="1:10">
      <c r="A486" s="2">
        <v>44183</v>
      </c>
      <c r="B486" s="1">
        <v>898.87</v>
      </c>
      <c r="C486" s="1">
        <v>2463.1799999999998</v>
      </c>
      <c r="D486" s="1">
        <v>657.52</v>
      </c>
      <c r="E486" s="1">
        <v>1025.22</v>
      </c>
      <c r="F486" s="1">
        <v>160.19999999999999</v>
      </c>
      <c r="G486" s="1">
        <v>7173.5</v>
      </c>
      <c r="H486" s="1">
        <v>541.12</v>
      </c>
      <c r="I486" s="1">
        <v>1204.3499999999999</v>
      </c>
      <c r="J486" s="1">
        <v>13760.55</v>
      </c>
    </row>
    <row r="487" spans="1:10">
      <c r="A487" s="2">
        <v>44186</v>
      </c>
      <c r="B487" s="1">
        <v>875.47</v>
      </c>
      <c r="C487" s="1">
        <v>2428.0100000000002</v>
      </c>
      <c r="D487" s="1">
        <v>639.49</v>
      </c>
      <c r="E487" s="1">
        <v>1014.45</v>
      </c>
      <c r="F487" s="1">
        <v>151.58000000000001</v>
      </c>
      <c r="G487" s="1">
        <v>6999.24</v>
      </c>
      <c r="H487" s="1">
        <v>520</v>
      </c>
      <c r="I487" s="1">
        <v>1160.47</v>
      </c>
      <c r="J487" s="1">
        <v>13328.4</v>
      </c>
    </row>
    <row r="488" spans="1:10">
      <c r="A488" s="2">
        <v>44187</v>
      </c>
      <c r="B488" s="1">
        <v>874.12</v>
      </c>
      <c r="C488" s="1">
        <v>2473.08</v>
      </c>
      <c r="D488" s="1">
        <v>639.70000000000005</v>
      </c>
      <c r="E488" s="1">
        <v>1051.67</v>
      </c>
      <c r="F488" s="1">
        <v>151.91</v>
      </c>
      <c r="G488" s="1">
        <v>7017.55</v>
      </c>
      <c r="H488" s="1">
        <v>534.82000000000005</v>
      </c>
      <c r="I488" s="1">
        <v>1186.6400000000001</v>
      </c>
      <c r="J488" s="1">
        <v>13466.3</v>
      </c>
    </row>
    <row r="489" spans="1:10">
      <c r="A489" s="2">
        <v>44188</v>
      </c>
      <c r="B489" s="1">
        <v>877.35</v>
      </c>
      <c r="C489" s="1">
        <v>2504.29</v>
      </c>
      <c r="D489" s="1">
        <v>640.89</v>
      </c>
      <c r="E489" s="1">
        <v>1079.72</v>
      </c>
      <c r="F489" s="1">
        <v>155.16</v>
      </c>
      <c r="G489" s="1">
        <v>7069.32</v>
      </c>
      <c r="H489" s="1">
        <v>540.75</v>
      </c>
      <c r="I489" s="1">
        <v>1188.6099999999999</v>
      </c>
      <c r="J489" s="1">
        <v>13601.1</v>
      </c>
    </row>
    <row r="490" spans="1:10">
      <c r="A490" s="2">
        <v>44189</v>
      </c>
      <c r="B490" s="1">
        <v>900.05</v>
      </c>
      <c r="C490" s="1">
        <v>2504.8000000000002</v>
      </c>
      <c r="D490" s="1">
        <v>650.88</v>
      </c>
      <c r="E490" s="1">
        <v>1065.07</v>
      </c>
      <c r="F490" s="1">
        <v>155.80000000000001</v>
      </c>
      <c r="G490" s="1">
        <v>7065.61</v>
      </c>
      <c r="H490" s="1">
        <v>555.66</v>
      </c>
      <c r="I490" s="1">
        <v>1186.17</v>
      </c>
      <c r="J490" s="1">
        <v>13749.25</v>
      </c>
    </row>
    <row r="491" spans="1:10">
      <c r="A491" s="2">
        <v>44193</v>
      </c>
      <c r="B491" s="1">
        <v>904.18</v>
      </c>
      <c r="C491" s="1">
        <v>2522.06</v>
      </c>
      <c r="D491" s="1">
        <v>658.22</v>
      </c>
      <c r="E491" s="1">
        <v>1068.73</v>
      </c>
      <c r="F491" s="1">
        <v>156.47</v>
      </c>
      <c r="G491" s="1">
        <v>7100.68</v>
      </c>
      <c r="H491" s="1">
        <v>552.37</v>
      </c>
      <c r="I491" s="1">
        <v>1211.73</v>
      </c>
      <c r="J491" s="1">
        <v>13873.2</v>
      </c>
    </row>
    <row r="492" spans="1:10">
      <c r="A492" s="2">
        <v>44194</v>
      </c>
      <c r="B492" s="1">
        <v>898.2</v>
      </c>
      <c r="C492" s="1">
        <v>2523.0100000000002</v>
      </c>
      <c r="D492" s="1">
        <v>664.91</v>
      </c>
      <c r="E492" s="1">
        <v>1077.3499999999999</v>
      </c>
      <c r="F492" s="1">
        <v>158</v>
      </c>
      <c r="G492" s="1">
        <v>7071.59</v>
      </c>
      <c r="H492" s="1">
        <v>555.80999999999995</v>
      </c>
      <c r="I492" s="1">
        <v>1207.46</v>
      </c>
      <c r="J492" s="1">
        <v>13932.6</v>
      </c>
    </row>
    <row r="493" spans="1:10">
      <c r="A493" s="2">
        <v>44195</v>
      </c>
      <c r="B493" s="1">
        <v>900.66</v>
      </c>
      <c r="C493" s="1">
        <v>2504.7600000000002</v>
      </c>
      <c r="D493" s="1">
        <v>667.38</v>
      </c>
      <c r="E493" s="1">
        <v>1074.3399999999999</v>
      </c>
      <c r="F493" s="1">
        <v>157.69999999999999</v>
      </c>
      <c r="G493" s="1">
        <v>7223.94</v>
      </c>
      <c r="H493" s="1">
        <v>549.59</v>
      </c>
      <c r="I493" s="1">
        <v>1214.22</v>
      </c>
      <c r="J493" s="1">
        <v>13981.95</v>
      </c>
    </row>
    <row r="494" spans="1:10">
      <c r="A494" s="2">
        <v>44196</v>
      </c>
      <c r="B494" s="1">
        <v>896.05</v>
      </c>
      <c r="C494" s="1">
        <v>2464.6799999999998</v>
      </c>
      <c r="D494" s="1">
        <v>669.15</v>
      </c>
      <c r="E494" s="1">
        <v>1082.0899999999999</v>
      </c>
      <c r="F494" s="1">
        <v>156.09</v>
      </c>
      <c r="G494" s="1">
        <v>7258.77</v>
      </c>
      <c r="H494" s="1">
        <v>557.45000000000005</v>
      </c>
      <c r="I494" s="1">
        <v>1210.04</v>
      </c>
      <c r="J494" s="1">
        <v>13981.75</v>
      </c>
    </row>
    <row r="495" spans="1:10">
      <c r="A495" s="2">
        <v>44197</v>
      </c>
      <c r="B495" s="1">
        <v>897.05</v>
      </c>
      <c r="C495" s="1">
        <v>2521.0700000000002</v>
      </c>
      <c r="D495" s="1">
        <v>663.91</v>
      </c>
      <c r="E495" s="1">
        <v>1086.0999999999999</v>
      </c>
      <c r="F495" s="1">
        <v>159.72</v>
      </c>
      <c r="G495" s="1">
        <v>7298.33</v>
      </c>
      <c r="H495" s="1">
        <v>561.12</v>
      </c>
      <c r="I495" s="1">
        <v>1218.8699999999999</v>
      </c>
      <c r="J495" s="1">
        <v>14018.5</v>
      </c>
    </row>
    <row r="496" spans="1:10">
      <c r="A496" s="2">
        <v>44200</v>
      </c>
      <c r="B496" s="1">
        <v>898.56</v>
      </c>
      <c r="C496" s="1">
        <v>2616.81</v>
      </c>
      <c r="D496" s="1">
        <v>659.69</v>
      </c>
      <c r="E496" s="1">
        <v>1110.05</v>
      </c>
      <c r="F496" s="1">
        <v>159.38</v>
      </c>
      <c r="G496" s="1">
        <v>7308.77</v>
      </c>
      <c r="H496" s="1">
        <v>568.79</v>
      </c>
      <c r="I496" s="1">
        <v>1235.4100000000001</v>
      </c>
      <c r="J496" s="1">
        <v>14132.9</v>
      </c>
    </row>
    <row r="497" spans="1:10">
      <c r="A497" s="2">
        <v>44201</v>
      </c>
      <c r="B497" s="1">
        <v>887.39</v>
      </c>
      <c r="C497" s="1">
        <v>2662.92</v>
      </c>
      <c r="D497" s="1">
        <v>664.67</v>
      </c>
      <c r="E497" s="1">
        <v>1114.83</v>
      </c>
      <c r="F497" s="1">
        <v>157.91999999999999</v>
      </c>
      <c r="G497" s="1">
        <v>7264.32</v>
      </c>
      <c r="H497" s="1">
        <v>567.9</v>
      </c>
      <c r="I497" s="1">
        <v>1227.6099999999999</v>
      </c>
      <c r="J497" s="1">
        <v>14199.5</v>
      </c>
    </row>
    <row r="498" spans="1:10">
      <c r="A498" s="2">
        <v>44202</v>
      </c>
      <c r="B498" s="1">
        <v>863.99</v>
      </c>
      <c r="C498" s="1">
        <v>2627.19</v>
      </c>
      <c r="D498" s="1">
        <v>661.81</v>
      </c>
      <c r="E498" s="1">
        <v>1104.75</v>
      </c>
      <c r="F498" s="1">
        <v>153.41</v>
      </c>
      <c r="G498" s="1">
        <v>7238.84</v>
      </c>
      <c r="H498" s="1">
        <v>569.64</v>
      </c>
      <c r="I498" s="1">
        <v>1234.8499999999999</v>
      </c>
      <c r="J498" s="1">
        <v>14146.25</v>
      </c>
    </row>
    <row r="499" spans="1:10">
      <c r="A499" s="2">
        <v>44203</v>
      </c>
      <c r="B499" s="1">
        <v>862.59</v>
      </c>
      <c r="C499" s="1">
        <v>2611.09</v>
      </c>
      <c r="D499" s="1">
        <v>659.81</v>
      </c>
      <c r="E499" s="1">
        <v>1087.56</v>
      </c>
      <c r="F499" s="1">
        <v>151.46</v>
      </c>
      <c r="G499" s="1">
        <v>7179.48</v>
      </c>
      <c r="H499" s="1">
        <v>566.44000000000005</v>
      </c>
      <c r="I499" s="1">
        <v>1258.3</v>
      </c>
      <c r="J499" s="1">
        <v>14137.35</v>
      </c>
    </row>
    <row r="500" spans="1:10">
      <c r="A500" s="2">
        <v>44204</v>
      </c>
      <c r="B500" s="1">
        <v>872.76</v>
      </c>
      <c r="C500" s="1">
        <v>2686.94</v>
      </c>
      <c r="D500" s="1">
        <v>666.98</v>
      </c>
      <c r="E500" s="1">
        <v>1130.5999999999999</v>
      </c>
      <c r="F500" s="1">
        <v>150.49</v>
      </c>
      <c r="G500" s="1">
        <v>7605.4</v>
      </c>
      <c r="H500" s="1">
        <v>584.23</v>
      </c>
      <c r="I500" s="1">
        <v>1290.67</v>
      </c>
      <c r="J500" s="1">
        <v>14347.25</v>
      </c>
    </row>
    <row r="501" spans="1:10">
      <c r="A501" s="2">
        <v>44207</v>
      </c>
      <c r="B501" s="1">
        <v>856.31</v>
      </c>
      <c r="C501" s="1">
        <v>2734.76</v>
      </c>
      <c r="D501" s="1">
        <v>676.2</v>
      </c>
      <c r="E501" s="1">
        <v>1185.8399999999999</v>
      </c>
      <c r="F501" s="1">
        <v>151.24</v>
      </c>
      <c r="G501" s="1">
        <v>7812.12</v>
      </c>
      <c r="H501" s="1">
        <v>584.41</v>
      </c>
      <c r="I501" s="1">
        <v>1268.68</v>
      </c>
      <c r="J501" s="1">
        <v>14484.75</v>
      </c>
    </row>
    <row r="502" spans="1:10">
      <c r="A502" s="2">
        <v>44208</v>
      </c>
      <c r="B502" s="1">
        <v>883.3</v>
      </c>
      <c r="C502" s="1">
        <v>2733.38</v>
      </c>
      <c r="D502" s="1">
        <v>689.97</v>
      </c>
      <c r="E502" s="1">
        <v>1182</v>
      </c>
      <c r="F502" s="1">
        <v>154.19</v>
      </c>
      <c r="G502" s="1">
        <v>7769.7</v>
      </c>
      <c r="H502" s="1">
        <v>573.73</v>
      </c>
      <c r="I502" s="1">
        <v>1268.49</v>
      </c>
      <c r="J502" s="1">
        <v>14563.45</v>
      </c>
    </row>
    <row r="503" spans="1:10">
      <c r="A503" s="2">
        <v>44209</v>
      </c>
      <c r="B503" s="1">
        <v>875.07</v>
      </c>
      <c r="C503" s="1">
        <v>2719.7</v>
      </c>
      <c r="D503" s="1">
        <v>685.15</v>
      </c>
      <c r="E503" s="1">
        <v>1195.27</v>
      </c>
      <c r="F503" s="1">
        <v>157.77000000000001</v>
      </c>
      <c r="G503" s="1">
        <v>7723.97</v>
      </c>
      <c r="H503" s="1">
        <v>566.82000000000005</v>
      </c>
      <c r="I503" s="1">
        <v>1271.03</v>
      </c>
      <c r="J503" s="1">
        <v>14564.85</v>
      </c>
    </row>
    <row r="504" spans="1:10">
      <c r="A504" s="2">
        <v>44210</v>
      </c>
      <c r="B504" s="1">
        <v>884.91</v>
      </c>
      <c r="C504" s="1">
        <v>2804.01</v>
      </c>
      <c r="D504" s="1">
        <v>684.26</v>
      </c>
      <c r="E504" s="1">
        <v>1180.92</v>
      </c>
      <c r="F504" s="1">
        <v>159.94</v>
      </c>
      <c r="G504" s="1">
        <v>7733.08</v>
      </c>
      <c r="H504" s="1">
        <v>571.29</v>
      </c>
      <c r="I504" s="1">
        <v>1293.68</v>
      </c>
      <c r="J504" s="1">
        <v>14595.6</v>
      </c>
    </row>
    <row r="505" spans="1:10">
      <c r="A505" s="2">
        <v>44211</v>
      </c>
      <c r="B505" s="1">
        <v>874.46</v>
      </c>
      <c r="C505" s="1">
        <v>2789.05</v>
      </c>
      <c r="D505" s="1">
        <v>683.29</v>
      </c>
      <c r="E505" s="1">
        <v>1158.9100000000001</v>
      </c>
      <c r="F505" s="1">
        <v>162.69999999999999</v>
      </c>
      <c r="G505" s="1">
        <v>7614.75</v>
      </c>
      <c r="H505" s="1">
        <v>568.70000000000005</v>
      </c>
      <c r="I505" s="1">
        <v>1272.58</v>
      </c>
      <c r="J505" s="1">
        <v>14433.7</v>
      </c>
    </row>
    <row r="506" spans="1:10">
      <c r="A506" s="2">
        <v>44214</v>
      </c>
      <c r="B506" s="1">
        <v>895.44</v>
      </c>
      <c r="C506" s="1">
        <v>2779.04</v>
      </c>
      <c r="D506" s="1">
        <v>690.95</v>
      </c>
      <c r="E506" s="1">
        <v>1130.56</v>
      </c>
      <c r="F506" s="1">
        <v>164.12</v>
      </c>
      <c r="G506" s="1">
        <v>7430.56</v>
      </c>
      <c r="H506" s="1">
        <v>547.19000000000005</v>
      </c>
      <c r="I506" s="1">
        <v>1255.57</v>
      </c>
      <c r="J506" s="1">
        <v>14281.3</v>
      </c>
    </row>
    <row r="507" spans="1:10">
      <c r="A507" s="2">
        <v>44215</v>
      </c>
      <c r="B507" s="1">
        <v>910.09</v>
      </c>
      <c r="C507" s="1">
        <v>2812.64</v>
      </c>
      <c r="D507" s="1">
        <v>700.62</v>
      </c>
      <c r="E507" s="1">
        <v>1134.52</v>
      </c>
      <c r="F507" s="1">
        <v>163.44999999999999</v>
      </c>
      <c r="G507" s="1">
        <v>7517.82</v>
      </c>
      <c r="H507" s="1">
        <v>561.4</v>
      </c>
      <c r="I507" s="1">
        <v>1287.33</v>
      </c>
      <c r="J507" s="1">
        <v>14521.15</v>
      </c>
    </row>
    <row r="508" spans="1:10">
      <c r="A508" s="2">
        <v>44216</v>
      </c>
      <c r="B508" s="1">
        <v>927.38</v>
      </c>
      <c r="C508" s="1">
        <v>2854.13</v>
      </c>
      <c r="D508" s="1">
        <v>695.1</v>
      </c>
      <c r="E508" s="1">
        <v>1154.17</v>
      </c>
      <c r="F508" s="1">
        <v>162.55000000000001</v>
      </c>
      <c r="G508" s="1">
        <v>7728.81</v>
      </c>
      <c r="H508" s="1">
        <v>559.66</v>
      </c>
      <c r="I508" s="1">
        <v>1299.3599999999999</v>
      </c>
      <c r="J508" s="1">
        <v>14644.7</v>
      </c>
    </row>
    <row r="509" spans="1:10">
      <c r="A509" s="2">
        <v>44217</v>
      </c>
      <c r="B509" s="1">
        <v>947.55</v>
      </c>
      <c r="C509" s="1">
        <v>2823.98</v>
      </c>
      <c r="D509" s="1">
        <v>687.08</v>
      </c>
      <c r="E509" s="1">
        <v>1154.3800000000001</v>
      </c>
      <c r="F509" s="1">
        <v>159.6</v>
      </c>
      <c r="G509" s="1">
        <v>7664.09</v>
      </c>
      <c r="H509" s="1">
        <v>548.55999999999995</v>
      </c>
      <c r="I509" s="1">
        <v>1288.7</v>
      </c>
      <c r="J509" s="1">
        <v>14590.35</v>
      </c>
    </row>
    <row r="510" spans="1:10">
      <c r="A510" s="2">
        <v>44218</v>
      </c>
      <c r="B510" s="1">
        <v>925.08</v>
      </c>
      <c r="C510" s="1">
        <v>2849.21</v>
      </c>
      <c r="D510" s="1">
        <v>672.52</v>
      </c>
      <c r="E510" s="1">
        <v>1155.3800000000001</v>
      </c>
      <c r="F510" s="1">
        <v>157.36000000000001</v>
      </c>
      <c r="G510" s="1">
        <v>7637.62</v>
      </c>
      <c r="H510" s="1">
        <v>541.30999999999995</v>
      </c>
      <c r="I510" s="1">
        <v>1280.05</v>
      </c>
      <c r="J510" s="1">
        <v>14371.9</v>
      </c>
    </row>
    <row r="511" spans="1:10">
      <c r="A511" s="2">
        <v>44221</v>
      </c>
      <c r="B511" s="1">
        <v>876.06</v>
      </c>
      <c r="C511" s="1">
        <v>2839.03</v>
      </c>
      <c r="D511" s="1">
        <v>681.52</v>
      </c>
      <c r="E511" s="1">
        <v>1141.8</v>
      </c>
      <c r="F511" s="1">
        <v>155.19999999999999</v>
      </c>
      <c r="G511" s="1">
        <v>7573.71</v>
      </c>
      <c r="H511" s="1">
        <v>551.85</v>
      </c>
      <c r="I511" s="1">
        <v>1279.3</v>
      </c>
      <c r="J511" s="1">
        <v>14238.9</v>
      </c>
    </row>
    <row r="512" spans="1:10">
      <c r="A512" s="2">
        <v>44223</v>
      </c>
      <c r="B512" s="1">
        <v>855.3</v>
      </c>
      <c r="C512" s="1">
        <v>2812.94</v>
      </c>
      <c r="D512" s="1">
        <v>656.71</v>
      </c>
      <c r="E512" s="1">
        <v>1121.04</v>
      </c>
      <c r="F512" s="1">
        <v>157.33000000000001</v>
      </c>
      <c r="G512" s="1">
        <v>7468.76</v>
      </c>
      <c r="H512" s="1">
        <v>536.23</v>
      </c>
      <c r="I512" s="1">
        <v>1277.94</v>
      </c>
      <c r="J512" s="1">
        <v>13967.5</v>
      </c>
    </row>
    <row r="513" spans="1:10">
      <c r="A513" s="2">
        <v>44224</v>
      </c>
      <c r="B513" s="1">
        <v>846.97</v>
      </c>
      <c r="C513" s="1">
        <v>2757.3</v>
      </c>
      <c r="D513" s="1">
        <v>638.92999999999995</v>
      </c>
      <c r="E513" s="1">
        <v>1099.67</v>
      </c>
      <c r="F513" s="1">
        <v>154.30000000000001</v>
      </c>
      <c r="G513" s="1">
        <v>7200.79</v>
      </c>
      <c r="H513" s="1">
        <v>531.1</v>
      </c>
      <c r="I513" s="1">
        <v>1264.31</v>
      </c>
      <c r="J513" s="1">
        <v>13817.55</v>
      </c>
    </row>
    <row r="514" spans="1:10">
      <c r="A514" s="2">
        <v>44225</v>
      </c>
      <c r="B514" s="1">
        <v>831.35</v>
      </c>
      <c r="C514" s="1">
        <v>2683.81</v>
      </c>
      <c r="D514" s="1">
        <v>647.80999999999995</v>
      </c>
      <c r="E514" s="1">
        <v>1067.6600000000001</v>
      </c>
      <c r="F514" s="1">
        <v>151.80000000000001</v>
      </c>
      <c r="G514" s="1">
        <v>6838.45</v>
      </c>
      <c r="H514" s="1">
        <v>551.66</v>
      </c>
      <c r="I514" s="1">
        <v>1254.3</v>
      </c>
      <c r="J514" s="1">
        <v>13634.6</v>
      </c>
    </row>
    <row r="515" spans="1:10">
      <c r="A515" s="2">
        <v>44228</v>
      </c>
      <c r="B515" s="1">
        <v>855.43</v>
      </c>
      <c r="C515" s="1">
        <v>2707.96</v>
      </c>
      <c r="D515" s="1">
        <v>687.99</v>
      </c>
      <c r="E515" s="1">
        <v>1086.48</v>
      </c>
      <c r="F515" s="1">
        <v>161.29</v>
      </c>
      <c r="G515" s="1">
        <v>7021.73</v>
      </c>
      <c r="H515" s="1">
        <v>555.38</v>
      </c>
      <c r="I515" s="1">
        <v>1361.58</v>
      </c>
      <c r="J515" s="1">
        <v>14281.2</v>
      </c>
    </row>
    <row r="516" spans="1:10">
      <c r="A516" s="2">
        <v>44229</v>
      </c>
      <c r="B516" s="1">
        <v>869.2</v>
      </c>
      <c r="C516" s="1">
        <v>2763.26</v>
      </c>
      <c r="D516" s="1">
        <v>727.03</v>
      </c>
      <c r="E516" s="1">
        <v>1095.4000000000001</v>
      </c>
      <c r="F516" s="1">
        <v>162.97</v>
      </c>
      <c r="G516" s="1">
        <v>7263.6</v>
      </c>
      <c r="H516" s="1">
        <v>573.54</v>
      </c>
      <c r="I516" s="1">
        <v>1428.63</v>
      </c>
      <c r="J516" s="1">
        <v>14647.85</v>
      </c>
    </row>
    <row r="517" spans="1:10">
      <c r="A517" s="2">
        <v>44230</v>
      </c>
      <c r="B517" s="1">
        <v>871.39</v>
      </c>
      <c r="C517" s="1">
        <v>2760.32</v>
      </c>
      <c r="D517" s="1">
        <v>733.67</v>
      </c>
      <c r="E517" s="1">
        <v>1106.95</v>
      </c>
      <c r="F517" s="1">
        <v>161.88</v>
      </c>
      <c r="G517" s="1">
        <v>7201.45</v>
      </c>
      <c r="H517" s="1">
        <v>592.13</v>
      </c>
      <c r="I517" s="1">
        <v>1436.48</v>
      </c>
      <c r="J517" s="1">
        <v>14789.95</v>
      </c>
    </row>
    <row r="518" spans="1:10">
      <c r="A518" s="2">
        <v>44231</v>
      </c>
      <c r="B518" s="1">
        <v>868.52</v>
      </c>
      <c r="C518" s="1">
        <v>2750.32</v>
      </c>
      <c r="D518" s="1">
        <v>735.67</v>
      </c>
      <c r="E518" s="1">
        <v>1102.3800000000001</v>
      </c>
      <c r="F518" s="1">
        <v>171.74</v>
      </c>
      <c r="G518" s="1">
        <v>7249.66</v>
      </c>
      <c r="H518" s="1">
        <v>594.29999999999995</v>
      </c>
      <c r="I518" s="1">
        <v>1437.65</v>
      </c>
      <c r="J518" s="1">
        <v>14895.65</v>
      </c>
    </row>
    <row r="519" spans="1:10">
      <c r="A519" s="2">
        <v>44232</v>
      </c>
      <c r="B519" s="1">
        <v>868.27</v>
      </c>
      <c r="C519" s="1">
        <v>2724.01</v>
      </c>
      <c r="D519" s="1">
        <v>744.29</v>
      </c>
      <c r="E519" s="1">
        <v>1096.1400000000001</v>
      </c>
      <c r="F519" s="1">
        <v>175.03</v>
      </c>
      <c r="G519" s="1">
        <v>7111.26</v>
      </c>
      <c r="H519" s="1">
        <v>597.35</v>
      </c>
      <c r="I519" s="1">
        <v>1425.15</v>
      </c>
      <c r="J519" s="1">
        <v>14924.25</v>
      </c>
    </row>
    <row r="520" spans="1:10">
      <c r="A520" s="2">
        <v>44235</v>
      </c>
      <c r="B520" s="1">
        <v>880.78</v>
      </c>
      <c r="C520" s="1">
        <v>2772.44</v>
      </c>
      <c r="D520" s="1">
        <v>747.86</v>
      </c>
      <c r="E520" s="1">
        <v>1123.24</v>
      </c>
      <c r="F520" s="1">
        <v>174.09</v>
      </c>
      <c r="G520" s="1">
        <v>7187.6</v>
      </c>
      <c r="H520" s="1">
        <v>597.26</v>
      </c>
      <c r="I520" s="1">
        <v>1458.32</v>
      </c>
      <c r="J520" s="1">
        <v>15115.8</v>
      </c>
    </row>
    <row r="521" spans="1:10">
      <c r="A521" s="2">
        <v>44236</v>
      </c>
      <c r="B521" s="1">
        <v>882.9</v>
      </c>
      <c r="C521" s="1">
        <v>2740.35</v>
      </c>
      <c r="D521" s="1">
        <v>750.93</v>
      </c>
      <c r="E521" s="1">
        <v>1124.96</v>
      </c>
      <c r="F521" s="1">
        <v>171.03</v>
      </c>
      <c r="G521" s="1">
        <v>7237.37</v>
      </c>
      <c r="H521" s="1">
        <v>591.99</v>
      </c>
      <c r="I521" s="1">
        <v>1472.09</v>
      </c>
      <c r="J521" s="1">
        <v>15109.3</v>
      </c>
    </row>
    <row r="522" spans="1:10">
      <c r="A522" s="2">
        <v>44237</v>
      </c>
      <c r="B522" s="1">
        <v>891.09</v>
      </c>
      <c r="C522" s="1">
        <v>2771.75</v>
      </c>
      <c r="D522" s="1">
        <v>736.91</v>
      </c>
      <c r="E522" s="1">
        <v>1117.1600000000001</v>
      </c>
      <c r="F522" s="1">
        <v>169.95</v>
      </c>
      <c r="G522" s="1">
        <v>7232.29</v>
      </c>
      <c r="H522" s="1">
        <v>595.30999999999995</v>
      </c>
      <c r="I522" s="1">
        <v>1459.31</v>
      </c>
      <c r="J522" s="1">
        <v>15106.5</v>
      </c>
    </row>
    <row r="523" spans="1:10">
      <c r="A523" s="2">
        <v>44238</v>
      </c>
      <c r="B523" s="1">
        <v>927.83</v>
      </c>
      <c r="C523" s="1">
        <v>2765.46</v>
      </c>
      <c r="D523" s="1">
        <v>732.53</v>
      </c>
      <c r="E523" s="1">
        <v>1113.8399999999999</v>
      </c>
      <c r="F523" s="1">
        <v>169.13</v>
      </c>
      <c r="G523" s="1">
        <v>7275.61</v>
      </c>
      <c r="H523" s="1">
        <v>611.03</v>
      </c>
      <c r="I523" s="1">
        <v>1438.31</v>
      </c>
      <c r="J523" s="1">
        <v>15173.3</v>
      </c>
    </row>
    <row r="524" spans="1:10">
      <c r="A524" s="2">
        <v>44239</v>
      </c>
      <c r="B524" s="1">
        <v>921.46</v>
      </c>
      <c r="C524" s="1">
        <v>2752.34</v>
      </c>
      <c r="D524" s="1">
        <v>737</v>
      </c>
      <c r="E524" s="1">
        <v>1128.6199999999999</v>
      </c>
      <c r="F524" s="1">
        <v>162.41</v>
      </c>
      <c r="G524" s="1">
        <v>7181.81</v>
      </c>
      <c r="H524" s="1">
        <v>595.36</v>
      </c>
      <c r="I524" s="1">
        <v>1429.71</v>
      </c>
      <c r="J524" s="1">
        <v>15163.3</v>
      </c>
    </row>
    <row r="525" spans="1:10">
      <c r="A525" s="2">
        <v>44242</v>
      </c>
      <c r="B525" s="1">
        <v>917.4</v>
      </c>
      <c r="C525" s="1">
        <v>2708.4</v>
      </c>
      <c r="D525" s="1">
        <v>753.15</v>
      </c>
      <c r="E525" s="1">
        <v>1128.49</v>
      </c>
      <c r="F525" s="1">
        <v>163.26</v>
      </c>
      <c r="G525" s="1">
        <v>7208.52</v>
      </c>
      <c r="H525" s="1">
        <v>595.69000000000005</v>
      </c>
      <c r="I525" s="1">
        <v>1445.03</v>
      </c>
      <c r="J525" s="1">
        <v>15314.7</v>
      </c>
    </row>
    <row r="526" spans="1:10">
      <c r="A526" s="2">
        <v>44243</v>
      </c>
      <c r="B526" s="1">
        <v>929.54</v>
      </c>
      <c r="C526" s="1">
        <v>2681.61</v>
      </c>
      <c r="D526" s="1">
        <v>757.83</v>
      </c>
      <c r="E526" s="1">
        <v>1111.9000000000001</v>
      </c>
      <c r="F526" s="1">
        <v>163</v>
      </c>
      <c r="G526" s="1">
        <v>7303.79</v>
      </c>
      <c r="H526" s="1">
        <v>599.16</v>
      </c>
      <c r="I526" s="1">
        <v>1456.12</v>
      </c>
      <c r="J526" s="1">
        <v>15313.45</v>
      </c>
    </row>
    <row r="527" spans="1:10">
      <c r="A527" s="2">
        <v>44244</v>
      </c>
      <c r="B527" s="1">
        <v>940.26</v>
      </c>
      <c r="C527" s="1">
        <v>2650.82</v>
      </c>
      <c r="D527" s="1">
        <v>739.12</v>
      </c>
      <c r="E527" s="1">
        <v>1104.06</v>
      </c>
      <c r="F527" s="1">
        <v>162.63</v>
      </c>
      <c r="G527" s="1">
        <v>7119.84</v>
      </c>
      <c r="H527" s="1">
        <v>589.76</v>
      </c>
      <c r="I527" s="1">
        <v>1455.08</v>
      </c>
      <c r="J527" s="1">
        <v>15208.9</v>
      </c>
    </row>
    <row r="528" spans="1:10">
      <c r="A528" s="2">
        <v>44245</v>
      </c>
      <c r="B528" s="1">
        <v>933.24</v>
      </c>
      <c r="C528" s="1">
        <v>2637.23</v>
      </c>
      <c r="D528" s="1">
        <v>724.12</v>
      </c>
      <c r="E528" s="1">
        <v>1113.67</v>
      </c>
      <c r="F528" s="1">
        <v>163.44999999999999</v>
      </c>
      <c r="G528" s="1">
        <v>7114.48</v>
      </c>
      <c r="H528" s="1">
        <v>584.82000000000005</v>
      </c>
      <c r="I528" s="1">
        <v>1432.76</v>
      </c>
      <c r="J528" s="1">
        <v>15118.95</v>
      </c>
    </row>
    <row r="529" spans="1:10">
      <c r="A529" s="2">
        <v>44246</v>
      </c>
      <c r="B529" s="1">
        <v>938.93</v>
      </c>
      <c r="C529" s="1">
        <v>2649.74</v>
      </c>
      <c r="D529" s="1">
        <v>717.04</v>
      </c>
      <c r="E529" s="1">
        <v>1112.68</v>
      </c>
      <c r="F529" s="1">
        <v>161.29</v>
      </c>
      <c r="G529" s="1">
        <v>6948.85</v>
      </c>
      <c r="H529" s="1">
        <v>576.52</v>
      </c>
      <c r="I529" s="1">
        <v>1417.92</v>
      </c>
      <c r="J529" s="1">
        <v>14981.75</v>
      </c>
    </row>
    <row r="530" spans="1:10">
      <c r="A530" s="2">
        <v>44249</v>
      </c>
      <c r="B530" s="1">
        <v>906.34</v>
      </c>
      <c r="C530" s="1">
        <v>2551.92</v>
      </c>
      <c r="D530" s="1">
        <v>721.19</v>
      </c>
      <c r="E530" s="1">
        <v>1090.19</v>
      </c>
      <c r="F530" s="1">
        <v>158.44999999999999</v>
      </c>
      <c r="G530" s="1">
        <v>6724.39</v>
      </c>
      <c r="H530" s="1">
        <v>565.13</v>
      </c>
      <c r="I530" s="1">
        <v>1364.72</v>
      </c>
      <c r="J530" s="1">
        <v>14675.7</v>
      </c>
    </row>
    <row r="531" spans="1:10">
      <c r="A531" s="2">
        <v>44250</v>
      </c>
      <c r="B531" s="1">
        <v>913.27</v>
      </c>
      <c r="C531" s="1">
        <v>2570.6799999999998</v>
      </c>
      <c r="D531" s="1">
        <v>712.4</v>
      </c>
      <c r="E531" s="1">
        <v>1091.18</v>
      </c>
      <c r="F531" s="1">
        <v>159.56</v>
      </c>
      <c r="G531" s="1">
        <v>6614.36</v>
      </c>
      <c r="H531" s="1">
        <v>573.42999999999995</v>
      </c>
      <c r="I531" s="1">
        <v>1396.77</v>
      </c>
      <c r="J531" s="1">
        <v>14707.8</v>
      </c>
    </row>
    <row r="532" spans="1:10">
      <c r="A532" s="2">
        <v>44251</v>
      </c>
      <c r="B532" s="1">
        <v>930.22</v>
      </c>
      <c r="C532" s="1">
        <v>2542.9899999999998</v>
      </c>
      <c r="D532" s="1">
        <v>748.42</v>
      </c>
      <c r="E532" s="1">
        <v>1098.03</v>
      </c>
      <c r="F532" s="1">
        <v>159.83000000000001</v>
      </c>
      <c r="G532" s="1">
        <v>6597.71</v>
      </c>
      <c r="H532" s="1">
        <v>570.96</v>
      </c>
      <c r="I532" s="1">
        <v>1434.64</v>
      </c>
      <c r="J532" s="1">
        <v>14982</v>
      </c>
    </row>
    <row r="533" spans="1:10">
      <c r="A533" s="2">
        <v>44252</v>
      </c>
      <c r="B533" s="1">
        <v>967.84</v>
      </c>
      <c r="C533" s="1">
        <v>2583.71</v>
      </c>
      <c r="D533" s="1">
        <v>748.39</v>
      </c>
      <c r="E533" s="1">
        <v>1098.25</v>
      </c>
      <c r="F533" s="1">
        <v>160.05000000000001</v>
      </c>
      <c r="G533" s="1">
        <v>6576.26</v>
      </c>
      <c r="H533" s="1">
        <v>578.65</v>
      </c>
      <c r="I533" s="1">
        <v>1415.71</v>
      </c>
      <c r="J533" s="1">
        <v>15097.35</v>
      </c>
    </row>
    <row r="534" spans="1:10">
      <c r="A534" s="2">
        <v>44253</v>
      </c>
      <c r="B534" s="1">
        <v>941.41</v>
      </c>
      <c r="C534" s="1">
        <v>2496.59</v>
      </c>
      <c r="D534" s="1">
        <v>714.85</v>
      </c>
      <c r="E534" s="1">
        <v>1079.94</v>
      </c>
      <c r="F534" s="1">
        <v>156</v>
      </c>
      <c r="G534" s="1">
        <v>6515.34</v>
      </c>
      <c r="H534" s="1">
        <v>564.46</v>
      </c>
      <c r="I534" s="1">
        <v>1355.61</v>
      </c>
      <c r="J534" s="1">
        <v>14529.15</v>
      </c>
    </row>
    <row r="535" spans="1:10">
      <c r="A535" s="2">
        <v>44256</v>
      </c>
      <c r="B535" s="1">
        <v>948.59</v>
      </c>
      <c r="C535" s="1">
        <v>2522.38</v>
      </c>
      <c r="D535" s="1">
        <v>726.26</v>
      </c>
      <c r="E535" s="1">
        <v>1091.74</v>
      </c>
      <c r="F535" s="1">
        <v>158.33000000000001</v>
      </c>
      <c r="G535" s="1">
        <v>6656.59</v>
      </c>
      <c r="H535" s="1">
        <v>573.80999999999995</v>
      </c>
      <c r="I535" s="1">
        <v>1384.13</v>
      </c>
      <c r="J535" s="1">
        <v>14761.55</v>
      </c>
    </row>
    <row r="536" spans="1:10">
      <c r="A536" s="2">
        <v>44257</v>
      </c>
      <c r="B536" s="1">
        <v>950.53</v>
      </c>
      <c r="C536" s="1">
        <v>2593.2399999999998</v>
      </c>
      <c r="D536" s="1">
        <v>730.6</v>
      </c>
      <c r="E536" s="1">
        <v>1124.05</v>
      </c>
      <c r="F536" s="1">
        <v>160.63</v>
      </c>
      <c r="G536" s="1">
        <v>6845.52</v>
      </c>
      <c r="H536" s="1">
        <v>583.07000000000005</v>
      </c>
      <c r="I536" s="1">
        <v>1396.16</v>
      </c>
      <c r="J536" s="1">
        <v>14919.1</v>
      </c>
    </row>
    <row r="537" spans="1:10">
      <c r="A537" s="2">
        <v>44258</v>
      </c>
      <c r="B537" s="1">
        <v>993.91</v>
      </c>
      <c r="C537" s="1">
        <v>2638.74</v>
      </c>
      <c r="D537" s="1">
        <v>739.29</v>
      </c>
      <c r="E537" s="1">
        <v>1157.7</v>
      </c>
      <c r="F537" s="1">
        <v>160.66999999999999</v>
      </c>
      <c r="G537" s="1">
        <v>6760.68</v>
      </c>
      <c r="H537" s="1">
        <v>592.70000000000005</v>
      </c>
      <c r="I537" s="1">
        <v>1406.73</v>
      </c>
      <c r="J537" s="1">
        <v>15245.6</v>
      </c>
    </row>
    <row r="538" spans="1:10">
      <c r="A538" s="2">
        <v>44259</v>
      </c>
      <c r="B538" s="1">
        <v>982.06</v>
      </c>
      <c r="C538" s="1">
        <v>2630.63</v>
      </c>
      <c r="D538" s="1">
        <v>723.07</v>
      </c>
      <c r="E538" s="1">
        <v>1146.33</v>
      </c>
      <c r="F538" s="1">
        <v>160.47999999999999</v>
      </c>
      <c r="G538" s="1">
        <v>6767.23</v>
      </c>
      <c r="H538" s="1">
        <v>587.58000000000004</v>
      </c>
      <c r="I538" s="1">
        <v>1374.5</v>
      </c>
      <c r="J538" s="1">
        <v>15080.75</v>
      </c>
    </row>
    <row r="539" spans="1:10">
      <c r="A539" s="2">
        <v>44260</v>
      </c>
      <c r="B539" s="1">
        <v>983.34</v>
      </c>
      <c r="C539" s="1">
        <v>2594.71</v>
      </c>
      <c r="D539" s="1">
        <v>712.8</v>
      </c>
      <c r="E539" s="1">
        <v>1134.57</v>
      </c>
      <c r="F539" s="1">
        <v>159.6</v>
      </c>
      <c r="G539" s="1">
        <v>6878.63</v>
      </c>
      <c r="H539" s="1">
        <v>580.22</v>
      </c>
      <c r="I539" s="1">
        <v>1375.39</v>
      </c>
      <c r="J539" s="1">
        <v>14938.1</v>
      </c>
    </row>
    <row r="540" spans="1:10">
      <c r="A540" s="2">
        <v>44263</v>
      </c>
      <c r="B540" s="1">
        <v>988.94</v>
      </c>
      <c r="C540" s="1">
        <v>2593.7600000000002</v>
      </c>
      <c r="D540" s="1">
        <v>707.91</v>
      </c>
      <c r="E540" s="1">
        <v>1150.98</v>
      </c>
      <c r="F540" s="1">
        <v>159.16999999999999</v>
      </c>
      <c r="G540" s="1">
        <v>6888.6</v>
      </c>
      <c r="H540" s="1">
        <v>583.64</v>
      </c>
      <c r="I540" s="1">
        <v>1423.93</v>
      </c>
      <c r="J540" s="1">
        <v>14956.2</v>
      </c>
    </row>
    <row r="541" spans="1:10">
      <c r="A541" s="2">
        <v>44264</v>
      </c>
      <c r="B541" s="1">
        <v>988.92</v>
      </c>
      <c r="C541" s="1">
        <v>2631.71</v>
      </c>
      <c r="D541" s="1">
        <v>727.94</v>
      </c>
      <c r="E541" s="1">
        <v>1159.43</v>
      </c>
      <c r="F541" s="1">
        <v>159.02000000000001</v>
      </c>
      <c r="G541" s="1">
        <v>6928.5</v>
      </c>
      <c r="H541" s="1">
        <v>581.54999999999995</v>
      </c>
      <c r="I541" s="1">
        <v>1417.45</v>
      </c>
      <c r="J541" s="1">
        <v>15098.4</v>
      </c>
    </row>
    <row r="542" spans="1:10">
      <c r="A542" s="2">
        <v>44265</v>
      </c>
      <c r="B542" s="1">
        <v>984.81</v>
      </c>
      <c r="C542" s="1">
        <v>2648.96</v>
      </c>
      <c r="D542" s="1">
        <v>724.8</v>
      </c>
      <c r="E542" s="1">
        <v>1178.9000000000001</v>
      </c>
      <c r="F542" s="1">
        <v>158.03</v>
      </c>
      <c r="G542" s="1">
        <v>6900.55</v>
      </c>
      <c r="H542" s="1">
        <v>594.27</v>
      </c>
      <c r="I542" s="1">
        <v>1432.39</v>
      </c>
      <c r="J542" s="1">
        <v>15174.8</v>
      </c>
    </row>
    <row r="543" spans="1:10">
      <c r="A543" s="2">
        <v>44267</v>
      </c>
      <c r="B543" s="1">
        <v>964.79</v>
      </c>
      <c r="C543" s="1">
        <v>2637.75</v>
      </c>
      <c r="D543" s="1">
        <v>723.03</v>
      </c>
      <c r="E543" s="1">
        <v>1184.67</v>
      </c>
      <c r="F543" s="1">
        <v>157.03</v>
      </c>
      <c r="G543" s="1">
        <v>6733.64</v>
      </c>
      <c r="H543" s="1">
        <v>582.5</v>
      </c>
      <c r="I543" s="1">
        <v>1422.8</v>
      </c>
      <c r="J543" s="1">
        <v>15030.95</v>
      </c>
    </row>
    <row r="544" spans="1:10">
      <c r="A544" s="2">
        <v>44270</v>
      </c>
      <c r="B544" s="1">
        <v>951.84</v>
      </c>
      <c r="C544" s="1">
        <v>2644.82</v>
      </c>
      <c r="D544" s="1">
        <v>712.17</v>
      </c>
      <c r="E544" s="1">
        <v>1183.5999999999999</v>
      </c>
      <c r="F544" s="1">
        <v>157.22</v>
      </c>
      <c r="G544" s="1">
        <v>6727.09</v>
      </c>
      <c r="H544" s="1">
        <v>574.80999999999995</v>
      </c>
      <c r="I544" s="1">
        <v>1394.37</v>
      </c>
      <c r="J544" s="1">
        <v>14929.5</v>
      </c>
    </row>
    <row r="545" spans="1:10">
      <c r="A545" s="2">
        <v>44271</v>
      </c>
      <c r="B545" s="1">
        <v>948.09</v>
      </c>
      <c r="C545" s="1">
        <v>2682.69</v>
      </c>
      <c r="D545" s="1">
        <v>704.48</v>
      </c>
      <c r="E545" s="1">
        <v>1192.56</v>
      </c>
      <c r="F545" s="1">
        <v>159.06</v>
      </c>
      <c r="G545" s="1">
        <v>6784.97</v>
      </c>
      <c r="H545" s="1">
        <v>571.77</v>
      </c>
      <c r="I545" s="1">
        <v>1373.75</v>
      </c>
      <c r="J545" s="1">
        <v>14910.45</v>
      </c>
    </row>
    <row r="546" spans="1:10">
      <c r="A546" s="2">
        <v>44272</v>
      </c>
      <c r="B546" s="1">
        <v>927.67</v>
      </c>
      <c r="C546" s="1">
        <v>2685.19</v>
      </c>
      <c r="D546" s="1">
        <v>696.66</v>
      </c>
      <c r="E546" s="1">
        <v>1195.1400000000001</v>
      </c>
      <c r="F546" s="1">
        <v>161.16</v>
      </c>
      <c r="G546" s="1">
        <v>6703.7</v>
      </c>
      <c r="H546" s="1">
        <v>555.11</v>
      </c>
      <c r="I546" s="1">
        <v>1351.05</v>
      </c>
      <c r="J546" s="1">
        <v>14721.3</v>
      </c>
    </row>
    <row r="547" spans="1:10">
      <c r="A547" s="2">
        <v>44273</v>
      </c>
      <c r="B547" s="1">
        <v>906.8</v>
      </c>
      <c r="C547" s="1">
        <v>2619.25</v>
      </c>
      <c r="D547" s="1">
        <v>694.63</v>
      </c>
      <c r="E547" s="1">
        <v>1152.1400000000001</v>
      </c>
      <c r="F547" s="1">
        <v>166.56</v>
      </c>
      <c r="G547" s="1">
        <v>6750.29</v>
      </c>
      <c r="H547" s="1">
        <v>545.42999999999995</v>
      </c>
      <c r="I547" s="1">
        <v>1342.08</v>
      </c>
      <c r="J547" s="1">
        <v>14557.85</v>
      </c>
    </row>
    <row r="548" spans="1:10">
      <c r="A548" s="2">
        <v>44274</v>
      </c>
      <c r="B548" s="1">
        <v>939.7</v>
      </c>
      <c r="C548" s="1">
        <v>2631.06</v>
      </c>
      <c r="D548" s="1">
        <v>697.66</v>
      </c>
      <c r="E548" s="1">
        <v>1158.48</v>
      </c>
      <c r="F548" s="1">
        <v>170.62</v>
      </c>
      <c r="G548" s="1">
        <v>6750.1</v>
      </c>
      <c r="H548" s="1">
        <v>548.99</v>
      </c>
      <c r="I548" s="1">
        <v>1326.24</v>
      </c>
      <c r="J548" s="1">
        <v>14744</v>
      </c>
    </row>
    <row r="549" spans="1:10">
      <c r="A549" s="2">
        <v>44277</v>
      </c>
      <c r="B549" s="1">
        <v>930.85</v>
      </c>
      <c r="C549" s="1">
        <v>2699.6</v>
      </c>
      <c r="D549" s="1">
        <v>684.45</v>
      </c>
      <c r="E549" s="1">
        <v>1181.18</v>
      </c>
      <c r="F549" s="1">
        <v>172.95</v>
      </c>
      <c r="G549" s="1">
        <v>6738.43</v>
      </c>
      <c r="H549" s="1">
        <v>561.04</v>
      </c>
      <c r="I549" s="1">
        <v>1315.72</v>
      </c>
      <c r="J549" s="1">
        <v>14736.4</v>
      </c>
    </row>
    <row r="550" spans="1:10">
      <c r="A550" s="2">
        <v>44278</v>
      </c>
      <c r="B550" s="1">
        <v>942.18</v>
      </c>
      <c r="C550" s="1">
        <v>2710.77</v>
      </c>
      <c r="D550" s="1">
        <v>698.89</v>
      </c>
      <c r="E550" s="1">
        <v>1181.83</v>
      </c>
      <c r="F550" s="1">
        <v>170.04</v>
      </c>
      <c r="G550" s="1">
        <v>6819.09</v>
      </c>
      <c r="H550" s="1">
        <v>558.04999999999995</v>
      </c>
      <c r="I550" s="1">
        <v>1319.76</v>
      </c>
      <c r="J550" s="1">
        <v>14814.75</v>
      </c>
    </row>
    <row r="551" spans="1:10">
      <c r="A551" s="2">
        <v>44279</v>
      </c>
      <c r="B551" s="1">
        <v>924.04</v>
      </c>
      <c r="C551" s="1">
        <v>2692.22</v>
      </c>
      <c r="D551" s="1">
        <v>688.95</v>
      </c>
      <c r="E551" s="1">
        <v>1166.49</v>
      </c>
      <c r="F551" s="1">
        <v>165.26</v>
      </c>
      <c r="G551" s="1">
        <v>6705.17</v>
      </c>
      <c r="H551" s="1">
        <v>555.63</v>
      </c>
      <c r="I551" s="1">
        <v>1286.68</v>
      </c>
      <c r="J551" s="1">
        <v>14549.4</v>
      </c>
    </row>
    <row r="552" spans="1:10">
      <c r="A552" s="2">
        <v>44280</v>
      </c>
      <c r="B552" s="1">
        <v>898.83</v>
      </c>
      <c r="C552" s="1">
        <v>2643.7</v>
      </c>
      <c r="D552" s="1">
        <v>681.75</v>
      </c>
      <c r="E552" s="1">
        <v>1149.3</v>
      </c>
      <c r="F552" s="1">
        <v>161.93</v>
      </c>
      <c r="G552" s="1">
        <v>6440.09</v>
      </c>
      <c r="H552" s="1">
        <v>546.57000000000005</v>
      </c>
      <c r="I552" s="1">
        <v>1288.51</v>
      </c>
      <c r="J552" s="1">
        <v>14324.9</v>
      </c>
    </row>
    <row r="553" spans="1:10">
      <c r="A553" s="2">
        <v>44281</v>
      </c>
      <c r="B553" s="1">
        <v>900.27</v>
      </c>
      <c r="C553" s="1">
        <v>2645.38</v>
      </c>
      <c r="D553" s="1">
        <v>694.77</v>
      </c>
      <c r="E553" s="1">
        <v>1151.3699999999999</v>
      </c>
      <c r="F553" s="1">
        <v>161.38999999999999</v>
      </c>
      <c r="G553" s="1">
        <v>6437.82</v>
      </c>
      <c r="H553" s="1">
        <v>557.44000000000005</v>
      </c>
      <c r="I553" s="1">
        <v>1314.07</v>
      </c>
      <c r="J553" s="1">
        <v>14507.3</v>
      </c>
    </row>
    <row r="554" spans="1:10">
      <c r="A554" s="2">
        <v>44285</v>
      </c>
      <c r="B554" s="1">
        <v>915.91</v>
      </c>
      <c r="C554" s="1">
        <v>2724.53</v>
      </c>
      <c r="D554" s="1">
        <v>723.84</v>
      </c>
      <c r="E554" s="1">
        <v>1193.68</v>
      </c>
      <c r="F554" s="1">
        <v>164.19</v>
      </c>
      <c r="G554" s="1">
        <v>6501.73</v>
      </c>
      <c r="H554" s="1">
        <v>567.4</v>
      </c>
      <c r="I554" s="1">
        <v>1337.8</v>
      </c>
      <c r="J554" s="1">
        <v>14845.1</v>
      </c>
    </row>
    <row r="555" spans="1:10">
      <c r="A555" s="2">
        <v>44286</v>
      </c>
      <c r="B555" s="1">
        <v>904.09</v>
      </c>
      <c r="C555" s="1">
        <v>2741.17</v>
      </c>
      <c r="D555" s="1">
        <v>695.87</v>
      </c>
      <c r="E555" s="1">
        <v>1178.81</v>
      </c>
      <c r="F555" s="1">
        <v>167.21</v>
      </c>
      <c r="G555" s="1">
        <v>6508.75</v>
      </c>
      <c r="H555" s="1">
        <v>567.5</v>
      </c>
      <c r="I555" s="1">
        <v>1333.43</v>
      </c>
      <c r="J555" s="1">
        <v>14690.7</v>
      </c>
    </row>
    <row r="556" spans="1:10">
      <c r="A556" s="2">
        <v>44287</v>
      </c>
      <c r="B556" s="1">
        <v>912.55</v>
      </c>
      <c r="C556" s="1">
        <v>2730.09</v>
      </c>
      <c r="D556" s="1">
        <v>692.65</v>
      </c>
      <c r="E556" s="1">
        <v>1193.5899999999999</v>
      </c>
      <c r="F556" s="1">
        <v>168.4</v>
      </c>
      <c r="G556" s="1">
        <v>6570.14</v>
      </c>
      <c r="H556" s="1">
        <v>579.79</v>
      </c>
      <c r="I556" s="1">
        <v>1357.58</v>
      </c>
      <c r="J556" s="1">
        <v>14867.35</v>
      </c>
    </row>
    <row r="557" spans="1:10">
      <c r="A557" s="2">
        <v>44291</v>
      </c>
      <c r="B557" s="1">
        <v>899.35</v>
      </c>
      <c r="C557" s="1">
        <v>2793.83</v>
      </c>
      <c r="D557" s="1">
        <v>675.34</v>
      </c>
      <c r="E557" s="1">
        <v>1214.8699999999999</v>
      </c>
      <c r="F557" s="1">
        <v>162.66</v>
      </c>
      <c r="G557" s="1">
        <v>6422.73</v>
      </c>
      <c r="H557" s="1">
        <v>577.94000000000005</v>
      </c>
      <c r="I557" s="1">
        <v>1319.24</v>
      </c>
      <c r="J557" s="1">
        <v>14637.8</v>
      </c>
    </row>
    <row r="558" spans="1:10">
      <c r="A558" s="2">
        <v>44292</v>
      </c>
      <c r="B558" s="1">
        <v>895.6</v>
      </c>
      <c r="C558" s="1">
        <v>2816.09</v>
      </c>
      <c r="D558" s="1">
        <v>670.99</v>
      </c>
      <c r="E558" s="1">
        <v>1215.8699999999999</v>
      </c>
      <c r="F558" s="1">
        <v>162.72999999999999</v>
      </c>
      <c r="G558" s="1">
        <v>6406.36</v>
      </c>
      <c r="H558" s="1">
        <v>589</v>
      </c>
      <c r="I558" s="1">
        <v>1316.61</v>
      </c>
      <c r="J558" s="1">
        <v>14683.5</v>
      </c>
    </row>
    <row r="559" spans="1:10">
      <c r="A559" s="2">
        <v>44293</v>
      </c>
      <c r="B559" s="1">
        <v>903.98</v>
      </c>
      <c r="C559" s="1">
        <v>2821.87</v>
      </c>
      <c r="D559" s="1">
        <v>674.22</v>
      </c>
      <c r="E559" s="1">
        <v>1232.3699999999999</v>
      </c>
      <c r="F559" s="1">
        <v>163.61000000000001</v>
      </c>
      <c r="G559" s="1">
        <v>6514.25</v>
      </c>
      <c r="H559" s="1">
        <v>589.57000000000005</v>
      </c>
      <c r="I559" s="1">
        <v>1319.57</v>
      </c>
      <c r="J559" s="1">
        <v>14819.05</v>
      </c>
    </row>
    <row r="560" spans="1:10">
      <c r="A560" s="2">
        <v>44294</v>
      </c>
      <c r="B560" s="1">
        <v>905.1</v>
      </c>
      <c r="C560" s="1">
        <v>2861.5</v>
      </c>
      <c r="D560" s="1">
        <v>667.52</v>
      </c>
      <c r="E560" s="1">
        <v>1240.68</v>
      </c>
      <c r="F560" s="1">
        <v>163.19</v>
      </c>
      <c r="G560" s="1">
        <v>6478.05</v>
      </c>
      <c r="H560" s="1">
        <v>583.12</v>
      </c>
      <c r="I560" s="1">
        <v>1333.67</v>
      </c>
      <c r="J560" s="1">
        <v>14873.8</v>
      </c>
    </row>
    <row r="561" spans="1:10">
      <c r="A561" s="2">
        <v>44295</v>
      </c>
      <c r="B561" s="1">
        <v>894.59</v>
      </c>
      <c r="C561" s="1">
        <v>2865.73</v>
      </c>
      <c r="D561" s="1">
        <v>662.37</v>
      </c>
      <c r="E561" s="1">
        <v>1241.72</v>
      </c>
      <c r="F561" s="1">
        <v>163.08000000000001</v>
      </c>
      <c r="G561" s="1">
        <v>6478.29</v>
      </c>
      <c r="H561" s="1">
        <v>604.47</v>
      </c>
      <c r="I561" s="1">
        <v>1319.52</v>
      </c>
      <c r="J561" s="1">
        <v>14834.85</v>
      </c>
    </row>
    <row r="562" spans="1:10">
      <c r="A562" s="2">
        <v>44298</v>
      </c>
      <c r="B562" s="1">
        <v>862.59</v>
      </c>
      <c r="C562" s="1">
        <v>2800.43</v>
      </c>
      <c r="D562" s="1">
        <v>636.88</v>
      </c>
      <c r="E562" s="1">
        <v>1228.53</v>
      </c>
      <c r="F562" s="1">
        <v>157.11000000000001</v>
      </c>
      <c r="G562" s="1">
        <v>6187.45</v>
      </c>
      <c r="H562" s="1">
        <v>587.96</v>
      </c>
      <c r="I562" s="1">
        <v>1264.1199999999999</v>
      </c>
      <c r="J562" s="1">
        <v>14310.8</v>
      </c>
    </row>
    <row r="563" spans="1:10">
      <c r="A563" s="2">
        <v>44299</v>
      </c>
      <c r="B563" s="1">
        <v>871.91</v>
      </c>
      <c r="C563" s="1">
        <v>2677.51</v>
      </c>
      <c r="D563" s="1">
        <v>652.4</v>
      </c>
      <c r="E563" s="1">
        <v>1203.8900000000001</v>
      </c>
      <c r="F563" s="1">
        <v>159.71</v>
      </c>
      <c r="G563" s="1">
        <v>6467.57</v>
      </c>
      <c r="H563" s="1">
        <v>595.54999999999995</v>
      </c>
      <c r="I563" s="1">
        <v>1290.95</v>
      </c>
      <c r="J563" s="1">
        <v>14504.8</v>
      </c>
    </row>
    <row r="564" spans="1:10">
      <c r="A564" s="2">
        <v>44301</v>
      </c>
      <c r="B564" s="1">
        <v>877.55</v>
      </c>
      <c r="C564" s="1">
        <v>2776.63</v>
      </c>
      <c r="D564" s="1">
        <v>666.26</v>
      </c>
      <c r="E564" s="1">
        <v>1172.52</v>
      </c>
      <c r="F564" s="1">
        <v>158.18</v>
      </c>
      <c r="G564" s="1">
        <v>6304.78</v>
      </c>
      <c r="H564" s="1">
        <v>601.15</v>
      </c>
      <c r="I564" s="1">
        <v>1291.8499999999999</v>
      </c>
      <c r="J564" s="1">
        <v>14581.45</v>
      </c>
    </row>
    <row r="565" spans="1:10">
      <c r="A565" s="2">
        <v>44302</v>
      </c>
      <c r="B565" s="1">
        <v>872.04</v>
      </c>
      <c r="C565" s="1">
        <v>2756.1</v>
      </c>
      <c r="D565" s="1">
        <v>665.58</v>
      </c>
      <c r="E565" s="1">
        <v>1166.49</v>
      </c>
      <c r="F565" s="1">
        <v>159.13999999999999</v>
      </c>
      <c r="G565" s="1">
        <v>6308.43</v>
      </c>
      <c r="H565" s="1">
        <v>613.29999999999995</v>
      </c>
      <c r="I565" s="1">
        <v>1277.28</v>
      </c>
      <c r="J565" s="1">
        <v>14617.85</v>
      </c>
    </row>
    <row r="566" spans="1:10">
      <c r="A566" s="2">
        <v>44305</v>
      </c>
      <c r="B566" s="1">
        <v>858.32</v>
      </c>
      <c r="C566" s="1">
        <v>2727.33</v>
      </c>
      <c r="D566" s="1">
        <v>658.01</v>
      </c>
      <c r="E566" s="1">
        <v>1174.07</v>
      </c>
      <c r="F566" s="1">
        <v>157.34</v>
      </c>
      <c r="G566" s="1">
        <v>6179.05</v>
      </c>
      <c r="H566" s="1">
        <v>608.17999999999995</v>
      </c>
      <c r="I566" s="1">
        <v>1231.51</v>
      </c>
      <c r="J566" s="1">
        <v>14359.45</v>
      </c>
    </row>
    <row r="567" spans="1:10">
      <c r="A567" s="2">
        <v>44306</v>
      </c>
      <c r="B567" s="1">
        <v>858.07</v>
      </c>
      <c r="C567" s="1">
        <v>2712.45</v>
      </c>
      <c r="D567" s="1">
        <v>648.23</v>
      </c>
      <c r="E567" s="1">
        <v>1164.42</v>
      </c>
      <c r="F567" s="1">
        <v>155.77000000000001</v>
      </c>
      <c r="G567" s="1">
        <v>6307.06</v>
      </c>
      <c r="H567" s="1">
        <v>612.45000000000005</v>
      </c>
      <c r="I567" s="1">
        <v>1251.29</v>
      </c>
      <c r="J567" s="1">
        <v>14296.4</v>
      </c>
    </row>
    <row r="568" spans="1:10">
      <c r="A568" s="2">
        <v>44308</v>
      </c>
      <c r="B568" s="1">
        <v>860.44</v>
      </c>
      <c r="C568" s="1">
        <v>2690.24</v>
      </c>
      <c r="D568" s="1">
        <v>662.72</v>
      </c>
      <c r="E568" s="1">
        <v>1164.21</v>
      </c>
      <c r="F568" s="1">
        <v>157.57</v>
      </c>
      <c r="G568" s="1">
        <v>6310.33</v>
      </c>
      <c r="H568" s="1">
        <v>607.51</v>
      </c>
      <c r="I568" s="1">
        <v>1256.28</v>
      </c>
      <c r="J568" s="1">
        <v>14406.15</v>
      </c>
    </row>
    <row r="569" spans="1:10">
      <c r="A569" s="2">
        <v>44309</v>
      </c>
      <c r="B569" s="1">
        <v>859.52</v>
      </c>
      <c r="C569" s="1">
        <v>2682.22</v>
      </c>
      <c r="D569" s="1">
        <v>658.83</v>
      </c>
      <c r="E569" s="1">
        <v>1149.3</v>
      </c>
      <c r="F569" s="1">
        <v>157.15</v>
      </c>
      <c r="G569" s="1">
        <v>6335</v>
      </c>
      <c r="H569" s="1">
        <v>605.61</v>
      </c>
      <c r="I569" s="1">
        <v>1243.21</v>
      </c>
      <c r="J569" s="1">
        <v>14341.35</v>
      </c>
    </row>
    <row r="570" spans="1:10">
      <c r="A570" s="2">
        <v>44312</v>
      </c>
      <c r="B570" s="1">
        <v>874.64</v>
      </c>
      <c r="C570" s="1">
        <v>2674.71</v>
      </c>
      <c r="D570" s="1">
        <v>654.47</v>
      </c>
      <c r="E570" s="1">
        <v>1157.7</v>
      </c>
      <c r="F570" s="1">
        <v>157.11000000000001</v>
      </c>
      <c r="G570" s="1">
        <v>6299.7</v>
      </c>
      <c r="H570" s="1">
        <v>602.53</v>
      </c>
      <c r="I570" s="1">
        <v>1255.43</v>
      </c>
      <c r="J570" s="1">
        <v>14485</v>
      </c>
    </row>
    <row r="571" spans="1:10">
      <c r="A571" s="2">
        <v>44313</v>
      </c>
      <c r="B571" s="1">
        <v>897.57</v>
      </c>
      <c r="C571" s="1">
        <v>2701.62</v>
      </c>
      <c r="D571" s="1">
        <v>670.26</v>
      </c>
      <c r="E571" s="1">
        <v>1161.97</v>
      </c>
      <c r="F571" s="1">
        <v>157.19</v>
      </c>
      <c r="G571" s="1">
        <v>6233.14</v>
      </c>
      <c r="H571" s="1">
        <v>606.85</v>
      </c>
      <c r="I571" s="1">
        <v>1297.48</v>
      </c>
      <c r="J571" s="1">
        <v>14653.05</v>
      </c>
    </row>
    <row r="572" spans="1:10">
      <c r="A572" s="2">
        <v>44314</v>
      </c>
      <c r="B572" s="1">
        <v>901.47</v>
      </c>
      <c r="C572" s="1">
        <v>2694.81</v>
      </c>
      <c r="D572" s="1">
        <v>688.02</v>
      </c>
      <c r="E572" s="1">
        <v>1168.43</v>
      </c>
      <c r="F572" s="1">
        <v>157.26</v>
      </c>
      <c r="G572" s="1">
        <v>6237.93</v>
      </c>
      <c r="H572" s="1">
        <v>610.79</v>
      </c>
      <c r="I572" s="1">
        <v>1293.02</v>
      </c>
      <c r="J572" s="1">
        <v>14864.55</v>
      </c>
    </row>
    <row r="573" spans="1:10">
      <c r="A573" s="2">
        <v>44315</v>
      </c>
      <c r="B573" s="1">
        <v>913.54</v>
      </c>
      <c r="C573" s="1">
        <v>2687.18</v>
      </c>
      <c r="D573" s="1">
        <v>686.01</v>
      </c>
      <c r="E573" s="1">
        <v>1168.73</v>
      </c>
      <c r="F573" s="1">
        <v>156.34</v>
      </c>
      <c r="G573" s="1">
        <v>6230.2</v>
      </c>
      <c r="H573" s="1">
        <v>611.83000000000004</v>
      </c>
      <c r="I573" s="1">
        <v>1276.81</v>
      </c>
      <c r="J573" s="1">
        <v>14894.9</v>
      </c>
    </row>
    <row r="574" spans="1:10">
      <c r="A574" s="2">
        <v>44316</v>
      </c>
      <c r="B574" s="1">
        <v>900.21</v>
      </c>
      <c r="C574" s="1">
        <v>2618.5100000000002</v>
      </c>
      <c r="D574" s="1">
        <v>657.97</v>
      </c>
      <c r="E574" s="1">
        <v>1167.01</v>
      </c>
      <c r="F574" s="1">
        <v>155.04</v>
      </c>
      <c r="G574" s="1">
        <v>6125.82</v>
      </c>
      <c r="H574" s="1">
        <v>621.28</v>
      </c>
      <c r="I574" s="1">
        <v>1259.71</v>
      </c>
      <c r="J574" s="1">
        <v>14631.1</v>
      </c>
    </row>
    <row r="575" spans="1:10">
      <c r="A575" s="2">
        <v>44319</v>
      </c>
      <c r="B575" s="1">
        <v>884.21</v>
      </c>
      <c r="C575" s="1">
        <v>2619.6799999999998</v>
      </c>
      <c r="D575" s="1">
        <v>658.97</v>
      </c>
      <c r="E575" s="1">
        <v>1165.03</v>
      </c>
      <c r="F575" s="1">
        <v>153.78</v>
      </c>
      <c r="G575" s="1">
        <v>6260.75</v>
      </c>
      <c r="H575" s="1">
        <v>625.79</v>
      </c>
      <c r="I575" s="1">
        <v>1261.6300000000001</v>
      </c>
      <c r="J575" s="1">
        <v>14634.15</v>
      </c>
    </row>
    <row r="576" spans="1:10">
      <c r="A576" s="2">
        <v>44320</v>
      </c>
      <c r="B576" s="1">
        <v>865.05</v>
      </c>
      <c r="C576" s="1">
        <v>2630.68</v>
      </c>
      <c r="D576" s="1">
        <v>646.80999999999995</v>
      </c>
      <c r="E576" s="1">
        <v>1145.51</v>
      </c>
      <c r="F576" s="1">
        <v>152.75</v>
      </c>
      <c r="G576" s="1">
        <v>6175.73</v>
      </c>
      <c r="H576" s="1">
        <v>612.45000000000005</v>
      </c>
      <c r="I576" s="1">
        <v>1257.03</v>
      </c>
      <c r="J576" s="1">
        <v>14496.5</v>
      </c>
    </row>
    <row r="577" spans="1:10">
      <c r="A577" s="2">
        <v>44321</v>
      </c>
      <c r="B577" s="1">
        <v>866.63</v>
      </c>
      <c r="C577" s="1">
        <v>2670.31</v>
      </c>
      <c r="D577" s="1">
        <v>653.45000000000005</v>
      </c>
      <c r="E577" s="1">
        <v>1155.94</v>
      </c>
      <c r="F577" s="1">
        <v>154.12</v>
      </c>
      <c r="G577" s="1">
        <v>6253.4</v>
      </c>
      <c r="H577" s="1">
        <v>648.76</v>
      </c>
      <c r="I577" s="1">
        <v>1258.01</v>
      </c>
      <c r="J577" s="1">
        <v>14617.85</v>
      </c>
    </row>
    <row r="578" spans="1:10">
      <c r="A578" s="2">
        <v>44322</v>
      </c>
      <c r="B578" s="1">
        <v>871.55</v>
      </c>
      <c r="C578" s="1">
        <v>2683.9</v>
      </c>
      <c r="D578" s="1">
        <v>652.65</v>
      </c>
      <c r="E578" s="1">
        <v>1173.26</v>
      </c>
      <c r="F578" s="1">
        <v>155.16</v>
      </c>
      <c r="G578" s="1">
        <v>6326.04</v>
      </c>
      <c r="H578" s="1">
        <v>644.96</v>
      </c>
      <c r="I578" s="1">
        <v>1259.19</v>
      </c>
      <c r="J578" s="1">
        <v>14724.8</v>
      </c>
    </row>
    <row r="579" spans="1:10">
      <c r="A579" s="2">
        <v>44323</v>
      </c>
      <c r="B579" s="1">
        <v>871.88</v>
      </c>
      <c r="C579" s="1">
        <v>2702.4</v>
      </c>
      <c r="D579" s="1">
        <v>659.11</v>
      </c>
      <c r="E579" s="1">
        <v>1165.46</v>
      </c>
      <c r="F579" s="1">
        <v>157.15</v>
      </c>
      <c r="G579" s="1">
        <v>6360.58</v>
      </c>
      <c r="H579" s="1">
        <v>645.01</v>
      </c>
      <c r="I579" s="1">
        <v>1261.82</v>
      </c>
      <c r="J579" s="1">
        <v>14823.15</v>
      </c>
    </row>
    <row r="580" spans="1:10">
      <c r="A580" s="2">
        <v>44326</v>
      </c>
      <c r="B580" s="1">
        <v>869.38</v>
      </c>
      <c r="C580" s="1">
        <v>2713.27</v>
      </c>
      <c r="D580" s="1">
        <v>661.48</v>
      </c>
      <c r="E580" s="1">
        <v>1154.26</v>
      </c>
      <c r="F580" s="1">
        <v>157.30000000000001</v>
      </c>
      <c r="G580" s="1">
        <v>6418.41</v>
      </c>
      <c r="H580" s="1">
        <v>662.81</v>
      </c>
      <c r="I580" s="1">
        <v>1310.97</v>
      </c>
      <c r="J580" s="1">
        <v>14942.35</v>
      </c>
    </row>
    <row r="581" spans="1:10">
      <c r="A581" s="2">
        <v>44327</v>
      </c>
      <c r="B581" s="1">
        <v>872.52</v>
      </c>
      <c r="C581" s="1">
        <v>2693.52</v>
      </c>
      <c r="D581" s="1">
        <v>653.89</v>
      </c>
      <c r="E581" s="1">
        <v>1146.5899999999999</v>
      </c>
      <c r="F581" s="1">
        <v>156.11000000000001</v>
      </c>
      <c r="G581" s="1">
        <v>6392.46</v>
      </c>
      <c r="H581" s="1">
        <v>672.21</v>
      </c>
      <c r="I581" s="1">
        <v>1300.26</v>
      </c>
      <c r="J581" s="1">
        <v>14850.75</v>
      </c>
    </row>
    <row r="582" spans="1:10">
      <c r="A582" s="2">
        <v>44328</v>
      </c>
      <c r="B582" s="1">
        <v>863.49</v>
      </c>
      <c r="C582" s="1">
        <v>2663.33</v>
      </c>
      <c r="D582" s="1">
        <v>652</v>
      </c>
      <c r="E582" s="1">
        <v>1143.44</v>
      </c>
      <c r="F582" s="1">
        <v>155.54</v>
      </c>
      <c r="G582" s="1">
        <v>6469.23</v>
      </c>
      <c r="H582" s="1">
        <v>667.22</v>
      </c>
      <c r="I582" s="1">
        <v>1301.8499999999999</v>
      </c>
      <c r="J582" s="1">
        <v>14696.5</v>
      </c>
    </row>
    <row r="583" spans="1:10">
      <c r="A583" s="2">
        <v>44330</v>
      </c>
      <c r="B583" s="1">
        <v>874.39</v>
      </c>
      <c r="C583" s="1">
        <v>2632.19</v>
      </c>
      <c r="D583" s="1">
        <v>646.11</v>
      </c>
      <c r="E583" s="1">
        <v>1134.31</v>
      </c>
      <c r="F583" s="1">
        <v>162.43</v>
      </c>
      <c r="G583" s="1">
        <v>6392.22</v>
      </c>
      <c r="H583" s="1">
        <v>656.4</v>
      </c>
      <c r="I583" s="1">
        <v>1330.24</v>
      </c>
      <c r="J583" s="1">
        <v>14677.8</v>
      </c>
    </row>
    <row r="584" spans="1:10">
      <c r="A584" s="2">
        <v>44333</v>
      </c>
      <c r="B584" s="1">
        <v>884.79</v>
      </c>
      <c r="C584" s="1">
        <v>2647.93</v>
      </c>
      <c r="D584" s="1">
        <v>670.99</v>
      </c>
      <c r="E584" s="1">
        <v>1145.51</v>
      </c>
      <c r="F584" s="1">
        <v>162.69999999999999</v>
      </c>
      <c r="G584" s="1">
        <v>6374.62</v>
      </c>
      <c r="H584" s="1">
        <v>652.32000000000005</v>
      </c>
      <c r="I584" s="1">
        <v>1303.22</v>
      </c>
      <c r="J584" s="1">
        <v>14923.15</v>
      </c>
    </row>
    <row r="585" spans="1:10">
      <c r="A585" s="2">
        <v>44334</v>
      </c>
      <c r="B585" s="1">
        <v>897.25</v>
      </c>
      <c r="C585" s="1">
        <v>2664.36</v>
      </c>
      <c r="D585" s="1">
        <v>687.97</v>
      </c>
      <c r="E585" s="1">
        <v>1154.6400000000001</v>
      </c>
      <c r="F585" s="1">
        <v>160.74</v>
      </c>
      <c r="G585" s="1">
        <v>6463.11</v>
      </c>
      <c r="H585" s="1">
        <v>655.79</v>
      </c>
      <c r="I585" s="1">
        <v>1331.93</v>
      </c>
      <c r="J585" s="1">
        <v>15108.1</v>
      </c>
    </row>
    <row r="586" spans="1:10">
      <c r="A586" s="2">
        <v>44335</v>
      </c>
      <c r="B586" s="1">
        <v>901.36</v>
      </c>
      <c r="C586" s="1">
        <v>2658.49</v>
      </c>
      <c r="D586" s="1">
        <v>679.35</v>
      </c>
      <c r="E586" s="1">
        <v>1152.06</v>
      </c>
      <c r="F586" s="1">
        <v>158.97999999999999</v>
      </c>
      <c r="G586" s="1">
        <v>6429.7</v>
      </c>
      <c r="H586" s="1">
        <v>667.75</v>
      </c>
      <c r="I586" s="1">
        <v>1318.91</v>
      </c>
      <c r="J586" s="1">
        <v>15030.15</v>
      </c>
    </row>
    <row r="587" spans="1:10">
      <c r="A587" s="2">
        <v>44336</v>
      </c>
      <c r="B587" s="1">
        <v>896.1</v>
      </c>
      <c r="C587" s="1">
        <v>2639.52</v>
      </c>
      <c r="D587" s="1">
        <v>667.52</v>
      </c>
      <c r="E587" s="1">
        <v>1154.04</v>
      </c>
      <c r="F587" s="1">
        <v>158.41</v>
      </c>
      <c r="G587" s="1">
        <v>6393.6</v>
      </c>
      <c r="H587" s="1">
        <v>652.04</v>
      </c>
      <c r="I587" s="1">
        <v>1324.83</v>
      </c>
      <c r="J587" s="1">
        <v>14906.05</v>
      </c>
    </row>
    <row r="588" spans="1:10">
      <c r="A588" s="2">
        <v>44337</v>
      </c>
      <c r="B588" s="1">
        <v>903.84</v>
      </c>
      <c r="C588" s="1">
        <v>2657.2</v>
      </c>
      <c r="D588" s="1">
        <v>697.57</v>
      </c>
      <c r="E588" s="1">
        <v>1167.1400000000001</v>
      </c>
      <c r="F588" s="1">
        <v>159.97999999999999</v>
      </c>
      <c r="G588" s="1">
        <v>6466.47</v>
      </c>
      <c r="H588" s="1">
        <v>655.41</v>
      </c>
      <c r="I588" s="1">
        <v>1332.63</v>
      </c>
      <c r="J588" s="1">
        <v>15175.3</v>
      </c>
    </row>
    <row r="589" spans="1:10">
      <c r="A589" s="2">
        <v>44340</v>
      </c>
      <c r="B589" s="1">
        <v>896.21</v>
      </c>
      <c r="C589" s="1">
        <v>2658.06</v>
      </c>
      <c r="D589" s="1">
        <v>703.46</v>
      </c>
      <c r="E589" s="1">
        <v>1161.58</v>
      </c>
      <c r="F589" s="1">
        <v>161.85</v>
      </c>
      <c r="G589" s="1">
        <v>6520.51</v>
      </c>
      <c r="H589" s="1">
        <v>655.93</v>
      </c>
      <c r="I589" s="1">
        <v>1356.31</v>
      </c>
      <c r="J589" s="1">
        <v>15197.7</v>
      </c>
    </row>
    <row r="590" spans="1:10">
      <c r="A590" s="2">
        <v>44341</v>
      </c>
      <c r="B590" s="1">
        <v>886.06</v>
      </c>
      <c r="C590" s="1">
        <v>2699.24</v>
      </c>
      <c r="D590" s="1">
        <v>689.02</v>
      </c>
      <c r="E590" s="1">
        <v>1173.26</v>
      </c>
      <c r="F590" s="1">
        <v>161.38999999999999</v>
      </c>
      <c r="G590" s="1">
        <v>6558.66</v>
      </c>
      <c r="H590" s="1">
        <v>660.82</v>
      </c>
      <c r="I590" s="1">
        <v>1363.55</v>
      </c>
      <c r="J590" s="1">
        <v>15208.45</v>
      </c>
    </row>
    <row r="591" spans="1:10">
      <c r="A591" s="2">
        <v>44342</v>
      </c>
      <c r="B591" s="1">
        <v>889.17</v>
      </c>
      <c r="C591" s="1">
        <v>2737.81</v>
      </c>
      <c r="D591" s="1">
        <v>688.13</v>
      </c>
      <c r="E591" s="1">
        <v>1203.97</v>
      </c>
      <c r="F591" s="1">
        <v>161.16</v>
      </c>
      <c r="G591" s="1">
        <v>6674.9</v>
      </c>
      <c r="H591" s="1">
        <v>668.13</v>
      </c>
      <c r="I591" s="1">
        <v>1384.18</v>
      </c>
      <c r="J591" s="1">
        <v>15301.45</v>
      </c>
    </row>
    <row r="592" spans="1:10">
      <c r="A592" s="2">
        <v>44343</v>
      </c>
      <c r="B592" s="1">
        <v>891.9</v>
      </c>
      <c r="C592" s="1">
        <v>2756.45</v>
      </c>
      <c r="D592" s="1">
        <v>690.74</v>
      </c>
      <c r="E592" s="1">
        <v>1208.28</v>
      </c>
      <c r="F592" s="1">
        <v>161.59</v>
      </c>
      <c r="G592" s="1">
        <v>6612.84</v>
      </c>
      <c r="H592" s="1">
        <v>664.04</v>
      </c>
      <c r="I592" s="1">
        <v>1393.53</v>
      </c>
      <c r="J592" s="1">
        <v>15337.85</v>
      </c>
    </row>
    <row r="593" spans="1:10">
      <c r="A593" s="2">
        <v>44344</v>
      </c>
      <c r="B593" s="1">
        <v>945.48</v>
      </c>
      <c r="C593" s="1">
        <v>2724.89</v>
      </c>
      <c r="D593" s="1">
        <v>700.43</v>
      </c>
      <c r="E593" s="1">
        <v>1210.7</v>
      </c>
      <c r="F593" s="1">
        <v>162.91999999999999</v>
      </c>
      <c r="G593" s="1">
        <v>6613.89</v>
      </c>
      <c r="H593" s="1">
        <v>635.79999999999995</v>
      </c>
      <c r="I593" s="1">
        <v>1389.06</v>
      </c>
      <c r="J593" s="1">
        <v>15435.65</v>
      </c>
    </row>
    <row r="594" spans="1:10">
      <c r="A594" s="2">
        <v>44347</v>
      </c>
      <c r="B594" s="1">
        <v>975.04</v>
      </c>
      <c r="C594" s="1">
        <v>2738.37</v>
      </c>
      <c r="D594" s="1">
        <v>706.21</v>
      </c>
      <c r="E594" s="1">
        <v>1213.92</v>
      </c>
      <c r="F594" s="1">
        <v>165.76</v>
      </c>
      <c r="G594" s="1">
        <v>6724.25</v>
      </c>
      <c r="H594" s="1">
        <v>634.42999999999995</v>
      </c>
      <c r="I594" s="1">
        <v>1379.29</v>
      </c>
      <c r="J594" s="1">
        <v>15582.8</v>
      </c>
    </row>
    <row r="595" spans="1:10">
      <c r="A595" s="2">
        <v>44348</v>
      </c>
      <c r="B595" s="1">
        <v>978.92</v>
      </c>
      <c r="C595" s="1">
        <v>2733.04</v>
      </c>
      <c r="D595" s="1">
        <v>704.27</v>
      </c>
      <c r="E595" s="1">
        <v>1208.21</v>
      </c>
      <c r="F595" s="1">
        <v>164.72</v>
      </c>
      <c r="G595" s="1">
        <v>6728.85</v>
      </c>
      <c r="H595" s="1">
        <v>637.04</v>
      </c>
      <c r="I595" s="1">
        <v>1385.82</v>
      </c>
      <c r="J595" s="1">
        <v>15574.85</v>
      </c>
    </row>
    <row r="596" spans="1:10">
      <c r="A596" s="2">
        <v>44349</v>
      </c>
      <c r="B596" s="1">
        <v>993.52</v>
      </c>
      <c r="C596" s="1">
        <v>2712.63</v>
      </c>
      <c r="D596" s="1">
        <v>700.69</v>
      </c>
      <c r="E596" s="1">
        <v>1200.77</v>
      </c>
      <c r="F596" s="1">
        <v>159.94</v>
      </c>
      <c r="G596" s="1">
        <v>6817.62</v>
      </c>
      <c r="H596" s="1">
        <v>643.11</v>
      </c>
      <c r="I596" s="1">
        <v>1382.44</v>
      </c>
      <c r="J596" s="1">
        <v>15576.2</v>
      </c>
    </row>
    <row r="597" spans="1:10">
      <c r="A597" s="2">
        <v>44350</v>
      </c>
      <c r="B597" s="1">
        <v>997.31</v>
      </c>
      <c r="C597" s="1">
        <v>2722.86</v>
      </c>
      <c r="D597" s="1">
        <v>708.4</v>
      </c>
      <c r="E597" s="1">
        <v>1210.3499999999999</v>
      </c>
      <c r="F597" s="1">
        <v>159.97999999999999</v>
      </c>
      <c r="G597" s="1">
        <v>6841.15</v>
      </c>
      <c r="H597" s="1">
        <v>641.26</v>
      </c>
      <c r="I597" s="1">
        <v>1419.84</v>
      </c>
      <c r="J597" s="1">
        <v>15690.35</v>
      </c>
    </row>
    <row r="598" spans="1:10">
      <c r="A598" s="2">
        <v>44351</v>
      </c>
      <c r="B598" s="1">
        <v>988.67</v>
      </c>
      <c r="C598" s="1">
        <v>2725.02</v>
      </c>
      <c r="D598" s="1">
        <v>699.27</v>
      </c>
      <c r="E598" s="1">
        <v>1206.8599999999999</v>
      </c>
      <c r="F598" s="1">
        <v>159.75</v>
      </c>
      <c r="G598" s="1">
        <v>6846.09</v>
      </c>
      <c r="H598" s="1">
        <v>639.79</v>
      </c>
      <c r="I598" s="1">
        <v>1444.93</v>
      </c>
      <c r="J598" s="1">
        <v>15670.25</v>
      </c>
    </row>
    <row r="599" spans="1:10">
      <c r="A599" s="2">
        <v>44354</v>
      </c>
      <c r="B599" s="1">
        <v>1005.32</v>
      </c>
      <c r="C599" s="1">
        <v>2759.22</v>
      </c>
      <c r="D599" s="1">
        <v>698.75</v>
      </c>
      <c r="E599" s="1">
        <v>1210.3499999999999</v>
      </c>
      <c r="F599" s="1">
        <v>161.82</v>
      </c>
      <c r="G599" s="1">
        <v>6903.92</v>
      </c>
      <c r="H599" s="1">
        <v>641.12</v>
      </c>
      <c r="I599" s="1">
        <v>1463.96</v>
      </c>
      <c r="J599" s="1">
        <v>15751.65</v>
      </c>
    </row>
    <row r="600" spans="1:10">
      <c r="A600" s="2">
        <v>44355</v>
      </c>
      <c r="B600" s="1">
        <v>999.55</v>
      </c>
      <c r="C600" s="1">
        <v>2773.91</v>
      </c>
      <c r="D600" s="1">
        <v>690.93</v>
      </c>
      <c r="E600" s="1">
        <v>1230.6400000000001</v>
      </c>
      <c r="F600" s="1">
        <v>163.5</v>
      </c>
      <c r="G600" s="1">
        <v>6961.9</v>
      </c>
      <c r="H600" s="1">
        <v>644.35</v>
      </c>
      <c r="I600" s="1">
        <v>1455.83</v>
      </c>
      <c r="J600" s="1">
        <v>15740.1</v>
      </c>
    </row>
    <row r="601" spans="1:10">
      <c r="A601" s="2">
        <v>44356</v>
      </c>
      <c r="B601" s="1">
        <v>981.67</v>
      </c>
      <c r="C601" s="1">
        <v>2774</v>
      </c>
      <c r="D601" s="1">
        <v>689.65</v>
      </c>
      <c r="E601" s="1">
        <v>1232.69</v>
      </c>
      <c r="F601" s="1">
        <v>162.62</v>
      </c>
      <c r="G601" s="1">
        <v>6869.14</v>
      </c>
      <c r="H601" s="1">
        <v>638.74</v>
      </c>
      <c r="I601" s="1">
        <v>1427.78</v>
      </c>
      <c r="J601" s="1">
        <v>15635.35</v>
      </c>
    </row>
    <row r="602" spans="1:10">
      <c r="A602" s="2">
        <v>44357</v>
      </c>
      <c r="B602" s="1">
        <v>985.28</v>
      </c>
      <c r="C602" s="1">
        <v>2788.34</v>
      </c>
      <c r="D602" s="1">
        <v>690</v>
      </c>
      <c r="E602" s="1">
        <v>1240.53</v>
      </c>
      <c r="F602" s="1">
        <v>164.8</v>
      </c>
      <c r="G602" s="1">
        <v>6832.04</v>
      </c>
      <c r="H602" s="1">
        <v>641.78</v>
      </c>
      <c r="I602" s="1">
        <v>1428.16</v>
      </c>
      <c r="J602" s="1">
        <v>15737.75</v>
      </c>
    </row>
    <row r="603" spans="1:10">
      <c r="A603" s="2">
        <v>44358</v>
      </c>
      <c r="B603" s="1">
        <v>1002.38</v>
      </c>
      <c r="C603" s="1">
        <v>2837.75</v>
      </c>
      <c r="D603" s="1">
        <v>692.46</v>
      </c>
      <c r="E603" s="1">
        <v>1260.21</v>
      </c>
      <c r="F603" s="1">
        <v>163.69999999999999</v>
      </c>
      <c r="G603" s="1">
        <v>6854.72</v>
      </c>
      <c r="H603" s="1">
        <v>646.77</v>
      </c>
      <c r="I603" s="1">
        <v>1412.89</v>
      </c>
      <c r="J603" s="1">
        <v>15799.35</v>
      </c>
    </row>
    <row r="604" spans="1:10">
      <c r="A604" s="2">
        <v>44361</v>
      </c>
      <c r="B604" s="1">
        <v>1016.76</v>
      </c>
      <c r="C604" s="1">
        <v>2839.96</v>
      </c>
      <c r="D604" s="1">
        <v>689.25</v>
      </c>
      <c r="E604" s="1">
        <v>1273.19</v>
      </c>
      <c r="F604" s="1">
        <v>163.22999999999999</v>
      </c>
      <c r="G604" s="1">
        <v>6811.12</v>
      </c>
      <c r="H604" s="1">
        <v>642.78</v>
      </c>
      <c r="I604" s="1">
        <v>1424.45</v>
      </c>
      <c r="J604" s="1">
        <v>15811.85</v>
      </c>
    </row>
    <row r="605" spans="1:10">
      <c r="A605" s="2">
        <v>44362</v>
      </c>
      <c r="B605" s="1">
        <v>1019.07</v>
      </c>
      <c r="C605" s="1">
        <v>2828.17</v>
      </c>
      <c r="D605" s="1">
        <v>694.28</v>
      </c>
      <c r="E605" s="1">
        <v>1283.73</v>
      </c>
      <c r="F605" s="1">
        <v>163.03</v>
      </c>
      <c r="G605" s="1">
        <v>6800.11</v>
      </c>
      <c r="H605" s="1">
        <v>639.08000000000004</v>
      </c>
      <c r="I605" s="1">
        <v>1419.79</v>
      </c>
      <c r="J605" s="1">
        <v>15869.25</v>
      </c>
    </row>
    <row r="606" spans="1:10">
      <c r="A606" s="2">
        <v>44363</v>
      </c>
      <c r="B606" s="1">
        <v>1001.67</v>
      </c>
      <c r="C606" s="1">
        <v>2838.23</v>
      </c>
      <c r="D606" s="1">
        <v>691.65</v>
      </c>
      <c r="E606" s="1">
        <v>1289.56</v>
      </c>
      <c r="F606" s="1">
        <v>163.66</v>
      </c>
      <c r="G606" s="1">
        <v>6750.77</v>
      </c>
      <c r="H606" s="1">
        <v>634.66</v>
      </c>
      <c r="I606" s="1">
        <v>1401.09</v>
      </c>
      <c r="J606" s="1">
        <v>15767.55</v>
      </c>
    </row>
    <row r="607" spans="1:10">
      <c r="A607" s="2">
        <v>44364</v>
      </c>
      <c r="B607" s="1">
        <v>1003.51</v>
      </c>
      <c r="C607" s="1">
        <v>2875.85</v>
      </c>
      <c r="D607" s="1">
        <v>683.03</v>
      </c>
      <c r="E607" s="1">
        <v>1302.3699999999999</v>
      </c>
      <c r="F607" s="1">
        <v>161.93</v>
      </c>
      <c r="G607" s="1">
        <v>6613.27</v>
      </c>
      <c r="H607" s="1">
        <v>631.34</v>
      </c>
      <c r="I607" s="1">
        <v>1397.95</v>
      </c>
      <c r="J607" s="1">
        <v>15691.4</v>
      </c>
    </row>
    <row r="608" spans="1:10">
      <c r="A608" s="2">
        <v>44365</v>
      </c>
      <c r="B608" s="1">
        <v>1008.04</v>
      </c>
      <c r="C608" s="1">
        <v>2858.12</v>
      </c>
      <c r="D608" s="1">
        <v>689.41</v>
      </c>
      <c r="E608" s="1">
        <v>1309.33</v>
      </c>
      <c r="F608" s="1">
        <v>161.06</v>
      </c>
      <c r="G608" s="1">
        <v>6603.78</v>
      </c>
      <c r="H608" s="1">
        <v>634.62</v>
      </c>
      <c r="I608" s="1">
        <v>1387.09</v>
      </c>
      <c r="J608" s="1">
        <v>15683.35</v>
      </c>
    </row>
    <row r="609" spans="1:10">
      <c r="A609" s="2">
        <v>44368</v>
      </c>
      <c r="B609" s="1">
        <v>1013.29</v>
      </c>
      <c r="C609" s="1">
        <v>2837.15</v>
      </c>
      <c r="D609" s="1">
        <v>693.56</v>
      </c>
      <c r="E609" s="1">
        <v>1306.72</v>
      </c>
      <c r="F609" s="1">
        <v>160.97999999999999</v>
      </c>
      <c r="G609" s="1">
        <v>6547.37</v>
      </c>
      <c r="H609" s="1">
        <v>637.32000000000005</v>
      </c>
      <c r="I609" s="1">
        <v>1378.68</v>
      </c>
      <c r="J609" s="1">
        <v>15746.5</v>
      </c>
    </row>
    <row r="610" spans="1:10">
      <c r="A610" s="2">
        <v>44369</v>
      </c>
      <c r="B610" s="1">
        <v>1008.08</v>
      </c>
      <c r="C610" s="1">
        <v>2861.5</v>
      </c>
      <c r="D610" s="1">
        <v>691.28</v>
      </c>
      <c r="E610" s="1">
        <v>1316.78</v>
      </c>
      <c r="F610" s="1">
        <v>161.49</v>
      </c>
      <c r="G610" s="1">
        <v>6894.19</v>
      </c>
      <c r="H610" s="1">
        <v>633</v>
      </c>
      <c r="I610" s="1">
        <v>1408.89</v>
      </c>
      <c r="J610" s="1">
        <v>15772.75</v>
      </c>
    </row>
    <row r="611" spans="1:10">
      <c r="A611" s="2">
        <v>44370</v>
      </c>
      <c r="B611" s="1">
        <v>998.84</v>
      </c>
      <c r="C611" s="1">
        <v>2827</v>
      </c>
      <c r="D611" s="1">
        <v>692.07</v>
      </c>
      <c r="E611" s="1">
        <v>1309.2</v>
      </c>
      <c r="F611" s="1">
        <v>160.59</v>
      </c>
      <c r="G611" s="1">
        <v>7052.95</v>
      </c>
      <c r="H611" s="1">
        <v>631.53</v>
      </c>
      <c r="I611" s="1">
        <v>1390.15</v>
      </c>
      <c r="J611" s="1">
        <v>15686.95</v>
      </c>
    </row>
    <row r="612" spans="1:10">
      <c r="A612" s="2">
        <v>44371</v>
      </c>
      <c r="B612" s="1">
        <v>975.36</v>
      </c>
      <c r="C612" s="1">
        <v>2924.26</v>
      </c>
      <c r="D612" s="1">
        <v>701.74</v>
      </c>
      <c r="E612" s="1">
        <v>1358.02</v>
      </c>
      <c r="F612" s="1">
        <v>160.04</v>
      </c>
      <c r="G612" s="1">
        <v>7142.86</v>
      </c>
      <c r="H612" s="1">
        <v>631.1</v>
      </c>
      <c r="I612" s="1">
        <v>1413.45</v>
      </c>
      <c r="J612" s="1">
        <v>15790.45</v>
      </c>
    </row>
    <row r="613" spans="1:10">
      <c r="A613" s="2">
        <v>44372</v>
      </c>
      <c r="B613" s="1">
        <v>953.14</v>
      </c>
      <c r="C613" s="1">
        <v>2930.5</v>
      </c>
      <c r="D613" s="1">
        <v>705.86</v>
      </c>
      <c r="E613" s="1">
        <v>1371.09</v>
      </c>
      <c r="F613" s="1">
        <v>161.44999999999999</v>
      </c>
      <c r="G613" s="1">
        <v>7258.2</v>
      </c>
      <c r="H613" s="1">
        <v>638.17999999999995</v>
      </c>
      <c r="I613" s="1">
        <v>1432.06</v>
      </c>
      <c r="J613" s="1">
        <v>15860.35</v>
      </c>
    </row>
    <row r="614" spans="1:10">
      <c r="A614" s="2">
        <v>44375</v>
      </c>
      <c r="B614" s="1">
        <v>944.79</v>
      </c>
      <c r="C614" s="1">
        <v>2892.32</v>
      </c>
      <c r="D614" s="1">
        <v>702.71</v>
      </c>
      <c r="E614" s="1">
        <v>1368.99</v>
      </c>
      <c r="F614" s="1">
        <v>160.31</v>
      </c>
      <c r="G614" s="1">
        <v>7208.14</v>
      </c>
      <c r="H614" s="1">
        <v>642.02</v>
      </c>
      <c r="I614" s="1">
        <v>1423.22</v>
      </c>
      <c r="J614" s="1">
        <v>15814.7</v>
      </c>
    </row>
    <row r="615" spans="1:10">
      <c r="A615" s="2">
        <v>44376</v>
      </c>
      <c r="B615" s="1">
        <v>945.6</v>
      </c>
      <c r="C615" s="1">
        <v>2895.87</v>
      </c>
      <c r="D615" s="1">
        <v>702.81</v>
      </c>
      <c r="E615" s="1">
        <v>1361.37</v>
      </c>
      <c r="F615" s="1">
        <v>160.08000000000001</v>
      </c>
      <c r="G615" s="1">
        <v>7104.95</v>
      </c>
      <c r="H615" s="1">
        <v>643.25</v>
      </c>
      <c r="I615" s="1">
        <v>1419.89</v>
      </c>
      <c r="J615" s="1">
        <v>15748.45</v>
      </c>
    </row>
    <row r="616" spans="1:10">
      <c r="A616" s="2">
        <v>44377</v>
      </c>
      <c r="B616" s="1">
        <v>955.95</v>
      </c>
      <c r="C616" s="1">
        <v>2900.12</v>
      </c>
      <c r="D616" s="1">
        <v>700.87</v>
      </c>
      <c r="E616" s="1">
        <v>1376.83</v>
      </c>
      <c r="F616" s="1">
        <v>159.6</v>
      </c>
      <c r="G616" s="1">
        <v>7131.9</v>
      </c>
      <c r="H616" s="1">
        <v>641.21</v>
      </c>
      <c r="I616" s="1">
        <v>1410.16</v>
      </c>
      <c r="J616" s="1">
        <v>15721.5</v>
      </c>
    </row>
    <row r="617" spans="1:10">
      <c r="A617" s="2">
        <v>44378</v>
      </c>
      <c r="B617" s="1">
        <v>950.2</v>
      </c>
      <c r="C617" s="1">
        <v>2896.44</v>
      </c>
      <c r="D617" s="1">
        <v>695.65</v>
      </c>
      <c r="E617" s="1">
        <v>1359.07</v>
      </c>
      <c r="F617" s="1">
        <v>159.84</v>
      </c>
      <c r="G617" s="1">
        <v>7196.9</v>
      </c>
      <c r="H617" s="1">
        <v>649.47</v>
      </c>
      <c r="I617" s="1">
        <v>1402.41</v>
      </c>
      <c r="J617" s="1">
        <v>15680</v>
      </c>
    </row>
    <row r="618" spans="1:10">
      <c r="A618" s="2">
        <v>44379</v>
      </c>
      <c r="B618" s="1">
        <v>964.28</v>
      </c>
      <c r="C618" s="1">
        <v>2882.52</v>
      </c>
      <c r="D618" s="1">
        <v>692.68</v>
      </c>
      <c r="E618" s="1">
        <v>1365.51</v>
      </c>
      <c r="F618" s="1">
        <v>159.37</v>
      </c>
      <c r="G618" s="1">
        <v>7186.89</v>
      </c>
      <c r="H618" s="1">
        <v>646.72</v>
      </c>
      <c r="I618" s="1">
        <v>1396.16</v>
      </c>
      <c r="J618" s="1">
        <v>15722.2</v>
      </c>
    </row>
    <row r="619" spans="1:10">
      <c r="A619" s="2">
        <v>44382</v>
      </c>
      <c r="B619" s="1">
        <v>973.86</v>
      </c>
      <c r="C619" s="1">
        <v>2878.67</v>
      </c>
      <c r="D619" s="1">
        <v>699.72</v>
      </c>
      <c r="E619" s="1">
        <v>1375.22</v>
      </c>
      <c r="F619" s="1">
        <v>160.35</v>
      </c>
      <c r="G619" s="1">
        <v>7211.18</v>
      </c>
      <c r="H619" s="1">
        <v>645.72</v>
      </c>
      <c r="I619" s="1">
        <v>1417.12</v>
      </c>
      <c r="J619" s="1">
        <v>15834.35</v>
      </c>
    </row>
    <row r="620" spans="1:10">
      <c r="A620" s="2">
        <v>44383</v>
      </c>
      <c r="B620" s="1">
        <v>962.36</v>
      </c>
      <c r="C620" s="1">
        <v>2827.78</v>
      </c>
      <c r="D620" s="1">
        <v>718.08</v>
      </c>
      <c r="E620" s="1">
        <v>1360.63</v>
      </c>
      <c r="F620" s="1">
        <v>159.44999999999999</v>
      </c>
      <c r="G620" s="1">
        <v>7131</v>
      </c>
      <c r="H620" s="1">
        <v>639.12</v>
      </c>
      <c r="I620" s="1">
        <v>1414.81</v>
      </c>
      <c r="J620" s="1">
        <v>15818.25</v>
      </c>
    </row>
    <row r="621" spans="1:10">
      <c r="A621" s="2">
        <v>44384</v>
      </c>
      <c r="B621" s="1">
        <v>955.68</v>
      </c>
      <c r="C621" s="1">
        <v>2838.75</v>
      </c>
      <c r="D621" s="1">
        <v>720.33</v>
      </c>
      <c r="E621" s="1">
        <v>1362.72</v>
      </c>
      <c r="F621" s="1">
        <v>160.43</v>
      </c>
      <c r="G621" s="1">
        <v>7068.79</v>
      </c>
      <c r="H621" s="1">
        <v>645.63</v>
      </c>
      <c r="I621" s="1">
        <v>1425.1</v>
      </c>
      <c r="J621" s="1">
        <v>15879.65</v>
      </c>
    </row>
    <row r="622" spans="1:10">
      <c r="A622" s="2">
        <v>44385</v>
      </c>
      <c r="B622" s="1">
        <v>947.78</v>
      </c>
      <c r="C622" s="1">
        <v>2824.49</v>
      </c>
      <c r="D622" s="1">
        <v>711.42</v>
      </c>
      <c r="E622" s="1">
        <v>1359.37</v>
      </c>
      <c r="F622" s="1">
        <v>159.05000000000001</v>
      </c>
      <c r="G622" s="1">
        <v>7023.06</v>
      </c>
      <c r="H622" s="1">
        <v>633.1</v>
      </c>
      <c r="I622" s="1">
        <v>1410.3</v>
      </c>
      <c r="J622" s="1">
        <v>15727.9</v>
      </c>
    </row>
    <row r="623" spans="1:10">
      <c r="A623" s="2">
        <v>44386</v>
      </c>
      <c r="B623" s="1">
        <v>938.08</v>
      </c>
      <c r="C623" s="1">
        <v>2780.85</v>
      </c>
      <c r="D623" s="1">
        <v>702.78</v>
      </c>
      <c r="E623" s="1">
        <v>1361.24</v>
      </c>
      <c r="F623" s="1">
        <v>158.54</v>
      </c>
      <c r="G623" s="1">
        <v>7046.3</v>
      </c>
      <c r="H623" s="1">
        <v>634.04999999999995</v>
      </c>
      <c r="I623" s="1">
        <v>1409.27</v>
      </c>
      <c r="J623" s="1">
        <v>15689.8</v>
      </c>
    </row>
    <row r="624" spans="1:10">
      <c r="A624" s="2">
        <v>44389</v>
      </c>
      <c r="B624" s="1">
        <v>943.93</v>
      </c>
      <c r="C624" s="1">
        <v>2767.8</v>
      </c>
      <c r="D624" s="1">
        <v>695.77</v>
      </c>
      <c r="E624" s="1">
        <v>1348.13</v>
      </c>
      <c r="F624" s="1">
        <v>158.34</v>
      </c>
      <c r="G624" s="1">
        <v>7088.44</v>
      </c>
      <c r="H624" s="1">
        <v>634.66</v>
      </c>
      <c r="I624" s="1">
        <v>1410.35</v>
      </c>
      <c r="J624" s="1">
        <v>15692.6</v>
      </c>
    </row>
    <row r="625" spans="1:10">
      <c r="A625" s="2">
        <v>44390</v>
      </c>
      <c r="B625" s="1">
        <v>950.99</v>
      </c>
      <c r="C625" s="1">
        <v>2762.99</v>
      </c>
      <c r="D625" s="1">
        <v>702.71</v>
      </c>
      <c r="E625" s="1">
        <v>1345.61</v>
      </c>
      <c r="F625" s="1">
        <v>158.93</v>
      </c>
      <c r="G625" s="1">
        <v>7050.72</v>
      </c>
      <c r="H625" s="1">
        <v>648.38</v>
      </c>
      <c r="I625" s="1">
        <v>1422.43</v>
      </c>
      <c r="J625" s="1">
        <v>15812.35</v>
      </c>
    </row>
    <row r="626" spans="1:10">
      <c r="A626" s="2">
        <v>44391</v>
      </c>
      <c r="B626" s="1">
        <v>944.79</v>
      </c>
      <c r="C626" s="1">
        <v>2786.39</v>
      </c>
      <c r="D626" s="1">
        <v>701.45</v>
      </c>
      <c r="E626" s="1">
        <v>1373.44</v>
      </c>
      <c r="F626" s="1">
        <v>160.71</v>
      </c>
      <c r="G626" s="1">
        <v>6952.41</v>
      </c>
      <c r="H626" s="1">
        <v>651.17999999999995</v>
      </c>
      <c r="I626" s="1">
        <v>1451.65</v>
      </c>
      <c r="J626" s="1">
        <v>15853.95</v>
      </c>
    </row>
    <row r="627" spans="1:10">
      <c r="A627" s="2">
        <v>44392</v>
      </c>
      <c r="B627" s="1">
        <v>943.13</v>
      </c>
      <c r="C627" s="1">
        <v>2782.4</v>
      </c>
      <c r="D627" s="1">
        <v>711.53</v>
      </c>
      <c r="E627" s="1">
        <v>1376.83</v>
      </c>
      <c r="F627" s="1">
        <v>162.4</v>
      </c>
      <c r="G627" s="1">
        <v>6933.67</v>
      </c>
      <c r="H627" s="1">
        <v>648.38</v>
      </c>
      <c r="I627" s="1">
        <v>1512.41</v>
      </c>
      <c r="J627" s="1">
        <v>15924.2</v>
      </c>
    </row>
    <row r="628" spans="1:10">
      <c r="A628" s="2">
        <v>44393</v>
      </c>
      <c r="B628" s="1">
        <v>956.74</v>
      </c>
      <c r="C628" s="1">
        <v>2775.32</v>
      </c>
      <c r="D628" s="1">
        <v>712.31</v>
      </c>
      <c r="E628" s="1">
        <v>1354.75</v>
      </c>
      <c r="F628" s="1">
        <v>163.69999999999999</v>
      </c>
      <c r="G628" s="1">
        <v>6930.4</v>
      </c>
      <c r="H628" s="1">
        <v>653.70000000000005</v>
      </c>
      <c r="I628" s="1">
        <v>1521.24</v>
      </c>
      <c r="J628" s="1">
        <v>15923.4</v>
      </c>
    </row>
    <row r="629" spans="1:10">
      <c r="A629" s="2">
        <v>44396</v>
      </c>
      <c r="B629" s="1">
        <v>950.65</v>
      </c>
      <c r="C629" s="1">
        <v>2766.46</v>
      </c>
      <c r="D629" s="1">
        <v>688.28</v>
      </c>
      <c r="E629" s="1">
        <v>1342.78</v>
      </c>
      <c r="F629" s="1">
        <v>163.58000000000001</v>
      </c>
      <c r="G629" s="1">
        <v>6799.45</v>
      </c>
      <c r="H629" s="1">
        <v>654.30999999999995</v>
      </c>
      <c r="I629" s="1">
        <v>1512.64</v>
      </c>
      <c r="J629" s="1">
        <v>15752.4</v>
      </c>
    </row>
    <row r="630" spans="1:10">
      <c r="A630" s="2">
        <v>44397</v>
      </c>
      <c r="B630" s="1">
        <v>948.32</v>
      </c>
      <c r="C630" s="1">
        <v>2784.87</v>
      </c>
      <c r="D630" s="1">
        <v>675.25</v>
      </c>
      <c r="E630" s="1">
        <v>1350.05</v>
      </c>
      <c r="F630" s="1">
        <v>162.83000000000001</v>
      </c>
      <c r="G630" s="1">
        <v>6863.17</v>
      </c>
      <c r="H630" s="1">
        <v>642.16</v>
      </c>
      <c r="I630" s="1">
        <v>1494.55</v>
      </c>
      <c r="J630" s="1">
        <v>15632.1</v>
      </c>
    </row>
    <row r="631" spans="1:10">
      <c r="A631" s="2">
        <v>44399</v>
      </c>
      <c r="B631" s="1">
        <v>960.5</v>
      </c>
      <c r="C631" s="1">
        <v>2794.04</v>
      </c>
      <c r="D631" s="1">
        <v>677.84</v>
      </c>
      <c r="E631" s="1">
        <v>1385.02</v>
      </c>
      <c r="F631" s="1">
        <v>162.99</v>
      </c>
      <c r="G631" s="1">
        <v>6926.6</v>
      </c>
      <c r="H631" s="1">
        <v>652.46</v>
      </c>
      <c r="I631" s="1">
        <v>1543.23</v>
      </c>
      <c r="J631" s="1">
        <v>15824.05</v>
      </c>
    </row>
    <row r="632" spans="1:10">
      <c r="A632" s="2">
        <v>44400</v>
      </c>
      <c r="B632" s="1">
        <v>953.71</v>
      </c>
      <c r="C632" s="1">
        <v>2791</v>
      </c>
      <c r="D632" s="1">
        <v>675.06</v>
      </c>
      <c r="E632" s="1">
        <v>1385.24</v>
      </c>
      <c r="F632" s="1">
        <v>167.24</v>
      </c>
      <c r="G632" s="1">
        <v>6921.19</v>
      </c>
      <c r="H632" s="1">
        <v>658.82</v>
      </c>
      <c r="I632" s="1">
        <v>1514.66</v>
      </c>
      <c r="J632" s="1">
        <v>15856.05</v>
      </c>
    </row>
    <row r="633" spans="1:10">
      <c r="A633" s="2">
        <v>44403</v>
      </c>
      <c r="B633" s="1">
        <v>940.64</v>
      </c>
      <c r="C633" s="1">
        <v>2777.71</v>
      </c>
      <c r="D633" s="1">
        <v>671.22</v>
      </c>
      <c r="E633" s="1">
        <v>1396.95</v>
      </c>
      <c r="F633" s="1">
        <v>166.26</v>
      </c>
      <c r="G633" s="1">
        <v>6866.11</v>
      </c>
      <c r="H633" s="1">
        <v>667.75</v>
      </c>
      <c r="I633" s="1">
        <v>1501.37</v>
      </c>
      <c r="J633" s="1">
        <v>15824.45</v>
      </c>
    </row>
    <row r="634" spans="1:10">
      <c r="A634" s="2">
        <v>44404</v>
      </c>
      <c r="B634" s="1">
        <v>930.75</v>
      </c>
      <c r="C634" s="1">
        <v>2765.02</v>
      </c>
      <c r="D634" s="1">
        <v>673.66</v>
      </c>
      <c r="E634" s="1">
        <v>1395.78</v>
      </c>
      <c r="F634" s="1">
        <v>164.29</v>
      </c>
      <c r="G634" s="1">
        <v>6870.33</v>
      </c>
      <c r="H634" s="1">
        <v>653.41</v>
      </c>
      <c r="I634" s="1">
        <v>1511.37</v>
      </c>
      <c r="J634" s="1">
        <v>15746.45</v>
      </c>
    </row>
    <row r="635" spans="1:10">
      <c r="A635" s="2">
        <v>44405</v>
      </c>
      <c r="B635" s="1">
        <v>922.75</v>
      </c>
      <c r="C635" s="1">
        <v>2777.92</v>
      </c>
      <c r="D635" s="1">
        <v>663.15</v>
      </c>
      <c r="E635" s="1">
        <v>1398.43</v>
      </c>
      <c r="F635" s="1">
        <v>164.64</v>
      </c>
      <c r="G635" s="1">
        <v>6798.97</v>
      </c>
      <c r="H635" s="1">
        <v>652.94000000000005</v>
      </c>
      <c r="I635" s="1">
        <v>1515.13</v>
      </c>
      <c r="J635" s="1">
        <v>15709.4</v>
      </c>
    </row>
    <row r="636" spans="1:10">
      <c r="A636" s="2">
        <v>44406</v>
      </c>
      <c r="B636" s="1">
        <v>929.95</v>
      </c>
      <c r="C636" s="1">
        <v>2776.19</v>
      </c>
      <c r="D636" s="1">
        <v>663.6</v>
      </c>
      <c r="E636" s="1">
        <v>1408.36</v>
      </c>
      <c r="F636" s="1">
        <v>162.24</v>
      </c>
      <c r="G636" s="1">
        <v>6636.19</v>
      </c>
      <c r="H636" s="1">
        <v>667.37</v>
      </c>
      <c r="I636" s="1">
        <v>1516.84</v>
      </c>
      <c r="J636" s="1">
        <v>15778.45</v>
      </c>
    </row>
    <row r="637" spans="1:10">
      <c r="A637" s="2">
        <v>44407</v>
      </c>
      <c r="B637" s="1">
        <v>921.82</v>
      </c>
      <c r="C637" s="1">
        <v>2751.56</v>
      </c>
      <c r="D637" s="1">
        <v>667.43</v>
      </c>
      <c r="E637" s="1">
        <v>1402.7</v>
      </c>
      <c r="F637" s="1">
        <v>161.38</v>
      </c>
      <c r="G637" s="1">
        <v>6621.19</v>
      </c>
      <c r="H637" s="1">
        <v>734.72</v>
      </c>
      <c r="I637" s="1">
        <v>1522.02</v>
      </c>
      <c r="J637" s="1">
        <v>15763.05</v>
      </c>
    </row>
    <row r="638" spans="1:10">
      <c r="A638" s="2">
        <v>44410</v>
      </c>
      <c r="B638" s="1">
        <v>938.67</v>
      </c>
      <c r="C638" s="1">
        <v>2796.69</v>
      </c>
      <c r="D638" s="1">
        <v>665.66</v>
      </c>
      <c r="E638" s="1">
        <v>1421.04</v>
      </c>
      <c r="F638" s="1">
        <v>163.22999999999999</v>
      </c>
      <c r="G638" s="1">
        <v>6715.37</v>
      </c>
      <c r="H638" s="1">
        <v>735.72</v>
      </c>
      <c r="I638" s="1">
        <v>1533.9</v>
      </c>
      <c r="J638" s="1">
        <v>15885.15</v>
      </c>
    </row>
    <row r="639" spans="1:10">
      <c r="A639" s="2">
        <v>44411</v>
      </c>
      <c r="B639" s="1">
        <v>945.58</v>
      </c>
      <c r="C639" s="1">
        <v>2853.59</v>
      </c>
      <c r="D639" s="1">
        <v>671.29</v>
      </c>
      <c r="E639" s="1">
        <v>1441.63</v>
      </c>
      <c r="F639" s="1">
        <v>165.27</v>
      </c>
      <c r="G639" s="1">
        <v>6831.57</v>
      </c>
      <c r="H639" s="1">
        <v>754.51</v>
      </c>
      <c r="I639" s="1">
        <v>1553.29</v>
      </c>
      <c r="J639" s="1">
        <v>16130.75</v>
      </c>
    </row>
    <row r="640" spans="1:10">
      <c r="A640" s="2">
        <v>44412</v>
      </c>
      <c r="B640" s="1">
        <v>952.83</v>
      </c>
      <c r="C640" s="1">
        <v>2844.08</v>
      </c>
      <c r="D640" s="1">
        <v>685.61</v>
      </c>
      <c r="E640" s="1">
        <v>1436.45</v>
      </c>
      <c r="F640" s="1">
        <v>164.25</v>
      </c>
      <c r="G640" s="1">
        <v>6740</v>
      </c>
      <c r="H640" s="1">
        <v>745.92</v>
      </c>
      <c r="I640" s="1">
        <v>1542.69</v>
      </c>
      <c r="J640" s="1">
        <v>16258.8</v>
      </c>
    </row>
    <row r="641" spans="1:10">
      <c r="A641" s="2">
        <v>44413</v>
      </c>
      <c r="B641" s="1">
        <v>966.64</v>
      </c>
      <c r="C641" s="1">
        <v>2852.76</v>
      </c>
      <c r="D641" s="1">
        <v>694.76</v>
      </c>
      <c r="E641" s="1">
        <v>1440.2</v>
      </c>
      <c r="F641" s="1">
        <v>169.49</v>
      </c>
      <c r="G641" s="1">
        <v>6711.01</v>
      </c>
      <c r="H641" s="1">
        <v>746.3</v>
      </c>
      <c r="I641" s="1">
        <v>1546.68</v>
      </c>
      <c r="J641" s="1">
        <v>16294.6</v>
      </c>
    </row>
    <row r="642" spans="1:10">
      <c r="A642" s="2">
        <v>44414</v>
      </c>
      <c r="B642" s="1">
        <v>946.17</v>
      </c>
      <c r="C642" s="1">
        <v>2875.22</v>
      </c>
      <c r="D642" s="1">
        <v>698.41</v>
      </c>
      <c r="E642" s="1">
        <v>1437.28</v>
      </c>
      <c r="F642" s="1">
        <v>168.7</v>
      </c>
      <c r="G642" s="1">
        <v>6780.96</v>
      </c>
      <c r="H642" s="1">
        <v>745.4</v>
      </c>
      <c r="I642" s="1">
        <v>1530.48</v>
      </c>
      <c r="J642" s="1">
        <v>16238.2</v>
      </c>
    </row>
    <row r="643" spans="1:10">
      <c r="A643" s="2">
        <v>44417</v>
      </c>
      <c r="B643" s="1">
        <v>940.78</v>
      </c>
      <c r="C643" s="1">
        <v>2886.42</v>
      </c>
      <c r="D643" s="1">
        <v>703.67</v>
      </c>
      <c r="E643" s="1">
        <v>1448.69</v>
      </c>
      <c r="F643" s="1">
        <v>168.34</v>
      </c>
      <c r="G643" s="1">
        <v>6762.77</v>
      </c>
      <c r="H643" s="1">
        <v>748.82</v>
      </c>
      <c r="I643" s="1">
        <v>1518.22</v>
      </c>
      <c r="J643" s="1">
        <v>16258.25</v>
      </c>
    </row>
    <row r="644" spans="1:10">
      <c r="A644" s="2">
        <v>44418</v>
      </c>
      <c r="B644" s="1">
        <v>945.72</v>
      </c>
      <c r="C644" s="1">
        <v>2896.15</v>
      </c>
      <c r="D644" s="1">
        <v>705.43</v>
      </c>
      <c r="E644" s="1">
        <v>1460.84</v>
      </c>
      <c r="F644" s="1">
        <v>165.23</v>
      </c>
      <c r="G644" s="1">
        <v>6686.57</v>
      </c>
      <c r="H644" s="1">
        <v>753.14</v>
      </c>
      <c r="I644" s="1">
        <v>1509.66</v>
      </c>
      <c r="J644" s="1">
        <v>16280.1</v>
      </c>
    </row>
    <row r="645" spans="1:10">
      <c r="A645" s="2">
        <v>44419</v>
      </c>
      <c r="B645" s="1">
        <v>958.96</v>
      </c>
      <c r="C645" s="1">
        <v>2905.1</v>
      </c>
      <c r="D645" s="1">
        <v>699.49</v>
      </c>
      <c r="E645" s="1">
        <v>1461.1</v>
      </c>
      <c r="F645" s="1">
        <v>164.29</v>
      </c>
      <c r="G645" s="1">
        <v>6705.24</v>
      </c>
      <c r="H645" s="1">
        <v>740.04</v>
      </c>
      <c r="I645" s="1">
        <v>1504.77</v>
      </c>
      <c r="J645" s="1">
        <v>16282.25</v>
      </c>
    </row>
    <row r="646" spans="1:10">
      <c r="A646" s="2">
        <v>44420</v>
      </c>
      <c r="B646" s="1">
        <v>955.88</v>
      </c>
      <c r="C646" s="1">
        <v>2911.66</v>
      </c>
      <c r="D646" s="1">
        <v>702.5</v>
      </c>
      <c r="E646" s="1">
        <v>1471.59</v>
      </c>
      <c r="F646" s="1">
        <v>164.49</v>
      </c>
      <c r="G646" s="1">
        <v>6696.16</v>
      </c>
      <c r="H646" s="1">
        <v>739.18</v>
      </c>
      <c r="I646" s="1">
        <v>1542.93</v>
      </c>
      <c r="J646" s="1">
        <v>16364.4</v>
      </c>
    </row>
    <row r="647" spans="1:10">
      <c r="A647" s="2">
        <v>44421</v>
      </c>
      <c r="B647" s="1">
        <v>971.8</v>
      </c>
      <c r="C647" s="1">
        <v>3008.65</v>
      </c>
      <c r="D647" s="1">
        <v>714.11</v>
      </c>
      <c r="E647" s="1">
        <v>1491.28</v>
      </c>
      <c r="F647" s="1">
        <v>166.49</v>
      </c>
      <c r="G647" s="1">
        <v>6686.81</v>
      </c>
      <c r="H647" s="1">
        <v>738.85</v>
      </c>
      <c r="I647" s="1">
        <v>1585.65</v>
      </c>
      <c r="J647" s="1">
        <v>16529.099999999999</v>
      </c>
    </row>
    <row r="648" spans="1:10">
      <c r="A648" s="2">
        <v>44424</v>
      </c>
      <c r="B648" s="1">
        <v>984.42</v>
      </c>
      <c r="C648" s="1">
        <v>3016.95</v>
      </c>
      <c r="D648" s="1">
        <v>716.17</v>
      </c>
      <c r="E648" s="1">
        <v>1484.49</v>
      </c>
      <c r="F648" s="1">
        <v>166.06</v>
      </c>
      <c r="G648" s="1">
        <v>6519.35</v>
      </c>
      <c r="H648" s="1">
        <v>741.22</v>
      </c>
      <c r="I648" s="1">
        <v>1573.96</v>
      </c>
      <c r="J648" s="1">
        <v>16563.05</v>
      </c>
    </row>
    <row r="649" spans="1:10">
      <c r="A649" s="2">
        <v>44425</v>
      </c>
      <c r="B649" s="1">
        <v>980.23</v>
      </c>
      <c r="C649" s="1">
        <v>3086.53</v>
      </c>
      <c r="D649" s="1">
        <v>708.7</v>
      </c>
      <c r="E649" s="1">
        <v>1516.93</v>
      </c>
      <c r="F649" s="1">
        <v>164.72</v>
      </c>
      <c r="G649" s="1">
        <v>6575.27</v>
      </c>
      <c r="H649" s="1">
        <v>744.4</v>
      </c>
      <c r="I649" s="1">
        <v>1557.47</v>
      </c>
      <c r="J649" s="1">
        <v>16614.599999999999</v>
      </c>
    </row>
    <row r="650" spans="1:10">
      <c r="A650" s="2">
        <v>44426</v>
      </c>
      <c r="B650" s="1">
        <v>984.03</v>
      </c>
      <c r="C650" s="1">
        <v>3093.04</v>
      </c>
      <c r="D650" s="1">
        <v>707.93</v>
      </c>
      <c r="E650" s="1">
        <v>1509.79</v>
      </c>
      <c r="F650" s="1">
        <v>164.53</v>
      </c>
      <c r="G650" s="1">
        <v>6532.01</v>
      </c>
      <c r="H650" s="1">
        <v>743.22</v>
      </c>
      <c r="I650" s="1">
        <v>1551.86</v>
      </c>
      <c r="J650" s="1">
        <v>16568.849999999999</v>
      </c>
    </row>
    <row r="651" spans="1:10">
      <c r="A651" s="2">
        <v>44428</v>
      </c>
      <c r="B651" s="1">
        <v>972.98</v>
      </c>
      <c r="C651" s="1">
        <v>3092.13</v>
      </c>
      <c r="D651" s="1">
        <v>708.75</v>
      </c>
      <c r="E651" s="1">
        <v>1509.35</v>
      </c>
      <c r="F651" s="1">
        <v>164.49</v>
      </c>
      <c r="G651" s="1">
        <v>6542.32</v>
      </c>
      <c r="H651" s="1">
        <v>722.57</v>
      </c>
      <c r="I651" s="1">
        <v>1514.56</v>
      </c>
      <c r="J651" s="1">
        <v>16450.5</v>
      </c>
    </row>
    <row r="652" spans="1:10">
      <c r="A652" s="2">
        <v>44431</v>
      </c>
      <c r="B652" s="1">
        <v>979.37</v>
      </c>
      <c r="C652" s="1">
        <v>3159.8</v>
      </c>
      <c r="D652" s="1">
        <v>713.36</v>
      </c>
      <c r="E652" s="1">
        <v>1514.4</v>
      </c>
      <c r="F652" s="1">
        <v>162.44</v>
      </c>
      <c r="G652" s="1">
        <v>6518.45</v>
      </c>
      <c r="H652" s="1">
        <v>722.76</v>
      </c>
      <c r="I652" s="1">
        <v>1502.35</v>
      </c>
      <c r="J652" s="1">
        <v>16496.45</v>
      </c>
    </row>
    <row r="653" spans="1:10">
      <c r="A653" s="2">
        <v>44432</v>
      </c>
      <c r="B653" s="1">
        <v>989.04</v>
      </c>
      <c r="C653" s="1">
        <v>3138.78</v>
      </c>
      <c r="D653" s="1">
        <v>729.38</v>
      </c>
      <c r="E653" s="1">
        <v>1498.81</v>
      </c>
      <c r="F653" s="1">
        <v>162.01</v>
      </c>
      <c r="G653" s="1">
        <v>6496.77</v>
      </c>
      <c r="H653" s="1">
        <v>734.18</v>
      </c>
      <c r="I653" s="1">
        <v>1526.15</v>
      </c>
      <c r="J653" s="1">
        <v>16624.599999999999</v>
      </c>
    </row>
    <row r="654" spans="1:10">
      <c r="A654" s="2">
        <v>44433</v>
      </c>
      <c r="B654" s="1">
        <v>997.6</v>
      </c>
      <c r="C654" s="1">
        <v>3178.57</v>
      </c>
      <c r="D654" s="1">
        <v>728.71</v>
      </c>
      <c r="E654" s="1">
        <v>1511.62</v>
      </c>
      <c r="F654" s="1">
        <v>162.52000000000001</v>
      </c>
      <c r="G654" s="1">
        <v>6409.15</v>
      </c>
      <c r="H654" s="1">
        <v>731.99</v>
      </c>
      <c r="I654" s="1">
        <v>1514.75</v>
      </c>
      <c r="J654" s="1">
        <v>16634.650000000001</v>
      </c>
    </row>
    <row r="655" spans="1:10">
      <c r="A655" s="2">
        <v>44434</v>
      </c>
      <c r="B655" s="1">
        <v>1010.21</v>
      </c>
      <c r="C655" s="1">
        <v>3189.73</v>
      </c>
      <c r="D655" s="1">
        <v>727.49</v>
      </c>
      <c r="E655" s="1">
        <v>1504.78</v>
      </c>
      <c r="F655" s="1">
        <v>161.1</v>
      </c>
      <c r="G655" s="1">
        <v>6310.93</v>
      </c>
      <c r="H655" s="1">
        <v>723.9</v>
      </c>
      <c r="I655" s="1">
        <v>1516.6</v>
      </c>
      <c r="J655" s="1">
        <v>16636.900000000001</v>
      </c>
    </row>
    <row r="656" spans="1:10">
      <c r="A656" s="2">
        <v>44435</v>
      </c>
      <c r="B656" s="1">
        <v>1008.83</v>
      </c>
      <c r="C656" s="1">
        <v>3231.69</v>
      </c>
      <c r="D656" s="1">
        <v>724.52</v>
      </c>
      <c r="E656" s="1">
        <v>1488.32</v>
      </c>
      <c r="F656" s="1">
        <v>162.12</v>
      </c>
      <c r="G656" s="1">
        <v>6326.45</v>
      </c>
      <c r="H656" s="1">
        <v>734.61</v>
      </c>
      <c r="I656" s="1">
        <v>1556.85</v>
      </c>
      <c r="J656" s="1">
        <v>16705.2</v>
      </c>
    </row>
    <row r="657" spans="1:10">
      <c r="A657" s="2">
        <v>44438</v>
      </c>
      <c r="B657" s="1">
        <v>1028.24</v>
      </c>
      <c r="C657" s="1">
        <v>3215.31</v>
      </c>
      <c r="D657" s="1">
        <v>733.78</v>
      </c>
      <c r="E657" s="1">
        <v>1478.95</v>
      </c>
      <c r="F657" s="1">
        <v>163.78</v>
      </c>
      <c r="G657" s="1">
        <v>6490.75</v>
      </c>
      <c r="H657" s="1">
        <v>749.27</v>
      </c>
      <c r="I657" s="1">
        <v>1577.76</v>
      </c>
      <c r="J657" s="1">
        <v>16931.05</v>
      </c>
    </row>
    <row r="658" spans="1:10">
      <c r="A658" s="2">
        <v>44439</v>
      </c>
      <c r="B658" s="1">
        <v>1022.76</v>
      </c>
      <c r="C658" s="1">
        <v>3289.28</v>
      </c>
      <c r="D658" s="1">
        <v>739.94</v>
      </c>
      <c r="E658" s="1">
        <v>1486.27</v>
      </c>
      <c r="F658" s="1">
        <v>166.38</v>
      </c>
      <c r="G658" s="1">
        <v>6537.74</v>
      </c>
      <c r="H658" s="1">
        <v>755.79</v>
      </c>
      <c r="I658" s="1">
        <v>1589.26</v>
      </c>
      <c r="J658" s="1">
        <v>17132.2</v>
      </c>
    </row>
    <row r="659" spans="1:10">
      <c r="A659" s="2">
        <v>44440</v>
      </c>
      <c r="B659" s="1">
        <v>1026.81</v>
      </c>
      <c r="C659" s="1">
        <v>3227.17</v>
      </c>
      <c r="D659" s="1">
        <v>738.86</v>
      </c>
      <c r="E659" s="1">
        <v>1461.27</v>
      </c>
      <c r="F659" s="1">
        <v>164.96</v>
      </c>
      <c r="G659" s="1">
        <v>6479.29</v>
      </c>
      <c r="H659" s="1">
        <v>750.5</v>
      </c>
      <c r="I659" s="1">
        <v>1602.76</v>
      </c>
      <c r="J659" s="1">
        <v>17076.25</v>
      </c>
    </row>
    <row r="660" spans="1:10">
      <c r="A660" s="2">
        <v>44441</v>
      </c>
      <c r="B660" s="1">
        <v>1039.17</v>
      </c>
      <c r="C660" s="1">
        <v>3332.98</v>
      </c>
      <c r="D660" s="1">
        <v>743.49</v>
      </c>
      <c r="E660" s="1">
        <v>1471.16</v>
      </c>
      <c r="F660" s="1">
        <v>165.16</v>
      </c>
      <c r="G660" s="1">
        <v>6486.93</v>
      </c>
      <c r="H660" s="1">
        <v>751.89</v>
      </c>
      <c r="I660" s="1">
        <v>1602.57</v>
      </c>
      <c r="J660" s="1">
        <v>17234.150000000001</v>
      </c>
    </row>
    <row r="661" spans="1:10">
      <c r="A661" s="2">
        <v>44442</v>
      </c>
      <c r="B661" s="1">
        <v>1081.79</v>
      </c>
      <c r="C661" s="1">
        <v>3337.58</v>
      </c>
      <c r="D661" s="1">
        <v>737.43</v>
      </c>
      <c r="E661" s="1">
        <v>1481.22</v>
      </c>
      <c r="F661" s="1">
        <v>165.82</v>
      </c>
      <c r="G661" s="1">
        <v>6553.97</v>
      </c>
      <c r="H661" s="1">
        <v>751.36</v>
      </c>
      <c r="I661" s="1">
        <v>1607.6</v>
      </c>
      <c r="J661" s="1">
        <v>17323.599999999999</v>
      </c>
    </row>
    <row r="662" spans="1:10">
      <c r="A662" s="2">
        <v>44445</v>
      </c>
      <c r="B662" s="1">
        <v>1098.5999999999999</v>
      </c>
      <c r="C662" s="1">
        <v>3346.23</v>
      </c>
      <c r="D662" s="1">
        <v>732.59</v>
      </c>
      <c r="E662" s="1">
        <v>1507.13</v>
      </c>
      <c r="F662" s="1">
        <v>164.8</v>
      </c>
      <c r="G662" s="1">
        <v>6538.5</v>
      </c>
      <c r="H662" s="1">
        <v>746.46</v>
      </c>
      <c r="I662" s="1">
        <v>1610.17</v>
      </c>
      <c r="J662" s="1">
        <v>17377.8</v>
      </c>
    </row>
    <row r="663" spans="1:10">
      <c r="A663" s="2">
        <v>44446</v>
      </c>
      <c r="B663" s="1">
        <v>1105.53</v>
      </c>
      <c r="C663" s="1">
        <v>3314.87</v>
      </c>
      <c r="D663" s="1">
        <v>734.25</v>
      </c>
      <c r="E663" s="1">
        <v>1486.45</v>
      </c>
      <c r="F663" s="1">
        <v>166.73</v>
      </c>
      <c r="G663" s="1">
        <v>6567.39</v>
      </c>
      <c r="H663" s="1">
        <v>732.8</v>
      </c>
      <c r="I663" s="1">
        <v>1598.29</v>
      </c>
      <c r="J663" s="1">
        <v>17362.099999999999</v>
      </c>
    </row>
    <row r="664" spans="1:10">
      <c r="A664" s="2">
        <v>44447</v>
      </c>
      <c r="B664" s="1">
        <v>1101.2</v>
      </c>
      <c r="C664" s="1">
        <v>3278.6</v>
      </c>
      <c r="D664" s="1">
        <v>737.6</v>
      </c>
      <c r="E664" s="1">
        <v>1474.77</v>
      </c>
      <c r="F664" s="1">
        <v>166.34</v>
      </c>
      <c r="G664" s="1">
        <v>6475.81</v>
      </c>
      <c r="H664" s="1">
        <v>739.99</v>
      </c>
      <c r="I664" s="1">
        <v>1583.89</v>
      </c>
      <c r="J664" s="1">
        <v>17353.5</v>
      </c>
    </row>
    <row r="665" spans="1:10">
      <c r="A665" s="2">
        <v>44448</v>
      </c>
      <c r="B665" s="1">
        <v>1098.5999999999999</v>
      </c>
      <c r="C665" s="1">
        <v>3293.58</v>
      </c>
      <c r="D665" s="1">
        <v>733.95</v>
      </c>
      <c r="E665" s="1">
        <v>1473.34</v>
      </c>
      <c r="F665" s="1">
        <v>167.44</v>
      </c>
      <c r="G665" s="1">
        <v>6495.86</v>
      </c>
      <c r="H665" s="1">
        <v>738.89</v>
      </c>
      <c r="I665" s="1">
        <v>1587.22</v>
      </c>
      <c r="J665" s="1">
        <v>17369.25</v>
      </c>
    </row>
    <row r="666" spans="1:10">
      <c r="A666" s="2">
        <v>44452</v>
      </c>
      <c r="B666" s="1">
        <v>1074.1199999999999</v>
      </c>
      <c r="C666" s="1">
        <v>3340.45</v>
      </c>
      <c r="D666" s="1">
        <v>727.84</v>
      </c>
      <c r="E666" s="1">
        <v>1473.6</v>
      </c>
      <c r="F666" s="1">
        <v>168.62</v>
      </c>
      <c r="G666" s="1">
        <v>6564.09</v>
      </c>
      <c r="H666" s="1">
        <v>742.7</v>
      </c>
      <c r="I666" s="1">
        <v>1588.78</v>
      </c>
      <c r="J666" s="1">
        <v>17355.3</v>
      </c>
    </row>
    <row r="667" spans="1:10">
      <c r="A667" s="2">
        <v>44453</v>
      </c>
      <c r="B667" s="1">
        <v>1072.71</v>
      </c>
      <c r="C667" s="1">
        <v>3375.68</v>
      </c>
      <c r="D667" s="1">
        <v>724.56</v>
      </c>
      <c r="E667" s="1">
        <v>1468.59</v>
      </c>
      <c r="F667" s="1">
        <v>170.16</v>
      </c>
      <c r="G667" s="1">
        <v>6583.91</v>
      </c>
      <c r="H667" s="1">
        <v>743.75</v>
      </c>
      <c r="I667" s="1">
        <v>1612.31</v>
      </c>
      <c r="J667" s="1">
        <v>17380</v>
      </c>
    </row>
    <row r="668" spans="1:10">
      <c r="A668" s="2">
        <v>44454</v>
      </c>
      <c r="B668" s="1">
        <v>1077.17</v>
      </c>
      <c r="C668" s="1">
        <v>3435.31</v>
      </c>
      <c r="D668" s="1">
        <v>723.75</v>
      </c>
      <c r="E668" s="1">
        <v>1490.63</v>
      </c>
      <c r="F668" s="1">
        <v>170.08</v>
      </c>
      <c r="G668" s="1">
        <v>6597.8</v>
      </c>
      <c r="H668" s="1">
        <v>743.03</v>
      </c>
      <c r="I668" s="1">
        <v>1631.84</v>
      </c>
      <c r="J668" s="1">
        <v>17519.45</v>
      </c>
    </row>
    <row r="669" spans="1:10">
      <c r="A669" s="2">
        <v>44455</v>
      </c>
      <c r="B669" s="1">
        <v>1099.78</v>
      </c>
      <c r="C669" s="1">
        <v>3390.79</v>
      </c>
      <c r="D669" s="1">
        <v>729.9</v>
      </c>
      <c r="E669" s="1">
        <v>1482.61</v>
      </c>
      <c r="F669" s="1">
        <v>181.69</v>
      </c>
      <c r="G669" s="1">
        <v>6618.77</v>
      </c>
      <c r="H669" s="1">
        <v>743.41</v>
      </c>
      <c r="I669" s="1">
        <v>1635.88</v>
      </c>
      <c r="J669" s="1">
        <v>17629.5</v>
      </c>
    </row>
    <row r="670" spans="1:10">
      <c r="A670" s="2">
        <v>44456</v>
      </c>
      <c r="B670" s="1">
        <v>1082.72</v>
      </c>
      <c r="C670" s="1">
        <v>3325.25</v>
      </c>
      <c r="D670" s="1">
        <v>740.29</v>
      </c>
      <c r="E670" s="1">
        <v>1473.08</v>
      </c>
      <c r="F670" s="1">
        <v>182.01</v>
      </c>
      <c r="G670" s="1">
        <v>6698.5</v>
      </c>
      <c r="H670" s="1">
        <v>732.8</v>
      </c>
      <c r="I670" s="1">
        <v>1631.08</v>
      </c>
      <c r="J670" s="1">
        <v>17585.150000000001</v>
      </c>
    </row>
    <row r="671" spans="1:10">
      <c r="A671" s="2">
        <v>44459</v>
      </c>
      <c r="B671" s="1">
        <v>1084.44</v>
      </c>
      <c r="C671" s="1">
        <v>3321.47</v>
      </c>
      <c r="D671" s="1">
        <v>729.85</v>
      </c>
      <c r="E671" s="1">
        <v>1470.07</v>
      </c>
      <c r="F671" s="1">
        <v>184.05</v>
      </c>
      <c r="G671" s="1">
        <v>6637.34</v>
      </c>
      <c r="H671" s="1">
        <v>720.05</v>
      </c>
      <c r="I671" s="1">
        <v>1619.82</v>
      </c>
      <c r="J671" s="1">
        <v>17396.900000000001</v>
      </c>
    </row>
    <row r="672" spans="1:10">
      <c r="A672" s="2">
        <v>44460</v>
      </c>
      <c r="B672" s="1">
        <v>1089.1300000000001</v>
      </c>
      <c r="C672" s="1">
        <v>3355.74</v>
      </c>
      <c r="D672" s="1">
        <v>726.16</v>
      </c>
      <c r="E672" s="1">
        <v>1496.72</v>
      </c>
      <c r="F672" s="1">
        <v>190.15</v>
      </c>
      <c r="G672" s="1">
        <v>6471.75</v>
      </c>
      <c r="H672" s="1">
        <v>727.66</v>
      </c>
      <c r="I672" s="1">
        <v>1635.54</v>
      </c>
      <c r="J672" s="1">
        <v>17562</v>
      </c>
    </row>
    <row r="673" spans="1:10">
      <c r="A673" s="2">
        <v>44461</v>
      </c>
      <c r="B673" s="1">
        <v>1100.82</v>
      </c>
      <c r="C673" s="1">
        <v>3355.04</v>
      </c>
      <c r="D673" s="1">
        <v>717.62</v>
      </c>
      <c r="E673" s="1">
        <v>1495.37</v>
      </c>
      <c r="F673" s="1">
        <v>191.73</v>
      </c>
      <c r="G673" s="1">
        <v>6523.32</v>
      </c>
      <c r="H673" s="1">
        <v>732.99</v>
      </c>
      <c r="I673" s="1">
        <v>1626.04</v>
      </c>
      <c r="J673" s="1">
        <v>17546.650000000001</v>
      </c>
    </row>
    <row r="674" spans="1:10">
      <c r="A674" s="2">
        <v>44462</v>
      </c>
      <c r="B674" s="1">
        <v>1127.72</v>
      </c>
      <c r="C674" s="1">
        <v>3361.21</v>
      </c>
      <c r="D674" s="1">
        <v>734.6</v>
      </c>
      <c r="E674" s="1">
        <v>1517.71</v>
      </c>
      <c r="F674" s="1">
        <v>190.94</v>
      </c>
      <c r="G674" s="1">
        <v>6538.31</v>
      </c>
      <c r="H674" s="1">
        <v>732.75</v>
      </c>
      <c r="I674" s="1">
        <v>1681.92</v>
      </c>
      <c r="J674" s="1">
        <v>17822.95</v>
      </c>
    </row>
    <row r="675" spans="1:10">
      <c r="A675" s="2">
        <v>44463</v>
      </c>
      <c r="B675" s="1">
        <v>1124.46</v>
      </c>
      <c r="C675" s="1">
        <v>3362.99</v>
      </c>
      <c r="D675" s="1">
        <v>749.36</v>
      </c>
      <c r="E675" s="1">
        <v>1536.26</v>
      </c>
      <c r="F675" s="1">
        <v>187.75</v>
      </c>
      <c r="G675" s="1">
        <v>6639.11</v>
      </c>
      <c r="H675" s="1">
        <v>733.32</v>
      </c>
      <c r="I675" s="1">
        <v>1681.02</v>
      </c>
      <c r="J675" s="1">
        <v>17853.2</v>
      </c>
    </row>
    <row r="676" spans="1:10">
      <c r="A676" s="2">
        <v>44466</v>
      </c>
      <c r="B676" s="1">
        <v>1143.3699999999999</v>
      </c>
      <c r="C676" s="1">
        <v>3333.15</v>
      </c>
      <c r="D676" s="1">
        <v>760.38</v>
      </c>
      <c r="E676" s="1">
        <v>1499.07</v>
      </c>
      <c r="F676" s="1">
        <v>187.95</v>
      </c>
      <c r="G676" s="1">
        <v>7069.98</v>
      </c>
      <c r="H676" s="1">
        <v>726.28</v>
      </c>
      <c r="I676" s="1">
        <v>1653.32</v>
      </c>
      <c r="J676" s="1">
        <v>17855.099999999999</v>
      </c>
    </row>
    <row r="677" spans="1:10">
      <c r="A677" s="2">
        <v>44467</v>
      </c>
      <c r="B677" s="1">
        <v>1154.06</v>
      </c>
      <c r="C677" s="1">
        <v>3282.94</v>
      </c>
      <c r="D677" s="1">
        <v>755.68</v>
      </c>
      <c r="E677" s="1">
        <v>1469.42</v>
      </c>
      <c r="F677" s="1">
        <v>187.2</v>
      </c>
      <c r="G677" s="1">
        <v>7089.46</v>
      </c>
      <c r="H677" s="1">
        <v>737.75</v>
      </c>
      <c r="I677" s="1">
        <v>1650.99</v>
      </c>
      <c r="J677" s="1">
        <v>17748.599999999999</v>
      </c>
    </row>
    <row r="678" spans="1:10">
      <c r="A678" s="2">
        <v>44468</v>
      </c>
      <c r="B678" s="1">
        <v>1144.9100000000001</v>
      </c>
      <c r="C678" s="1">
        <v>3294.02</v>
      </c>
      <c r="D678" s="1">
        <v>745.76</v>
      </c>
      <c r="E678" s="1">
        <v>1473.9</v>
      </c>
      <c r="F678" s="1">
        <v>187.48</v>
      </c>
      <c r="G678" s="1">
        <v>7051.46</v>
      </c>
      <c r="H678" s="1">
        <v>772.21</v>
      </c>
      <c r="I678" s="1">
        <v>1635.64</v>
      </c>
      <c r="J678" s="1">
        <v>17711.3</v>
      </c>
    </row>
    <row r="679" spans="1:10">
      <c r="A679" s="2">
        <v>44469</v>
      </c>
      <c r="B679" s="1">
        <v>1141.01</v>
      </c>
      <c r="C679" s="1">
        <v>3279.82</v>
      </c>
      <c r="D679" s="1">
        <v>746.28</v>
      </c>
      <c r="E679" s="1">
        <v>1459.05</v>
      </c>
      <c r="F679" s="1">
        <v>185.94</v>
      </c>
      <c r="G679" s="1">
        <v>7007.53</v>
      </c>
      <c r="H679" s="1">
        <v>778.82</v>
      </c>
      <c r="I679" s="1">
        <v>1618.48</v>
      </c>
      <c r="J679" s="1">
        <v>17618.150000000001</v>
      </c>
    </row>
    <row r="680" spans="1:10">
      <c r="A680" s="2">
        <v>44470</v>
      </c>
      <c r="B680" s="1">
        <v>1143.03</v>
      </c>
      <c r="C680" s="1">
        <v>3240.42</v>
      </c>
      <c r="D680" s="1">
        <v>740.54</v>
      </c>
      <c r="E680" s="1">
        <v>1450.3</v>
      </c>
      <c r="F680" s="1">
        <v>185.31</v>
      </c>
      <c r="G680" s="1">
        <v>6839.69</v>
      </c>
      <c r="H680" s="1">
        <v>786.77</v>
      </c>
      <c r="I680" s="1">
        <v>1612.73</v>
      </c>
      <c r="J680" s="1">
        <v>17532.05</v>
      </c>
    </row>
    <row r="681" spans="1:10">
      <c r="A681" s="2">
        <v>44473</v>
      </c>
      <c r="B681" s="1">
        <v>1157.73</v>
      </c>
      <c r="C681" s="1">
        <v>3277.86</v>
      </c>
      <c r="D681" s="1">
        <v>741.97</v>
      </c>
      <c r="E681" s="1">
        <v>1462.15</v>
      </c>
      <c r="F681" s="1">
        <v>186.3</v>
      </c>
      <c r="G681" s="1">
        <v>6847.33</v>
      </c>
      <c r="H681" s="1">
        <v>791.91</v>
      </c>
      <c r="I681" s="1">
        <v>1630.17</v>
      </c>
      <c r="J681" s="1">
        <v>17691.25</v>
      </c>
    </row>
    <row r="682" spans="1:10">
      <c r="A682" s="2">
        <v>44474</v>
      </c>
      <c r="B682" s="1">
        <v>1181.75</v>
      </c>
      <c r="C682" s="1">
        <v>3329.98</v>
      </c>
      <c r="D682" s="1">
        <v>746.51</v>
      </c>
      <c r="E682" s="1">
        <v>1474.38</v>
      </c>
      <c r="F682" s="1">
        <v>184.8</v>
      </c>
      <c r="G682" s="1">
        <v>6931.32</v>
      </c>
      <c r="H682" s="1">
        <v>780.96</v>
      </c>
      <c r="I682" s="1">
        <v>1631.55</v>
      </c>
      <c r="J682" s="1">
        <v>17822.3</v>
      </c>
    </row>
    <row r="683" spans="1:10">
      <c r="A683" s="2">
        <v>44475</v>
      </c>
      <c r="B683" s="1">
        <v>1159.4000000000001</v>
      </c>
      <c r="C683" s="1">
        <v>3310.52</v>
      </c>
      <c r="D683" s="1">
        <v>755.61</v>
      </c>
      <c r="E683" s="1">
        <v>1457.62</v>
      </c>
      <c r="F683" s="1">
        <v>182.08</v>
      </c>
      <c r="G683" s="1">
        <v>6874.98</v>
      </c>
      <c r="H683" s="1">
        <v>762.02</v>
      </c>
      <c r="I683" s="1">
        <v>1610.98</v>
      </c>
      <c r="J683" s="1">
        <v>17646</v>
      </c>
    </row>
    <row r="684" spans="1:10">
      <c r="A684" s="2">
        <v>44476</v>
      </c>
      <c r="B684" s="1">
        <v>1165.0899999999999</v>
      </c>
      <c r="C684" s="1">
        <v>3381.76</v>
      </c>
      <c r="D684" s="1">
        <v>753.55</v>
      </c>
      <c r="E684" s="1">
        <v>1472.81</v>
      </c>
      <c r="F684" s="1">
        <v>183.42</v>
      </c>
      <c r="G684" s="1">
        <v>7155.02</v>
      </c>
      <c r="H684" s="1">
        <v>783.58</v>
      </c>
      <c r="I684" s="1">
        <v>1627.51</v>
      </c>
      <c r="J684" s="1">
        <v>17790.349999999999</v>
      </c>
    </row>
    <row r="685" spans="1:10">
      <c r="A685" s="2">
        <v>44477</v>
      </c>
      <c r="B685" s="1">
        <v>1209.8599999999999</v>
      </c>
      <c r="C685" s="1">
        <v>3418.89</v>
      </c>
      <c r="D685" s="1">
        <v>749.88</v>
      </c>
      <c r="E685" s="1">
        <v>1501.43</v>
      </c>
      <c r="F685" s="1">
        <v>182.44</v>
      </c>
      <c r="G685" s="1">
        <v>7095.34</v>
      </c>
      <c r="H685" s="1">
        <v>781.82</v>
      </c>
      <c r="I685" s="1">
        <v>1641.25</v>
      </c>
      <c r="J685" s="1">
        <v>17895.2</v>
      </c>
    </row>
    <row r="686" spans="1:10">
      <c r="A686" s="2">
        <v>44480</v>
      </c>
      <c r="B686" s="1">
        <v>1201.43</v>
      </c>
      <c r="C686" s="1">
        <v>3201.68</v>
      </c>
      <c r="D686" s="1">
        <v>764.45</v>
      </c>
      <c r="E686" s="1">
        <v>1472.77</v>
      </c>
      <c r="F686" s="1">
        <v>187.44</v>
      </c>
      <c r="G686" s="1">
        <v>7353.94</v>
      </c>
      <c r="H686" s="1">
        <v>792.43</v>
      </c>
      <c r="I686" s="1">
        <v>1631.74</v>
      </c>
      <c r="J686" s="1">
        <v>17945.95</v>
      </c>
    </row>
    <row r="687" spans="1:10">
      <c r="A687" s="2">
        <v>44481</v>
      </c>
      <c r="B687" s="1">
        <v>1208.29</v>
      </c>
      <c r="C687" s="1">
        <v>3173.23</v>
      </c>
      <c r="D687" s="1">
        <v>762.49</v>
      </c>
      <c r="E687" s="1">
        <v>1467.72</v>
      </c>
      <c r="F687" s="1">
        <v>190</v>
      </c>
      <c r="G687" s="1">
        <v>7347.25</v>
      </c>
      <c r="H687" s="1">
        <v>789.72</v>
      </c>
      <c r="I687" s="1">
        <v>1632.98</v>
      </c>
      <c r="J687" s="1">
        <v>17991.95</v>
      </c>
    </row>
    <row r="688" spans="1:10">
      <c r="A688" s="2">
        <v>44482</v>
      </c>
      <c r="B688" s="1">
        <v>1220.5899999999999</v>
      </c>
      <c r="C688" s="1">
        <v>3175.27</v>
      </c>
      <c r="D688" s="1">
        <v>767.07</v>
      </c>
      <c r="E688" s="1">
        <v>1488.67</v>
      </c>
      <c r="F688" s="1">
        <v>196.22</v>
      </c>
      <c r="G688" s="1">
        <v>7145.14</v>
      </c>
      <c r="H688" s="1">
        <v>801.95</v>
      </c>
      <c r="I688" s="1">
        <v>1665.15</v>
      </c>
      <c r="J688" s="1">
        <v>18161.75</v>
      </c>
    </row>
    <row r="689" spans="1:10">
      <c r="A689" s="2">
        <v>44483</v>
      </c>
      <c r="B689" s="1">
        <v>1223.06</v>
      </c>
      <c r="C689" s="1">
        <v>3143.28</v>
      </c>
      <c r="D689" s="1">
        <v>789.53</v>
      </c>
      <c r="E689" s="1">
        <v>1494.37</v>
      </c>
      <c r="F689" s="1">
        <v>202</v>
      </c>
      <c r="G689" s="1">
        <v>7159.22</v>
      </c>
      <c r="H689" s="1">
        <v>800.76</v>
      </c>
      <c r="I689" s="1">
        <v>1700.55</v>
      </c>
      <c r="J689" s="1">
        <v>18338.55</v>
      </c>
    </row>
    <row r="690" spans="1:10">
      <c r="A690" s="2">
        <v>44487</v>
      </c>
      <c r="B690" s="1">
        <v>1226.32</v>
      </c>
      <c r="C690" s="1">
        <v>3174.35</v>
      </c>
      <c r="D690" s="1">
        <v>781.53</v>
      </c>
      <c r="E690" s="1">
        <v>1560.91</v>
      </c>
      <c r="F690" s="1">
        <v>206.73</v>
      </c>
      <c r="G690" s="1">
        <v>7312.11</v>
      </c>
      <c r="H690" s="1">
        <v>795.62</v>
      </c>
      <c r="I690" s="1">
        <v>1699.74</v>
      </c>
      <c r="J690" s="1">
        <v>18477.05</v>
      </c>
    </row>
    <row r="691" spans="1:10">
      <c r="A691" s="2">
        <v>44488</v>
      </c>
      <c r="B691" s="1">
        <v>1237.3</v>
      </c>
      <c r="C691" s="1">
        <v>3163.04</v>
      </c>
      <c r="D691" s="1">
        <v>790.14</v>
      </c>
      <c r="E691" s="1">
        <v>1587.04</v>
      </c>
      <c r="F691" s="1">
        <v>193.66</v>
      </c>
      <c r="G691" s="1">
        <v>7310.82</v>
      </c>
      <c r="H691" s="1">
        <v>787.48</v>
      </c>
      <c r="I691" s="1">
        <v>1754.49</v>
      </c>
      <c r="J691" s="1">
        <v>18418.75</v>
      </c>
    </row>
    <row r="692" spans="1:10">
      <c r="A692" s="2">
        <v>44489</v>
      </c>
      <c r="B692" s="1">
        <v>1223.06</v>
      </c>
      <c r="C692" s="1">
        <v>3141.02</v>
      </c>
      <c r="D692" s="1">
        <v>783.19</v>
      </c>
      <c r="E692" s="1">
        <v>1569.8</v>
      </c>
      <c r="F692" s="1">
        <v>194.17</v>
      </c>
      <c r="G692" s="1">
        <v>7248.85</v>
      </c>
      <c r="H692" s="1">
        <v>775.63</v>
      </c>
      <c r="I692" s="1">
        <v>1717.09</v>
      </c>
      <c r="J692" s="1">
        <v>18266.599999999999</v>
      </c>
    </row>
    <row r="693" spans="1:10">
      <c r="A693" s="2">
        <v>44490</v>
      </c>
      <c r="B693" s="1">
        <v>1187.78</v>
      </c>
      <c r="C693" s="1">
        <v>3074.57</v>
      </c>
      <c r="D693" s="1">
        <v>784.34</v>
      </c>
      <c r="E693" s="1">
        <v>1527.38</v>
      </c>
      <c r="F693" s="1">
        <v>192.67</v>
      </c>
      <c r="G693" s="1">
        <v>7234.04</v>
      </c>
      <c r="H693" s="1">
        <v>778.96</v>
      </c>
      <c r="I693" s="1">
        <v>1716.19</v>
      </c>
      <c r="J693" s="1">
        <v>18178.099999999999</v>
      </c>
    </row>
    <row r="694" spans="1:10">
      <c r="A694" s="2">
        <v>44491</v>
      </c>
      <c r="B694" s="1">
        <v>1190</v>
      </c>
      <c r="C694" s="1">
        <v>3045.28</v>
      </c>
      <c r="D694" s="1">
        <v>786.42</v>
      </c>
      <c r="E694" s="1">
        <v>1497.9</v>
      </c>
      <c r="F694" s="1">
        <v>186.3</v>
      </c>
      <c r="G694" s="1">
        <v>7075.19</v>
      </c>
      <c r="H694" s="1">
        <v>773.4</v>
      </c>
      <c r="I694" s="1">
        <v>1703.36</v>
      </c>
      <c r="J694" s="1">
        <v>18114.900000000001</v>
      </c>
    </row>
    <row r="695" spans="1:10">
      <c r="A695" s="2">
        <v>44494</v>
      </c>
      <c r="B695" s="1">
        <v>1178.4000000000001</v>
      </c>
      <c r="C695" s="1">
        <v>3040.14</v>
      </c>
      <c r="D695" s="1">
        <v>775.31</v>
      </c>
      <c r="E695" s="1">
        <v>1487.23</v>
      </c>
      <c r="F695" s="1">
        <v>183.78</v>
      </c>
      <c r="G695" s="1">
        <v>6933.57</v>
      </c>
      <c r="H695" s="1">
        <v>774.01</v>
      </c>
      <c r="I695" s="1">
        <v>1695.66</v>
      </c>
      <c r="J695" s="1">
        <v>18125.400000000001</v>
      </c>
    </row>
    <row r="696" spans="1:10">
      <c r="A696" s="2">
        <v>44495</v>
      </c>
      <c r="B696" s="1">
        <v>1205.24</v>
      </c>
      <c r="C696" s="1">
        <v>3031.13</v>
      </c>
      <c r="D696" s="1">
        <v>773.32</v>
      </c>
      <c r="E696" s="1">
        <v>1497.03</v>
      </c>
      <c r="F696" s="1">
        <v>186.38</v>
      </c>
      <c r="G696" s="1">
        <v>6968.66</v>
      </c>
      <c r="H696" s="1">
        <v>774.3</v>
      </c>
      <c r="I696" s="1">
        <v>1707.16</v>
      </c>
      <c r="J696" s="1">
        <v>18268.400000000001</v>
      </c>
    </row>
    <row r="697" spans="1:10">
      <c r="A697" s="2">
        <v>44496</v>
      </c>
      <c r="B697" s="1">
        <v>1190</v>
      </c>
      <c r="C697" s="1">
        <v>3037.36</v>
      </c>
      <c r="D697" s="1">
        <v>768.66</v>
      </c>
      <c r="E697" s="1">
        <v>1519.21</v>
      </c>
      <c r="F697" s="1">
        <v>187.75</v>
      </c>
      <c r="G697" s="1">
        <v>7024.91</v>
      </c>
      <c r="H697" s="1">
        <v>785.34</v>
      </c>
      <c r="I697" s="1">
        <v>1696.04</v>
      </c>
      <c r="J697" s="1">
        <v>18210.95</v>
      </c>
    </row>
    <row r="698" spans="1:10">
      <c r="A698" s="2">
        <v>44497</v>
      </c>
      <c r="B698" s="1">
        <v>1176.95</v>
      </c>
      <c r="C698" s="1">
        <v>2978.09</v>
      </c>
      <c r="D698" s="1">
        <v>745.64</v>
      </c>
      <c r="E698" s="1">
        <v>1497.2</v>
      </c>
      <c r="F698" s="1">
        <v>177.24</v>
      </c>
      <c r="G698" s="1">
        <v>7037.75</v>
      </c>
      <c r="H698" s="1">
        <v>768.68</v>
      </c>
      <c r="I698" s="1">
        <v>1724.26</v>
      </c>
      <c r="J698" s="1">
        <v>17857.25</v>
      </c>
    </row>
    <row r="699" spans="1:10">
      <c r="A699" s="2">
        <v>44498</v>
      </c>
      <c r="B699" s="1">
        <v>1148.71</v>
      </c>
      <c r="C699" s="1">
        <v>2957.28</v>
      </c>
      <c r="D699" s="1">
        <v>740.61</v>
      </c>
      <c r="E699" s="1">
        <v>1465.44</v>
      </c>
      <c r="F699" s="1">
        <v>175.75</v>
      </c>
      <c r="G699" s="1">
        <v>7145.38</v>
      </c>
      <c r="H699" s="1">
        <v>756.69</v>
      </c>
      <c r="I699" s="1">
        <v>1679.03</v>
      </c>
      <c r="J699" s="1">
        <v>17671.650000000001</v>
      </c>
    </row>
    <row r="700" spans="1:10">
      <c r="A700" s="2">
        <v>44501</v>
      </c>
      <c r="B700" s="1">
        <v>1149.42</v>
      </c>
      <c r="C700" s="1">
        <v>3025.74</v>
      </c>
      <c r="D700" s="1">
        <v>751.12</v>
      </c>
      <c r="E700" s="1">
        <v>1493.82</v>
      </c>
      <c r="F700" s="1">
        <v>178.62</v>
      </c>
      <c r="G700" s="1">
        <v>7272.53</v>
      </c>
      <c r="H700" s="1">
        <v>772.68</v>
      </c>
      <c r="I700" s="1">
        <v>1706.3</v>
      </c>
      <c r="J700" s="1">
        <v>17929.650000000001</v>
      </c>
    </row>
    <row r="701" spans="1:10">
      <c r="A701" s="2">
        <v>44502</v>
      </c>
      <c r="B701" s="1">
        <v>1132.6600000000001</v>
      </c>
      <c r="C701" s="1">
        <v>3032.53</v>
      </c>
      <c r="D701" s="1">
        <v>751.8</v>
      </c>
      <c r="E701" s="1">
        <v>1491.93</v>
      </c>
      <c r="F701" s="1">
        <v>177.64</v>
      </c>
      <c r="G701" s="1">
        <v>7440.79</v>
      </c>
      <c r="H701" s="1">
        <v>776.11</v>
      </c>
      <c r="I701" s="1">
        <v>1725.59</v>
      </c>
      <c r="J701" s="1">
        <v>17888.95</v>
      </c>
    </row>
    <row r="702" spans="1:10">
      <c r="A702" s="2">
        <v>44503</v>
      </c>
      <c r="B702" s="1">
        <v>1124.8699999999999</v>
      </c>
      <c r="C702" s="1">
        <v>3039.53</v>
      </c>
      <c r="D702" s="1">
        <v>739.96</v>
      </c>
      <c r="E702" s="1">
        <v>1495.97</v>
      </c>
      <c r="F702" s="1">
        <v>175.15</v>
      </c>
      <c r="G702" s="1">
        <v>7385.88</v>
      </c>
      <c r="H702" s="1">
        <v>749.98</v>
      </c>
      <c r="I702" s="1">
        <v>1795.78</v>
      </c>
      <c r="J702" s="1">
        <v>17829.2</v>
      </c>
    </row>
    <row r="703" spans="1:10">
      <c r="A703" s="2">
        <v>44504</v>
      </c>
      <c r="B703" s="1">
        <v>1131.77</v>
      </c>
      <c r="C703" s="1">
        <v>3053.81</v>
      </c>
      <c r="D703" s="1">
        <v>745.81</v>
      </c>
      <c r="E703" s="1">
        <v>1501.42</v>
      </c>
      <c r="F703" s="1">
        <v>178.38</v>
      </c>
      <c r="G703" s="1">
        <v>7398.44</v>
      </c>
      <c r="H703" s="1">
        <v>757.12</v>
      </c>
      <c r="I703" s="1">
        <v>1814.27</v>
      </c>
      <c r="J703" s="1">
        <v>17916.8</v>
      </c>
    </row>
    <row r="704" spans="1:10">
      <c r="A704" s="2">
        <v>44508</v>
      </c>
      <c r="B704" s="1">
        <v>1133.18</v>
      </c>
      <c r="C704" s="1">
        <v>3048.67</v>
      </c>
      <c r="D704" s="1">
        <v>748.75</v>
      </c>
      <c r="E704" s="1">
        <v>1526.73</v>
      </c>
      <c r="F704" s="1">
        <v>180.94</v>
      </c>
      <c r="G704" s="1">
        <v>7338.47</v>
      </c>
      <c r="H704" s="1">
        <v>761.45</v>
      </c>
      <c r="I704" s="1">
        <v>1829.09</v>
      </c>
      <c r="J704" s="1">
        <v>18068.55</v>
      </c>
    </row>
    <row r="705" spans="1:10">
      <c r="A705" s="2">
        <v>44509</v>
      </c>
      <c r="B705" s="1">
        <v>1142.1199999999999</v>
      </c>
      <c r="C705" s="1">
        <v>3051.24</v>
      </c>
      <c r="D705" s="1">
        <v>735.65</v>
      </c>
      <c r="E705" s="1">
        <v>1531.12</v>
      </c>
      <c r="F705" s="1">
        <v>180.12</v>
      </c>
      <c r="G705" s="1">
        <v>7236.24</v>
      </c>
      <c r="H705" s="1">
        <v>762.74</v>
      </c>
      <c r="I705" s="1">
        <v>1847.2</v>
      </c>
      <c r="J705" s="1">
        <v>18044.25</v>
      </c>
    </row>
    <row r="706" spans="1:10">
      <c r="A706" s="2">
        <v>44510</v>
      </c>
      <c r="B706" s="1">
        <v>1154.9000000000001</v>
      </c>
      <c r="C706" s="1">
        <v>3032.61</v>
      </c>
      <c r="D706" s="1">
        <v>727.7</v>
      </c>
      <c r="E706" s="1">
        <v>1529.05</v>
      </c>
      <c r="F706" s="1">
        <v>181.77</v>
      </c>
      <c r="G706" s="1">
        <v>7173.31</v>
      </c>
      <c r="H706" s="1">
        <v>772.02</v>
      </c>
      <c r="I706" s="1">
        <v>1853.42</v>
      </c>
      <c r="J706" s="1">
        <v>18017.2</v>
      </c>
    </row>
    <row r="707" spans="1:10">
      <c r="A707" s="2">
        <v>44511</v>
      </c>
      <c r="B707" s="1">
        <v>1157</v>
      </c>
      <c r="C707" s="1">
        <v>3036.01</v>
      </c>
      <c r="D707" s="1">
        <v>724.45</v>
      </c>
      <c r="E707" s="1">
        <v>1523.04</v>
      </c>
      <c r="F707" s="1">
        <v>181.1</v>
      </c>
      <c r="G707" s="1">
        <v>7117.73</v>
      </c>
      <c r="H707" s="1">
        <v>756.55</v>
      </c>
      <c r="I707" s="1">
        <v>1835.89</v>
      </c>
      <c r="J707" s="1">
        <v>17873.599999999999</v>
      </c>
    </row>
    <row r="708" spans="1:10">
      <c r="A708" s="2">
        <v>44512</v>
      </c>
      <c r="B708" s="1">
        <v>1174.46</v>
      </c>
      <c r="C708" s="1">
        <v>3068.95</v>
      </c>
      <c r="D708" s="1">
        <v>726.65</v>
      </c>
      <c r="E708" s="1">
        <v>1564.25</v>
      </c>
      <c r="F708" s="1">
        <v>183.38</v>
      </c>
      <c r="G708" s="1">
        <v>7142.94</v>
      </c>
      <c r="H708" s="1">
        <v>767.64</v>
      </c>
      <c r="I708" s="1">
        <v>1862.74</v>
      </c>
      <c r="J708" s="1">
        <v>18102.75</v>
      </c>
    </row>
    <row r="709" spans="1:10">
      <c r="A709" s="2">
        <v>44515</v>
      </c>
      <c r="B709" s="1">
        <v>1167.53</v>
      </c>
      <c r="C709" s="1">
        <v>3092.67</v>
      </c>
      <c r="D709" s="1">
        <v>728.64</v>
      </c>
      <c r="E709" s="1">
        <v>1570.35</v>
      </c>
      <c r="F709" s="1">
        <v>187.48</v>
      </c>
      <c r="G709" s="1">
        <v>7165.14</v>
      </c>
      <c r="H709" s="1">
        <v>771.64</v>
      </c>
      <c r="I709" s="1">
        <v>1850.48</v>
      </c>
      <c r="J709" s="1">
        <v>18109.45</v>
      </c>
    </row>
    <row r="710" spans="1:10">
      <c r="A710" s="2">
        <v>44516</v>
      </c>
      <c r="B710" s="1">
        <v>1140.4000000000001</v>
      </c>
      <c r="C710" s="1">
        <v>3095.37</v>
      </c>
      <c r="D710" s="1">
        <v>724.31</v>
      </c>
      <c r="E710" s="1">
        <v>1574.88</v>
      </c>
      <c r="F710" s="1">
        <v>185.39</v>
      </c>
      <c r="G710" s="1">
        <v>7687.75</v>
      </c>
      <c r="H710" s="1">
        <v>759.98</v>
      </c>
      <c r="I710" s="1">
        <v>1858.32</v>
      </c>
      <c r="J710" s="1">
        <v>17999.2</v>
      </c>
    </row>
    <row r="711" spans="1:10">
      <c r="A711" s="2">
        <v>44517</v>
      </c>
      <c r="B711" s="1">
        <v>1115.99</v>
      </c>
      <c r="C711" s="1">
        <v>3065.34</v>
      </c>
      <c r="D711" s="1">
        <v>716.26</v>
      </c>
      <c r="E711" s="1">
        <v>1570.62</v>
      </c>
      <c r="F711" s="1">
        <v>188.58</v>
      </c>
      <c r="G711" s="1">
        <v>7902.04</v>
      </c>
      <c r="H711" s="1">
        <v>753.22</v>
      </c>
      <c r="I711" s="1">
        <v>1856.04</v>
      </c>
      <c r="J711" s="1">
        <v>17898.650000000001</v>
      </c>
    </row>
    <row r="712" spans="1:10">
      <c r="A712" s="2">
        <v>44518</v>
      </c>
      <c r="B712" s="1">
        <v>1120.2</v>
      </c>
      <c r="C712" s="1">
        <v>3025.13</v>
      </c>
      <c r="D712" s="1">
        <v>720.28</v>
      </c>
      <c r="E712" s="1">
        <v>1563.54</v>
      </c>
      <c r="F712" s="1">
        <v>187.01</v>
      </c>
      <c r="G712" s="1">
        <v>7751.54</v>
      </c>
      <c r="H712" s="1">
        <v>752.55</v>
      </c>
      <c r="I712" s="1">
        <v>1802.91</v>
      </c>
      <c r="J712" s="1">
        <v>17764.8</v>
      </c>
    </row>
    <row r="713" spans="1:10">
      <c r="A713" s="2">
        <v>44522</v>
      </c>
      <c r="B713" s="1">
        <v>1070.58</v>
      </c>
      <c r="C713" s="1">
        <v>3010.07</v>
      </c>
      <c r="D713" s="1">
        <v>709.03</v>
      </c>
      <c r="E713" s="1">
        <v>1545.97</v>
      </c>
      <c r="F713" s="1">
        <v>181.81</v>
      </c>
      <c r="G713" s="1">
        <v>7510.17</v>
      </c>
      <c r="H713" s="1">
        <v>733.61</v>
      </c>
      <c r="I713" s="1">
        <v>1772.02</v>
      </c>
      <c r="J713" s="1">
        <v>17416.55</v>
      </c>
    </row>
    <row r="714" spans="1:10">
      <c r="A714" s="2">
        <v>44523</v>
      </c>
      <c r="B714" s="1">
        <v>1080.5899999999999</v>
      </c>
      <c r="C714" s="1">
        <v>3015.16</v>
      </c>
      <c r="D714" s="1">
        <v>709.12</v>
      </c>
      <c r="E714" s="1">
        <v>1526.2</v>
      </c>
      <c r="F714" s="1">
        <v>182.36</v>
      </c>
      <c r="G714" s="1">
        <v>7500.24</v>
      </c>
      <c r="H714" s="1">
        <v>747.36</v>
      </c>
      <c r="I714" s="1">
        <v>1792.79</v>
      </c>
      <c r="J714" s="1">
        <v>17503.349999999999</v>
      </c>
    </row>
    <row r="715" spans="1:10">
      <c r="A715" s="2">
        <v>44524</v>
      </c>
      <c r="B715" s="1">
        <v>1064.99</v>
      </c>
      <c r="C715" s="1">
        <v>2996.93</v>
      </c>
      <c r="D715" s="1">
        <v>710.29</v>
      </c>
      <c r="E715" s="1">
        <v>1490.26</v>
      </c>
      <c r="F715" s="1">
        <v>179.29</v>
      </c>
      <c r="G715" s="1">
        <v>7324</v>
      </c>
      <c r="H715" s="1">
        <v>741.42</v>
      </c>
      <c r="I715" s="1">
        <v>1770.12</v>
      </c>
      <c r="J715" s="1">
        <v>17415.05</v>
      </c>
    </row>
    <row r="716" spans="1:10">
      <c r="A716" s="2">
        <v>44525</v>
      </c>
      <c r="B716" s="1">
        <v>1129.0999999999999</v>
      </c>
      <c r="C716" s="1">
        <v>2999.19</v>
      </c>
      <c r="D716" s="1">
        <v>713.99</v>
      </c>
      <c r="E716" s="1">
        <v>1513.46</v>
      </c>
      <c r="F716" s="1">
        <v>182.12</v>
      </c>
      <c r="G716" s="1">
        <v>7231.42</v>
      </c>
      <c r="H716" s="1">
        <v>745.17</v>
      </c>
      <c r="I716" s="1">
        <v>1758.15</v>
      </c>
      <c r="J716" s="1">
        <v>17536.25</v>
      </c>
    </row>
    <row r="717" spans="1:10">
      <c r="A717" s="2">
        <v>44526</v>
      </c>
      <c r="B717" s="1">
        <v>1092.71</v>
      </c>
      <c r="C717" s="1">
        <v>3000.02</v>
      </c>
      <c r="D717" s="1">
        <v>697.12</v>
      </c>
      <c r="E717" s="1">
        <v>1486.44</v>
      </c>
      <c r="F717" s="1">
        <v>176.38</v>
      </c>
      <c r="G717" s="1">
        <v>6847.53</v>
      </c>
      <c r="H717" s="1">
        <v>730.33</v>
      </c>
      <c r="I717" s="1">
        <v>1689.95</v>
      </c>
      <c r="J717" s="1">
        <v>17026.45</v>
      </c>
    </row>
    <row r="718" spans="1:10">
      <c r="A718" s="2">
        <v>44529</v>
      </c>
      <c r="B718" s="1">
        <v>1105.8</v>
      </c>
      <c r="C718" s="1">
        <v>3048.02</v>
      </c>
      <c r="D718" s="1">
        <v>702.43</v>
      </c>
      <c r="E718" s="1">
        <v>1490.57</v>
      </c>
      <c r="F718" s="1">
        <v>174.41</v>
      </c>
      <c r="G718" s="1">
        <v>6827.47</v>
      </c>
      <c r="H718" s="1">
        <v>714.86</v>
      </c>
      <c r="I718" s="1">
        <v>1679.6</v>
      </c>
      <c r="J718" s="1">
        <v>17053.95</v>
      </c>
    </row>
    <row r="719" spans="1:10">
      <c r="A719" s="2">
        <v>44530</v>
      </c>
      <c r="B719" s="1">
        <v>1089.45</v>
      </c>
      <c r="C719" s="1">
        <v>3071.65</v>
      </c>
      <c r="D719" s="1">
        <v>698.83</v>
      </c>
      <c r="E719" s="1">
        <v>1504.89</v>
      </c>
      <c r="F719" s="1">
        <v>174.13</v>
      </c>
      <c r="G719" s="1">
        <v>6749.45</v>
      </c>
      <c r="H719" s="1">
        <v>717.29</v>
      </c>
      <c r="I719" s="1">
        <v>1677.22</v>
      </c>
      <c r="J719" s="1">
        <v>16983.2</v>
      </c>
    </row>
    <row r="720" spans="1:10">
      <c r="A720" s="2">
        <v>44531</v>
      </c>
      <c r="B720" s="1">
        <v>1117.3499999999999</v>
      </c>
      <c r="C720" s="1">
        <v>3113.99</v>
      </c>
      <c r="D720" s="1">
        <v>704.02</v>
      </c>
      <c r="E720" s="1">
        <v>1506.87</v>
      </c>
      <c r="F720" s="1">
        <v>174.72</v>
      </c>
      <c r="G720" s="1">
        <v>6945.65</v>
      </c>
      <c r="H720" s="1">
        <v>709.43</v>
      </c>
      <c r="I720" s="1">
        <v>1697.42</v>
      </c>
      <c r="J720" s="1">
        <v>17166.900000000001</v>
      </c>
    </row>
    <row r="721" spans="1:10">
      <c r="A721" s="2">
        <v>44532</v>
      </c>
      <c r="B721" s="1">
        <v>1124.53</v>
      </c>
      <c r="C721" s="1">
        <v>3170.65</v>
      </c>
      <c r="D721" s="1">
        <v>713.9</v>
      </c>
      <c r="E721" s="1">
        <v>1536.17</v>
      </c>
      <c r="F721" s="1">
        <v>177.52</v>
      </c>
      <c r="G721" s="1">
        <v>6995.02</v>
      </c>
      <c r="H721" s="1">
        <v>729.33</v>
      </c>
      <c r="I721" s="1">
        <v>1700.46</v>
      </c>
      <c r="J721" s="1">
        <v>17401.650000000001</v>
      </c>
    </row>
    <row r="722" spans="1:10">
      <c r="A722" s="2">
        <v>44533</v>
      </c>
      <c r="B722" s="1">
        <v>1090.74</v>
      </c>
      <c r="C722" s="1">
        <v>3168.52</v>
      </c>
      <c r="D722" s="1">
        <v>708.19</v>
      </c>
      <c r="E722" s="1">
        <v>1525.01</v>
      </c>
      <c r="F722" s="1">
        <v>174.53</v>
      </c>
      <c r="G722" s="1">
        <v>6884.01</v>
      </c>
      <c r="H722" s="1">
        <v>715.57</v>
      </c>
      <c r="I722" s="1">
        <v>1711.91</v>
      </c>
      <c r="J722" s="1">
        <v>17196.7</v>
      </c>
    </row>
    <row r="723" spans="1:10">
      <c r="A723" s="2">
        <v>44536</v>
      </c>
      <c r="B723" s="1">
        <v>1070.06</v>
      </c>
      <c r="C723" s="1">
        <v>3077.96</v>
      </c>
      <c r="D723" s="1">
        <v>703.63</v>
      </c>
      <c r="E723" s="1">
        <v>1489.65</v>
      </c>
      <c r="F723" s="1">
        <v>171.57</v>
      </c>
      <c r="G723" s="1">
        <v>6725.62</v>
      </c>
      <c r="H723" s="1">
        <v>701.63</v>
      </c>
      <c r="I723" s="1">
        <v>1694.23</v>
      </c>
      <c r="J723" s="1">
        <v>16912.25</v>
      </c>
    </row>
    <row r="724" spans="1:10">
      <c r="A724" s="2">
        <v>44537</v>
      </c>
      <c r="B724" s="1">
        <v>1078.78</v>
      </c>
      <c r="C724" s="1">
        <v>3119.82</v>
      </c>
      <c r="D724" s="1">
        <v>713.87</v>
      </c>
      <c r="E724" s="1">
        <v>1504.01</v>
      </c>
      <c r="F724" s="1">
        <v>173.74</v>
      </c>
      <c r="G724" s="1">
        <v>6862.9</v>
      </c>
      <c r="H724" s="1">
        <v>707.86</v>
      </c>
      <c r="I724" s="1">
        <v>1708.92</v>
      </c>
      <c r="J724" s="1">
        <v>17176.7</v>
      </c>
    </row>
    <row r="725" spans="1:10">
      <c r="A725" s="2">
        <v>44538</v>
      </c>
      <c r="B725" s="1">
        <v>1095.2</v>
      </c>
      <c r="C725" s="1">
        <v>3156.73</v>
      </c>
      <c r="D725" s="1">
        <v>727.02</v>
      </c>
      <c r="E725" s="1">
        <v>1540.65</v>
      </c>
      <c r="F725" s="1">
        <v>177.12</v>
      </c>
      <c r="G725" s="1">
        <v>7100.02</v>
      </c>
      <c r="H725" s="1">
        <v>721.05</v>
      </c>
      <c r="I725" s="1">
        <v>1734.53</v>
      </c>
      <c r="J725" s="1">
        <v>17469.75</v>
      </c>
    </row>
    <row r="726" spans="1:10">
      <c r="A726" s="2">
        <v>44539</v>
      </c>
      <c r="B726" s="1">
        <v>1112.57</v>
      </c>
      <c r="C726" s="1">
        <v>3134.84</v>
      </c>
      <c r="D726" s="1">
        <v>714.41</v>
      </c>
      <c r="E726" s="1">
        <v>1549.53</v>
      </c>
      <c r="F726" s="1">
        <v>185.35</v>
      </c>
      <c r="G726" s="1">
        <v>7087.46</v>
      </c>
      <c r="H726" s="1">
        <v>723.14</v>
      </c>
      <c r="I726" s="1">
        <v>1786.56</v>
      </c>
      <c r="J726" s="1">
        <v>17516.849999999999</v>
      </c>
    </row>
    <row r="727" spans="1:10">
      <c r="A727" s="2">
        <v>44540</v>
      </c>
      <c r="B727" s="1">
        <v>1113.7</v>
      </c>
      <c r="C727" s="1">
        <v>3165.34</v>
      </c>
      <c r="D727" s="1">
        <v>712.4</v>
      </c>
      <c r="E727" s="1">
        <v>1545.84</v>
      </c>
      <c r="F727" s="1">
        <v>185.9</v>
      </c>
      <c r="G727" s="1">
        <v>7091.18</v>
      </c>
      <c r="H727" s="1">
        <v>724.66</v>
      </c>
      <c r="I727" s="1">
        <v>1780.48</v>
      </c>
      <c r="J727" s="1">
        <v>17511.3</v>
      </c>
    </row>
    <row r="728" spans="1:10">
      <c r="A728" s="2">
        <v>44543</v>
      </c>
      <c r="B728" s="1">
        <v>1091.3699999999999</v>
      </c>
      <c r="C728" s="1">
        <v>3141.71</v>
      </c>
      <c r="D728" s="1">
        <v>707.07</v>
      </c>
      <c r="E728" s="1">
        <v>1533.01</v>
      </c>
      <c r="F728" s="1">
        <v>184.72</v>
      </c>
      <c r="G728" s="1">
        <v>7177.85</v>
      </c>
      <c r="H728" s="1">
        <v>725.85</v>
      </c>
      <c r="I728" s="1">
        <v>1769.17</v>
      </c>
      <c r="J728" s="1">
        <v>17368.25</v>
      </c>
    </row>
    <row r="729" spans="1:10">
      <c r="A729" s="2">
        <v>44544</v>
      </c>
      <c r="B729" s="1">
        <v>1078.01</v>
      </c>
      <c r="C729" s="1">
        <v>3154.03</v>
      </c>
      <c r="D729" s="1">
        <v>702.99</v>
      </c>
      <c r="E729" s="1">
        <v>1539.6</v>
      </c>
      <c r="F729" s="1">
        <v>180</v>
      </c>
      <c r="G729" s="1">
        <v>7155.64</v>
      </c>
      <c r="H729" s="1">
        <v>719.62</v>
      </c>
      <c r="I729" s="1">
        <v>1773.16</v>
      </c>
      <c r="J729" s="1">
        <v>17324.900000000001</v>
      </c>
    </row>
    <row r="730" spans="1:10">
      <c r="A730" s="2">
        <v>44545</v>
      </c>
      <c r="B730" s="1">
        <v>1074.8599999999999</v>
      </c>
      <c r="C730" s="1">
        <v>3107.51</v>
      </c>
      <c r="D730" s="1">
        <v>701.85</v>
      </c>
      <c r="E730" s="1">
        <v>1523.83</v>
      </c>
      <c r="F730" s="1">
        <v>176.41</v>
      </c>
      <c r="G730" s="1">
        <v>7227.07</v>
      </c>
      <c r="H730" s="1">
        <v>737.75</v>
      </c>
      <c r="I730" s="1">
        <v>1787.51</v>
      </c>
      <c r="J730" s="1">
        <v>17221.400000000001</v>
      </c>
    </row>
    <row r="731" spans="1:10">
      <c r="A731" s="2">
        <v>44546</v>
      </c>
      <c r="B731" s="1">
        <v>1088.77</v>
      </c>
      <c r="C731" s="1">
        <v>3117.3</v>
      </c>
      <c r="D731" s="1">
        <v>701.89</v>
      </c>
      <c r="E731" s="1">
        <v>1556.69</v>
      </c>
      <c r="F731" s="1">
        <v>175.51</v>
      </c>
      <c r="G731" s="1">
        <v>7115.2</v>
      </c>
      <c r="H731" s="1">
        <v>727.61</v>
      </c>
      <c r="I731" s="1">
        <v>1780.96</v>
      </c>
      <c r="J731" s="1">
        <v>17248.400000000001</v>
      </c>
    </row>
    <row r="732" spans="1:10">
      <c r="A732" s="2">
        <v>44547</v>
      </c>
      <c r="B732" s="1">
        <v>1060.03</v>
      </c>
      <c r="C732" s="1">
        <v>3119.69</v>
      </c>
      <c r="D732" s="1">
        <v>689.24</v>
      </c>
      <c r="E732" s="1">
        <v>1599.97</v>
      </c>
      <c r="F732" s="1">
        <v>171.61</v>
      </c>
      <c r="G732" s="1">
        <v>6967.95</v>
      </c>
      <c r="H732" s="1">
        <v>731.9</v>
      </c>
      <c r="I732" s="1">
        <v>1755.48</v>
      </c>
      <c r="J732" s="1">
        <v>16985.2</v>
      </c>
    </row>
    <row r="733" spans="1:10">
      <c r="A733" s="2">
        <v>44550</v>
      </c>
      <c r="B733" s="1">
        <v>1031.45</v>
      </c>
      <c r="C733" s="1">
        <v>3095.8</v>
      </c>
      <c r="D733" s="1">
        <v>667.06</v>
      </c>
      <c r="E733" s="1">
        <v>1580.68</v>
      </c>
      <c r="F733" s="1">
        <v>167.24</v>
      </c>
      <c r="G733" s="1">
        <v>6958.4</v>
      </c>
      <c r="H733" s="1">
        <v>727.14</v>
      </c>
      <c r="I733" s="1">
        <v>1710.1</v>
      </c>
      <c r="J733" s="1">
        <v>16614.2</v>
      </c>
    </row>
    <row r="734" spans="1:10">
      <c r="A734" s="2">
        <v>44551</v>
      </c>
      <c r="B734" s="1">
        <v>1046.81</v>
      </c>
      <c r="C734" s="1">
        <v>3140.54</v>
      </c>
      <c r="D734" s="1">
        <v>674.62</v>
      </c>
      <c r="E734" s="1">
        <v>1591.84</v>
      </c>
      <c r="F734" s="1">
        <v>167.32</v>
      </c>
      <c r="G734" s="1">
        <v>6985.66</v>
      </c>
      <c r="H734" s="1">
        <v>741.03</v>
      </c>
      <c r="I734" s="1">
        <v>1736.9</v>
      </c>
      <c r="J734" s="1">
        <v>16770.849999999999</v>
      </c>
    </row>
    <row r="735" spans="1:10">
      <c r="A735" s="2">
        <v>44552</v>
      </c>
      <c r="B735" s="1">
        <v>1071.6500000000001</v>
      </c>
      <c r="C735" s="1">
        <v>3160.08</v>
      </c>
      <c r="D735" s="1">
        <v>676.21</v>
      </c>
      <c r="E735" s="1">
        <v>1603.35</v>
      </c>
      <c r="F735" s="1">
        <v>166.93</v>
      </c>
      <c r="G735" s="1">
        <v>7089.37</v>
      </c>
      <c r="H735" s="1">
        <v>759.07</v>
      </c>
      <c r="I735" s="1">
        <v>1778.2</v>
      </c>
      <c r="J735" s="1">
        <v>16955.45</v>
      </c>
    </row>
    <row r="736" spans="1:10">
      <c r="A736" s="2">
        <v>44553</v>
      </c>
      <c r="B736" s="1">
        <v>1071.26</v>
      </c>
      <c r="C736" s="1">
        <v>3187.89</v>
      </c>
      <c r="D736" s="1">
        <v>675.69</v>
      </c>
      <c r="E736" s="1">
        <v>1632.26</v>
      </c>
      <c r="F736" s="1">
        <v>171.1</v>
      </c>
      <c r="G736" s="1">
        <v>7054.42</v>
      </c>
      <c r="H736" s="1">
        <v>754.26</v>
      </c>
      <c r="I736" s="1">
        <v>1785.28</v>
      </c>
      <c r="J736" s="1">
        <v>17072.599999999999</v>
      </c>
    </row>
    <row r="737" spans="1:10">
      <c r="A737" s="2">
        <v>44554</v>
      </c>
      <c r="B737" s="1">
        <v>1074.68</v>
      </c>
      <c r="C737" s="1">
        <v>3195.02</v>
      </c>
      <c r="D737" s="1">
        <v>673.26</v>
      </c>
      <c r="E737" s="1">
        <v>1637.44</v>
      </c>
      <c r="F737" s="1">
        <v>171.65</v>
      </c>
      <c r="G737" s="1">
        <v>6987.52</v>
      </c>
      <c r="H737" s="1">
        <v>747.55</v>
      </c>
      <c r="I737" s="1">
        <v>1767.17</v>
      </c>
      <c r="J737" s="1">
        <v>17003.75</v>
      </c>
    </row>
    <row r="738" spans="1:10">
      <c r="A738" s="2">
        <v>44557</v>
      </c>
      <c r="B738" s="1">
        <v>1073.53</v>
      </c>
      <c r="C738" s="1">
        <v>3216.96</v>
      </c>
      <c r="D738" s="1">
        <v>678.83</v>
      </c>
      <c r="E738" s="1">
        <v>1639.77</v>
      </c>
      <c r="F738" s="1">
        <v>171.3</v>
      </c>
      <c r="G738" s="1">
        <v>6961.17</v>
      </c>
      <c r="H738" s="1">
        <v>755.84</v>
      </c>
      <c r="I738" s="1">
        <v>1773.64</v>
      </c>
      <c r="J738" s="1">
        <v>17086.25</v>
      </c>
    </row>
    <row r="739" spans="1:10">
      <c r="A739" s="2">
        <v>44558</v>
      </c>
      <c r="B739" s="1">
        <v>1086.28</v>
      </c>
      <c r="C739" s="1">
        <v>3226.05</v>
      </c>
      <c r="D739" s="1">
        <v>683.51</v>
      </c>
      <c r="E739" s="1">
        <v>1658.97</v>
      </c>
      <c r="F739" s="1">
        <v>173.27</v>
      </c>
      <c r="G739" s="1">
        <v>6968.76</v>
      </c>
      <c r="H739" s="1">
        <v>775.82</v>
      </c>
      <c r="I739" s="1">
        <v>1805.29</v>
      </c>
      <c r="J739" s="1">
        <v>17233.25</v>
      </c>
    </row>
    <row r="740" spans="1:10">
      <c r="A740" s="2">
        <v>44559</v>
      </c>
      <c r="B740" s="1">
        <v>1088.1400000000001</v>
      </c>
      <c r="C740" s="1">
        <v>3215.74</v>
      </c>
      <c r="D740" s="1">
        <v>680.25</v>
      </c>
      <c r="E740" s="1">
        <v>1656.82</v>
      </c>
      <c r="F740" s="1">
        <v>170.67</v>
      </c>
      <c r="G740" s="1">
        <v>7018.99</v>
      </c>
      <c r="H740" s="1">
        <v>798.38</v>
      </c>
      <c r="I740" s="1">
        <v>1800.87</v>
      </c>
      <c r="J740" s="1">
        <v>17213.599999999999</v>
      </c>
    </row>
    <row r="741" spans="1:10">
      <c r="A741" s="2">
        <v>44560</v>
      </c>
      <c r="B741" s="1">
        <v>1068.48</v>
      </c>
      <c r="C741" s="1">
        <v>3249.73</v>
      </c>
      <c r="D741" s="1">
        <v>683.83</v>
      </c>
      <c r="E741" s="1">
        <v>1663.23</v>
      </c>
      <c r="F741" s="1">
        <v>170.08</v>
      </c>
      <c r="G741" s="1">
        <v>6954.24</v>
      </c>
      <c r="H741" s="1">
        <v>794.24</v>
      </c>
      <c r="I741" s="1">
        <v>1792.17</v>
      </c>
      <c r="J741" s="1">
        <v>17203.95</v>
      </c>
    </row>
    <row r="742" spans="1:10">
      <c r="A742" s="2">
        <v>44561</v>
      </c>
      <c r="B742" s="1">
        <v>1072.58</v>
      </c>
      <c r="C742" s="1">
        <v>3253.73</v>
      </c>
      <c r="D742" s="1">
        <v>692.21</v>
      </c>
      <c r="E742" s="1">
        <v>1658.75</v>
      </c>
      <c r="F742" s="1">
        <v>171.69</v>
      </c>
      <c r="G742" s="1">
        <v>7091.95</v>
      </c>
      <c r="H742" s="1">
        <v>804.95</v>
      </c>
      <c r="I742" s="1">
        <v>1801.86</v>
      </c>
      <c r="J742" s="1">
        <v>17354.05</v>
      </c>
    </row>
    <row r="743" spans="1:10">
      <c r="A743" s="2">
        <v>44564</v>
      </c>
      <c r="B743" s="1">
        <v>1088.75</v>
      </c>
      <c r="C743" s="1">
        <v>3322.84</v>
      </c>
      <c r="D743" s="1">
        <v>711.04</v>
      </c>
      <c r="E743" s="1">
        <v>1668.15</v>
      </c>
      <c r="F743" s="1">
        <v>172.52</v>
      </c>
      <c r="G743" s="1">
        <v>7185.01</v>
      </c>
      <c r="H743" s="1">
        <v>808.04</v>
      </c>
      <c r="I743" s="1">
        <v>1827.48</v>
      </c>
      <c r="J743" s="1">
        <v>17625.7</v>
      </c>
    </row>
    <row r="744" spans="1:10">
      <c r="A744" s="2">
        <v>44565</v>
      </c>
      <c r="B744" s="1">
        <v>1113.32</v>
      </c>
      <c r="C744" s="1">
        <v>3381.15</v>
      </c>
      <c r="D744" s="1">
        <v>715.21</v>
      </c>
      <c r="E744" s="1">
        <v>1668.77</v>
      </c>
      <c r="F744" s="1">
        <v>173.42</v>
      </c>
      <c r="G744" s="1">
        <v>7286.42</v>
      </c>
      <c r="H744" s="1">
        <v>797.33</v>
      </c>
      <c r="I744" s="1">
        <v>1841.45</v>
      </c>
      <c r="J744" s="1">
        <v>17805.25</v>
      </c>
    </row>
    <row r="745" spans="1:10">
      <c r="A745" s="2">
        <v>44566</v>
      </c>
      <c r="B745" s="1">
        <v>1118.53</v>
      </c>
      <c r="C745" s="1">
        <v>3360.44</v>
      </c>
      <c r="D745" s="1">
        <v>732.19</v>
      </c>
      <c r="E745" s="1">
        <v>1620.88</v>
      </c>
      <c r="F745" s="1">
        <v>173.66</v>
      </c>
      <c r="G745" s="1">
        <v>7425.13</v>
      </c>
      <c r="H745" s="1">
        <v>794.86</v>
      </c>
      <c r="I745" s="1">
        <v>1851.95</v>
      </c>
      <c r="J745" s="1">
        <v>17925.25</v>
      </c>
    </row>
    <row r="746" spans="1:10">
      <c r="A746" s="2">
        <v>44567</v>
      </c>
      <c r="B746" s="1">
        <v>1094.48</v>
      </c>
      <c r="C746" s="1">
        <v>3313.87</v>
      </c>
      <c r="D746" s="1">
        <v>720.45</v>
      </c>
      <c r="E746" s="1">
        <v>1597.29</v>
      </c>
      <c r="F746" s="1">
        <v>172.2</v>
      </c>
      <c r="G746" s="1">
        <v>7527.07</v>
      </c>
      <c r="H746" s="1">
        <v>789.62</v>
      </c>
      <c r="I746" s="1">
        <v>1829.05</v>
      </c>
      <c r="J746" s="1">
        <v>17745.900000000001</v>
      </c>
    </row>
    <row r="747" spans="1:10">
      <c r="A747" s="2">
        <v>44568</v>
      </c>
      <c r="B747" s="1">
        <v>1103.31</v>
      </c>
      <c r="C747" s="1">
        <v>3353.95</v>
      </c>
      <c r="D747" s="1">
        <v>725.5</v>
      </c>
      <c r="E747" s="1">
        <v>1594.21</v>
      </c>
      <c r="F747" s="1">
        <v>171.97</v>
      </c>
      <c r="G747" s="1">
        <v>7549.9</v>
      </c>
      <c r="H747" s="1">
        <v>789.01</v>
      </c>
      <c r="I747" s="1">
        <v>1810.42</v>
      </c>
      <c r="J747" s="1">
        <v>17812.7</v>
      </c>
    </row>
    <row r="748" spans="1:10">
      <c r="A748" s="2">
        <v>44571</v>
      </c>
      <c r="B748" s="1">
        <v>1104.21</v>
      </c>
      <c r="C748" s="1">
        <v>3376.89</v>
      </c>
      <c r="D748" s="1">
        <v>729.52</v>
      </c>
      <c r="E748" s="1">
        <v>1626.24</v>
      </c>
      <c r="F748" s="1">
        <v>175.82</v>
      </c>
      <c r="G748" s="1">
        <v>7759.61</v>
      </c>
      <c r="H748" s="1">
        <v>786.86</v>
      </c>
      <c r="I748" s="1">
        <v>1856.23</v>
      </c>
      <c r="J748" s="1">
        <v>18003.3</v>
      </c>
    </row>
    <row r="749" spans="1:10">
      <c r="A749" s="2">
        <v>44572</v>
      </c>
      <c r="B749" s="1">
        <v>1112.1600000000001</v>
      </c>
      <c r="C749" s="1">
        <v>3408.26</v>
      </c>
      <c r="D749" s="1">
        <v>732.68</v>
      </c>
      <c r="E749" s="1">
        <v>1630.5</v>
      </c>
      <c r="F749" s="1">
        <v>174.76</v>
      </c>
      <c r="G749" s="1">
        <v>7777.03</v>
      </c>
      <c r="H749" s="1">
        <v>792.29</v>
      </c>
      <c r="I749" s="1">
        <v>1863.88</v>
      </c>
      <c r="J749" s="1">
        <v>18055.75</v>
      </c>
    </row>
    <row r="750" spans="1:10">
      <c r="A750" s="2">
        <v>44573</v>
      </c>
      <c r="B750" s="1">
        <v>1141.8499999999999</v>
      </c>
      <c r="C750" s="1">
        <v>3359.52</v>
      </c>
      <c r="D750" s="1">
        <v>728.35</v>
      </c>
      <c r="E750" s="1">
        <v>1649.7</v>
      </c>
      <c r="F750" s="1">
        <v>175.39</v>
      </c>
      <c r="G750" s="1">
        <v>7802.72</v>
      </c>
      <c r="H750" s="1">
        <v>795.91</v>
      </c>
      <c r="I750" s="1">
        <v>1876.28</v>
      </c>
      <c r="J750" s="1">
        <v>18212.349999999999</v>
      </c>
    </row>
    <row r="751" spans="1:10">
      <c r="A751" s="2">
        <v>44574</v>
      </c>
      <c r="B751" s="1">
        <v>1148.28</v>
      </c>
      <c r="C751" s="1">
        <v>3392.6</v>
      </c>
      <c r="D751" s="1">
        <v>714.95</v>
      </c>
      <c r="E751" s="1">
        <v>1666.7</v>
      </c>
      <c r="F751" s="1">
        <v>176.34</v>
      </c>
      <c r="G751" s="1">
        <v>7713.24</v>
      </c>
      <c r="H751" s="1">
        <v>823.79</v>
      </c>
      <c r="I751" s="1">
        <v>1918.29</v>
      </c>
      <c r="J751" s="1">
        <v>18257.8</v>
      </c>
    </row>
    <row r="752" spans="1:10">
      <c r="A752" s="2">
        <v>44575</v>
      </c>
      <c r="B752" s="1">
        <v>1149.96</v>
      </c>
      <c r="C752" s="1">
        <v>3453.74</v>
      </c>
      <c r="D752" s="1">
        <v>722.97</v>
      </c>
      <c r="E752" s="1">
        <v>1695.3</v>
      </c>
      <c r="F752" s="1">
        <v>175.27</v>
      </c>
      <c r="G752" s="1">
        <v>7720.07</v>
      </c>
      <c r="H752" s="1">
        <v>818.32</v>
      </c>
      <c r="I752" s="1">
        <v>1943.33</v>
      </c>
      <c r="J752" s="1">
        <v>18255.75</v>
      </c>
    </row>
    <row r="753" spans="1:10">
      <c r="A753" s="2">
        <v>44578</v>
      </c>
      <c r="B753" s="1">
        <v>1155.96</v>
      </c>
      <c r="C753" s="1">
        <v>3498.13</v>
      </c>
      <c r="D753" s="1">
        <v>711.91</v>
      </c>
      <c r="E753" s="1">
        <v>1704.22</v>
      </c>
      <c r="F753" s="1">
        <v>176.85</v>
      </c>
      <c r="G753" s="1">
        <v>7893.2</v>
      </c>
      <c r="H753" s="1">
        <v>812.09</v>
      </c>
      <c r="I753" s="1">
        <v>1966.76</v>
      </c>
      <c r="J753" s="1">
        <v>18308.099999999999</v>
      </c>
    </row>
    <row r="754" spans="1:10">
      <c r="A754" s="2">
        <v>44579</v>
      </c>
      <c r="B754" s="1">
        <v>1142.17</v>
      </c>
      <c r="C754" s="1">
        <v>3473.28</v>
      </c>
      <c r="D754" s="1">
        <v>715.53</v>
      </c>
      <c r="E754" s="1">
        <v>1687.75</v>
      </c>
      <c r="F754" s="1">
        <v>173.82</v>
      </c>
      <c r="G754" s="1">
        <v>7558.63</v>
      </c>
      <c r="H754" s="1">
        <v>805.9</v>
      </c>
      <c r="I754" s="1">
        <v>1921.9</v>
      </c>
      <c r="J754" s="1">
        <v>18113.05</v>
      </c>
    </row>
    <row r="755" spans="1:10">
      <c r="A755" s="2">
        <v>44580</v>
      </c>
      <c r="B755" s="1">
        <v>1142.08</v>
      </c>
      <c r="C755" s="1">
        <v>3413.16</v>
      </c>
      <c r="D755" s="1">
        <v>710.48</v>
      </c>
      <c r="E755" s="1">
        <v>1640.56</v>
      </c>
      <c r="F755" s="1">
        <v>173.5</v>
      </c>
      <c r="G755" s="1">
        <v>7654.66</v>
      </c>
      <c r="H755" s="1">
        <v>798.1</v>
      </c>
      <c r="I755" s="1">
        <v>1920.66</v>
      </c>
      <c r="J755" s="1">
        <v>17938.400000000001</v>
      </c>
    </row>
    <row r="756" spans="1:10">
      <c r="A756" s="2">
        <v>44581</v>
      </c>
      <c r="B756" s="1">
        <v>1122.08</v>
      </c>
      <c r="C756" s="1">
        <v>3336.35</v>
      </c>
      <c r="D756" s="1">
        <v>706.06</v>
      </c>
      <c r="E756" s="1">
        <v>1602.47</v>
      </c>
      <c r="F756" s="1">
        <v>172.24</v>
      </c>
      <c r="G756" s="1">
        <v>7674.38</v>
      </c>
      <c r="H756" s="1">
        <v>780.49</v>
      </c>
      <c r="I756" s="1">
        <v>1904.13</v>
      </c>
      <c r="J756" s="1">
        <v>17757</v>
      </c>
    </row>
    <row r="757" spans="1:10">
      <c r="A757" s="2">
        <v>44582</v>
      </c>
      <c r="B757" s="1">
        <v>1122.26</v>
      </c>
      <c r="C757" s="1">
        <v>3342.41</v>
      </c>
      <c r="D757" s="1">
        <v>711.95</v>
      </c>
      <c r="E757" s="1">
        <v>1569.08</v>
      </c>
      <c r="F757" s="1">
        <v>170.9</v>
      </c>
      <c r="G757" s="1">
        <v>7820.72</v>
      </c>
      <c r="H757" s="1">
        <v>769.78</v>
      </c>
      <c r="I757" s="1">
        <v>1859.03</v>
      </c>
      <c r="J757" s="1">
        <v>17617.150000000001</v>
      </c>
    </row>
    <row r="758" spans="1:10">
      <c r="A758" s="2">
        <v>44585</v>
      </c>
      <c r="B758" s="1">
        <v>1076.99</v>
      </c>
      <c r="C758" s="1">
        <v>3288.22</v>
      </c>
      <c r="D758" s="1">
        <v>695.6</v>
      </c>
      <c r="E758" s="1">
        <v>1526.11</v>
      </c>
      <c r="F758" s="1">
        <v>166.77</v>
      </c>
      <c r="G758" s="1">
        <v>7689.61</v>
      </c>
      <c r="H758" s="1">
        <v>762.26</v>
      </c>
      <c r="I758" s="1">
        <v>1805.67</v>
      </c>
      <c r="J758" s="1">
        <v>17149.099999999999</v>
      </c>
    </row>
    <row r="759" spans="1:10">
      <c r="A759" s="2">
        <v>44586</v>
      </c>
      <c r="B759" s="1">
        <v>1074.8900000000001</v>
      </c>
      <c r="C759" s="1">
        <v>3286.96</v>
      </c>
      <c r="D759" s="1">
        <v>696.26</v>
      </c>
      <c r="E759" s="1">
        <v>1513.24</v>
      </c>
      <c r="F759" s="1">
        <v>168.74</v>
      </c>
      <c r="G759" s="1">
        <v>8215.1200000000008</v>
      </c>
      <c r="H759" s="1">
        <v>769.11</v>
      </c>
      <c r="I759" s="1">
        <v>1829.81</v>
      </c>
      <c r="J759" s="1">
        <v>17277.95</v>
      </c>
    </row>
    <row r="760" spans="1:10">
      <c r="A760" s="2">
        <v>44588</v>
      </c>
      <c r="B760" s="1">
        <v>1058.97</v>
      </c>
      <c r="C760" s="1">
        <v>3181.76</v>
      </c>
      <c r="D760" s="1">
        <v>690.13</v>
      </c>
      <c r="E760" s="1">
        <v>1474.97</v>
      </c>
      <c r="F760" s="1">
        <v>168.97</v>
      </c>
      <c r="G760" s="1">
        <v>8422.92</v>
      </c>
      <c r="H760" s="1">
        <v>772.97</v>
      </c>
      <c r="I760" s="1">
        <v>1816.07</v>
      </c>
      <c r="J760" s="1">
        <v>17110.150000000001</v>
      </c>
    </row>
    <row r="761" spans="1:10">
      <c r="A761" s="2">
        <v>44589</v>
      </c>
      <c r="B761" s="1">
        <v>1057.95</v>
      </c>
      <c r="C761" s="1">
        <v>3217.34</v>
      </c>
      <c r="D761" s="1">
        <v>684.65</v>
      </c>
      <c r="E761" s="1">
        <v>1481.65</v>
      </c>
      <c r="F761" s="1">
        <v>171.34</v>
      </c>
      <c r="G761" s="1">
        <v>8165.8</v>
      </c>
      <c r="H761" s="1">
        <v>787.48</v>
      </c>
      <c r="I761" s="1">
        <v>1803.43</v>
      </c>
      <c r="J761" s="1">
        <v>17101.95</v>
      </c>
    </row>
    <row r="762" spans="1:10">
      <c r="A762" s="2">
        <v>44592</v>
      </c>
      <c r="B762" s="1">
        <v>1080.93</v>
      </c>
      <c r="C762" s="1">
        <v>3257.62</v>
      </c>
      <c r="D762" s="1">
        <v>695.16</v>
      </c>
      <c r="E762" s="1">
        <v>1525.58</v>
      </c>
      <c r="F762" s="1">
        <v>173.38</v>
      </c>
      <c r="G762" s="1">
        <v>8210.06</v>
      </c>
      <c r="H762" s="1">
        <v>794.29</v>
      </c>
      <c r="I762" s="1">
        <v>1814.5</v>
      </c>
      <c r="J762" s="1">
        <v>17339.849999999999</v>
      </c>
    </row>
    <row r="763" spans="1:10">
      <c r="A763" s="2">
        <v>44593</v>
      </c>
      <c r="B763" s="1">
        <v>1077.3599999999999</v>
      </c>
      <c r="C763" s="1">
        <v>3313.77</v>
      </c>
      <c r="D763" s="1">
        <v>700.44</v>
      </c>
      <c r="E763" s="1">
        <v>1557.09</v>
      </c>
      <c r="F763" s="1">
        <v>179.33</v>
      </c>
      <c r="G763" s="1">
        <v>8173.87</v>
      </c>
      <c r="H763" s="1">
        <v>848.78</v>
      </c>
      <c r="I763" s="1">
        <v>1891.77</v>
      </c>
      <c r="J763" s="1">
        <v>17576.849999999999</v>
      </c>
    </row>
    <row r="764" spans="1:10">
      <c r="A764" s="2">
        <v>44594</v>
      </c>
      <c r="B764" s="1">
        <v>1079.55</v>
      </c>
      <c r="C764" s="1">
        <v>3362.2</v>
      </c>
      <c r="D764" s="1">
        <v>716.45</v>
      </c>
      <c r="E764" s="1">
        <v>1570.31</v>
      </c>
      <c r="F764" s="1">
        <v>182.79</v>
      </c>
      <c r="G764" s="1">
        <v>8131.7</v>
      </c>
      <c r="H764" s="1">
        <v>847.73</v>
      </c>
      <c r="I764" s="1">
        <v>1884.36</v>
      </c>
      <c r="J764" s="1">
        <v>17780</v>
      </c>
    </row>
    <row r="765" spans="1:10">
      <c r="A765" s="2">
        <v>44595</v>
      </c>
      <c r="B765" s="1">
        <v>1065.5999999999999</v>
      </c>
      <c r="C765" s="1">
        <v>3334.65</v>
      </c>
      <c r="D765" s="1">
        <v>709.03</v>
      </c>
      <c r="E765" s="1">
        <v>1527.65</v>
      </c>
      <c r="F765" s="1">
        <v>184.6</v>
      </c>
      <c r="G765" s="1">
        <v>8206.57</v>
      </c>
      <c r="H765" s="1">
        <v>840.97</v>
      </c>
      <c r="I765" s="1">
        <v>1837.74</v>
      </c>
      <c r="J765" s="1">
        <v>17560.2</v>
      </c>
    </row>
    <row r="766" spans="1:10">
      <c r="A766" s="2">
        <v>44596</v>
      </c>
      <c r="B766" s="1">
        <v>1055.8900000000001</v>
      </c>
      <c r="C766" s="1">
        <v>3326.19</v>
      </c>
      <c r="D766" s="1">
        <v>713.08</v>
      </c>
      <c r="E766" s="1">
        <v>1529.89</v>
      </c>
      <c r="F766" s="1">
        <v>184.49</v>
      </c>
      <c r="G766" s="1">
        <v>8165.41</v>
      </c>
      <c r="H766" s="1">
        <v>850.87</v>
      </c>
      <c r="I766" s="1">
        <v>1851.33</v>
      </c>
      <c r="J766" s="1">
        <v>17516.3</v>
      </c>
    </row>
    <row r="767" spans="1:10">
      <c r="A767" s="2">
        <v>44599</v>
      </c>
      <c r="B767" s="1">
        <v>1049.46</v>
      </c>
      <c r="C767" s="1">
        <v>3294.89</v>
      </c>
      <c r="D767" s="1">
        <v>686.95</v>
      </c>
      <c r="E767" s="1">
        <v>1506.96</v>
      </c>
      <c r="F767" s="1">
        <v>181.26</v>
      </c>
      <c r="G767" s="1">
        <v>8128.27</v>
      </c>
      <c r="H767" s="1">
        <v>844.31</v>
      </c>
      <c r="I767" s="1">
        <v>1791.03</v>
      </c>
      <c r="J767" s="1">
        <v>17213.599999999999</v>
      </c>
    </row>
    <row r="768" spans="1:10">
      <c r="A768" s="2">
        <v>44600</v>
      </c>
      <c r="B768" s="1">
        <v>1067.0999999999999</v>
      </c>
      <c r="C768" s="1">
        <v>3263.89</v>
      </c>
      <c r="D768" s="1">
        <v>684</v>
      </c>
      <c r="E768" s="1">
        <v>1508.98</v>
      </c>
      <c r="F768" s="1">
        <v>182.08</v>
      </c>
      <c r="G768" s="1">
        <v>8212.11</v>
      </c>
      <c r="H768" s="1">
        <v>851.02</v>
      </c>
      <c r="I768" s="1">
        <v>1782.57</v>
      </c>
      <c r="J768" s="1">
        <v>17266.75</v>
      </c>
    </row>
    <row r="769" spans="1:10">
      <c r="A769" s="2">
        <v>44601</v>
      </c>
      <c r="B769" s="1">
        <v>1079.53</v>
      </c>
      <c r="C769" s="1">
        <v>3278.8</v>
      </c>
      <c r="D769" s="1">
        <v>700.73</v>
      </c>
      <c r="E769" s="1">
        <v>1526.55</v>
      </c>
      <c r="F769" s="1">
        <v>181.22</v>
      </c>
      <c r="G769" s="1">
        <v>8546.35</v>
      </c>
      <c r="H769" s="1">
        <v>850.39</v>
      </c>
      <c r="I769" s="1">
        <v>1795.12</v>
      </c>
      <c r="J769" s="1">
        <v>17463.8</v>
      </c>
    </row>
    <row r="770" spans="1:10">
      <c r="A770" s="2">
        <v>44602</v>
      </c>
      <c r="B770" s="1">
        <v>1078.42</v>
      </c>
      <c r="C770" s="1">
        <v>3287.35</v>
      </c>
      <c r="D770" s="1">
        <v>713.59</v>
      </c>
      <c r="E770" s="1">
        <v>1554.93</v>
      </c>
      <c r="F770" s="1">
        <v>182.87</v>
      </c>
      <c r="G770" s="1">
        <v>8408.83</v>
      </c>
      <c r="H770" s="1">
        <v>857.92</v>
      </c>
      <c r="I770" s="1">
        <v>1806.71</v>
      </c>
      <c r="J770" s="1">
        <v>17605.849999999999</v>
      </c>
    </row>
    <row r="771" spans="1:10">
      <c r="A771" s="2">
        <v>44603</v>
      </c>
      <c r="B771" s="1">
        <v>1076.31</v>
      </c>
      <c r="C771" s="1">
        <v>3221.61</v>
      </c>
      <c r="D771" s="1">
        <v>710.67</v>
      </c>
      <c r="E771" s="1">
        <v>1512.54</v>
      </c>
      <c r="F771" s="1">
        <v>183.03</v>
      </c>
      <c r="G771" s="1">
        <v>8343.61</v>
      </c>
      <c r="H771" s="1">
        <v>844.3</v>
      </c>
      <c r="I771" s="1">
        <v>1778.44</v>
      </c>
      <c r="J771" s="1">
        <v>17374.75</v>
      </c>
    </row>
    <row r="772" spans="1:10">
      <c r="A772" s="2">
        <v>44606</v>
      </c>
      <c r="B772" s="1">
        <v>1059.17</v>
      </c>
      <c r="C772" s="1">
        <v>3255.44</v>
      </c>
      <c r="D772" s="1">
        <v>689.54</v>
      </c>
      <c r="E772" s="1">
        <v>1478.13</v>
      </c>
      <c r="F772" s="1">
        <v>176.94</v>
      </c>
      <c r="G772" s="1">
        <v>7989.56</v>
      </c>
      <c r="H772" s="1">
        <v>829.67</v>
      </c>
      <c r="I772" s="1">
        <v>1709.77</v>
      </c>
      <c r="J772" s="1">
        <v>16842.8</v>
      </c>
    </row>
    <row r="773" spans="1:10">
      <c r="A773" s="2">
        <v>44607</v>
      </c>
      <c r="B773" s="1">
        <v>1095.1300000000001</v>
      </c>
      <c r="C773" s="1">
        <v>3328.72</v>
      </c>
      <c r="D773" s="1">
        <v>710.18</v>
      </c>
      <c r="E773" s="1">
        <v>1527.39</v>
      </c>
      <c r="F773" s="1">
        <v>179.81</v>
      </c>
      <c r="G773" s="1">
        <v>8234.32</v>
      </c>
      <c r="H773" s="1">
        <v>841.14</v>
      </c>
      <c r="I773" s="1">
        <v>1783</v>
      </c>
      <c r="J773" s="1">
        <v>17352.45</v>
      </c>
    </row>
    <row r="774" spans="1:10">
      <c r="A774" s="2">
        <v>44608</v>
      </c>
      <c r="B774" s="1">
        <v>1092.8699999999999</v>
      </c>
      <c r="C774" s="1">
        <v>3324.62</v>
      </c>
      <c r="D774" s="1">
        <v>709.22</v>
      </c>
      <c r="E774" s="1">
        <v>1523.04</v>
      </c>
      <c r="F774" s="1">
        <v>179.6</v>
      </c>
      <c r="G774" s="1">
        <v>8196.35</v>
      </c>
      <c r="H774" s="1">
        <v>833.51</v>
      </c>
      <c r="I774" s="1">
        <v>1768.41</v>
      </c>
      <c r="J774" s="1">
        <v>17322.2</v>
      </c>
    </row>
    <row r="775" spans="1:10">
      <c r="A775" s="2">
        <v>44609</v>
      </c>
      <c r="B775" s="1">
        <v>1106.7</v>
      </c>
      <c r="C775" s="1">
        <v>3299.42</v>
      </c>
      <c r="D775" s="1">
        <v>704.89</v>
      </c>
      <c r="E775" s="1">
        <v>1515.57</v>
      </c>
      <c r="F775" s="1">
        <v>179.52</v>
      </c>
      <c r="G775" s="1">
        <v>8167.23</v>
      </c>
      <c r="H775" s="1">
        <v>827.47</v>
      </c>
      <c r="I775" s="1">
        <v>1776.01</v>
      </c>
      <c r="J775" s="1">
        <v>17304.599999999999</v>
      </c>
    </row>
    <row r="776" spans="1:10">
      <c r="A776" s="2">
        <v>44610</v>
      </c>
      <c r="B776" s="1">
        <v>1098.05</v>
      </c>
      <c r="C776" s="1">
        <v>3307.88</v>
      </c>
      <c r="D776" s="1">
        <v>707.63</v>
      </c>
      <c r="E776" s="1">
        <v>1499.88</v>
      </c>
      <c r="F776" s="1">
        <v>178.92</v>
      </c>
      <c r="G776" s="1">
        <v>8183.13</v>
      </c>
      <c r="H776" s="1">
        <v>827.8</v>
      </c>
      <c r="I776" s="1">
        <v>1789.7</v>
      </c>
      <c r="J776" s="1">
        <v>17276.3</v>
      </c>
    </row>
    <row r="777" spans="1:10">
      <c r="A777" s="2">
        <v>44613</v>
      </c>
      <c r="B777" s="1">
        <v>1086.96</v>
      </c>
      <c r="C777" s="1">
        <v>3242.93</v>
      </c>
      <c r="D777" s="1">
        <v>712.19</v>
      </c>
      <c r="E777" s="1">
        <v>1520.75</v>
      </c>
      <c r="F777" s="1">
        <v>175.77</v>
      </c>
      <c r="G777" s="1">
        <v>8224.77</v>
      </c>
      <c r="H777" s="1">
        <v>809.53</v>
      </c>
      <c r="I777" s="1">
        <v>1771.5</v>
      </c>
      <c r="J777" s="1">
        <v>17206.650000000001</v>
      </c>
    </row>
    <row r="778" spans="1:10">
      <c r="A778" s="2">
        <v>44614</v>
      </c>
      <c r="B778" s="1">
        <v>1082.02</v>
      </c>
      <c r="C778" s="1">
        <v>3126.96</v>
      </c>
      <c r="D778" s="1">
        <v>706.85</v>
      </c>
      <c r="E778" s="1">
        <v>1523.96</v>
      </c>
      <c r="F778" s="1">
        <v>173.23</v>
      </c>
      <c r="G778" s="1">
        <v>8234.41</v>
      </c>
      <c r="H778" s="1">
        <v>811.4</v>
      </c>
      <c r="I778" s="1">
        <v>1752.97</v>
      </c>
      <c r="J778" s="1">
        <v>17092.2</v>
      </c>
    </row>
    <row r="779" spans="1:10">
      <c r="A779" s="2">
        <v>44615</v>
      </c>
      <c r="B779" s="1">
        <v>1075.25</v>
      </c>
      <c r="C779" s="1">
        <v>3107.26</v>
      </c>
      <c r="D779" s="1">
        <v>702.27</v>
      </c>
      <c r="E779" s="1">
        <v>1531.43</v>
      </c>
      <c r="F779" s="1">
        <v>174.12</v>
      </c>
      <c r="G779" s="1">
        <v>8307.0300000000007</v>
      </c>
      <c r="H779" s="1">
        <v>806.07</v>
      </c>
      <c r="I779" s="1">
        <v>1730.01</v>
      </c>
      <c r="J779" s="1">
        <v>17063.25</v>
      </c>
    </row>
    <row r="780" spans="1:10">
      <c r="A780" s="2">
        <v>44616</v>
      </c>
      <c r="B780" s="1">
        <v>1021.67</v>
      </c>
      <c r="C780" s="1">
        <v>2965.88</v>
      </c>
      <c r="D780" s="1">
        <v>664.14</v>
      </c>
      <c r="E780" s="1">
        <v>1474.58</v>
      </c>
      <c r="F780" s="1">
        <v>168.11</v>
      </c>
      <c r="G780" s="1">
        <v>7840.35</v>
      </c>
      <c r="H780" s="1">
        <v>784.97</v>
      </c>
      <c r="I780" s="1">
        <v>1670.19</v>
      </c>
      <c r="J780" s="1">
        <v>16247.95</v>
      </c>
    </row>
    <row r="781" spans="1:10">
      <c r="A781" s="2">
        <v>44617</v>
      </c>
      <c r="B781" s="1">
        <v>1034.44</v>
      </c>
      <c r="C781" s="1">
        <v>3069.72</v>
      </c>
      <c r="D781" s="1">
        <v>681.31</v>
      </c>
      <c r="E781" s="1">
        <v>1489.03</v>
      </c>
      <c r="F781" s="1">
        <v>172.51</v>
      </c>
      <c r="G781" s="1">
        <v>7979.72</v>
      </c>
      <c r="H781" s="1">
        <v>797.73</v>
      </c>
      <c r="I781" s="1">
        <v>1688.91</v>
      </c>
      <c r="J781" s="1">
        <v>16658.400000000001</v>
      </c>
    </row>
    <row r="782" spans="1:10">
      <c r="A782" s="2">
        <v>44620</v>
      </c>
      <c r="B782" s="1">
        <v>1068.68</v>
      </c>
      <c r="C782" s="1">
        <v>3098.89</v>
      </c>
      <c r="D782" s="1">
        <v>667.34</v>
      </c>
      <c r="E782" s="1">
        <v>1507.48</v>
      </c>
      <c r="F782" s="1">
        <v>174.04</v>
      </c>
      <c r="G782" s="1">
        <v>7939.66</v>
      </c>
      <c r="H782" s="1">
        <v>809.57</v>
      </c>
      <c r="I782" s="1">
        <v>1726.64</v>
      </c>
      <c r="J782" s="1">
        <v>16793.900000000001</v>
      </c>
    </row>
    <row r="783" spans="1:10">
      <c r="A783" s="2">
        <v>44622</v>
      </c>
      <c r="B783" s="1">
        <v>1086.3499999999999</v>
      </c>
      <c r="C783" s="1">
        <v>3091.87</v>
      </c>
      <c r="D783" s="1">
        <v>643.01</v>
      </c>
      <c r="E783" s="1">
        <v>1496.24</v>
      </c>
      <c r="F783" s="1">
        <v>173.6</v>
      </c>
      <c r="G783" s="1">
        <v>7462.23</v>
      </c>
      <c r="H783" s="1">
        <v>787.51</v>
      </c>
      <c r="I783" s="1">
        <v>1695.99</v>
      </c>
      <c r="J783" s="1">
        <v>16605.95</v>
      </c>
    </row>
    <row r="784" spans="1:10">
      <c r="A784" s="2">
        <v>44623</v>
      </c>
      <c r="B784" s="1">
        <v>1077.17</v>
      </c>
      <c r="C784" s="1">
        <v>3090.34</v>
      </c>
      <c r="D784" s="1">
        <v>641.49</v>
      </c>
      <c r="E784" s="1">
        <v>1512.1</v>
      </c>
      <c r="F784" s="1">
        <v>176.9</v>
      </c>
      <c r="G784" s="1">
        <v>7253.43</v>
      </c>
      <c r="H784" s="1">
        <v>787.51</v>
      </c>
      <c r="I784" s="1">
        <v>1665.39</v>
      </c>
      <c r="J784" s="1">
        <v>16498.05</v>
      </c>
    </row>
    <row r="785" spans="1:10">
      <c r="A785" s="2">
        <v>44624</v>
      </c>
      <c r="B785" s="1">
        <v>1053.28</v>
      </c>
      <c r="C785" s="1">
        <v>3072.86</v>
      </c>
      <c r="D785" s="1">
        <v>639.38</v>
      </c>
      <c r="E785" s="1">
        <v>1514.25</v>
      </c>
      <c r="F785" s="1">
        <v>181.82</v>
      </c>
      <c r="G785" s="1">
        <v>6920.87</v>
      </c>
      <c r="H785" s="1">
        <v>795.9</v>
      </c>
      <c r="I785" s="1">
        <v>1626.85</v>
      </c>
      <c r="J785" s="1">
        <v>16245.35</v>
      </c>
    </row>
    <row r="786" spans="1:10">
      <c r="A786" s="2">
        <v>44627</v>
      </c>
      <c r="B786" s="1">
        <v>1014.33</v>
      </c>
      <c r="C786" s="1">
        <v>3038.47</v>
      </c>
      <c r="D786" s="1">
        <v>619.87</v>
      </c>
      <c r="E786" s="1">
        <v>1528.79</v>
      </c>
      <c r="F786" s="1">
        <v>181.38</v>
      </c>
      <c r="G786" s="1">
        <v>6464.16</v>
      </c>
      <c r="H786" s="1">
        <v>789.19</v>
      </c>
      <c r="I786" s="1">
        <v>1553.38</v>
      </c>
      <c r="J786" s="1">
        <v>15863.15</v>
      </c>
    </row>
    <row r="787" spans="1:10">
      <c r="A787" s="2">
        <v>44628</v>
      </c>
      <c r="B787" s="1">
        <v>1012.5</v>
      </c>
      <c r="C787" s="1">
        <v>3138.78</v>
      </c>
      <c r="D787" s="1">
        <v>621.28</v>
      </c>
      <c r="E787" s="1">
        <v>1562.49</v>
      </c>
      <c r="F787" s="1">
        <v>182.95</v>
      </c>
      <c r="G787" s="1">
        <v>6499.73</v>
      </c>
      <c r="H787" s="1">
        <v>820.22</v>
      </c>
      <c r="I787" s="1">
        <v>1576.24</v>
      </c>
      <c r="J787" s="1">
        <v>16013.45</v>
      </c>
    </row>
    <row r="788" spans="1:10">
      <c r="A788" s="2">
        <v>44629</v>
      </c>
      <c r="B788" s="1">
        <v>1066.21</v>
      </c>
      <c r="C788" s="1">
        <v>3167.25</v>
      </c>
      <c r="D788" s="1">
        <v>641.55999999999995</v>
      </c>
      <c r="E788" s="1">
        <v>1593.38</v>
      </c>
      <c r="F788" s="1">
        <v>184.84</v>
      </c>
      <c r="G788" s="1">
        <v>6710.35</v>
      </c>
      <c r="H788" s="1">
        <v>832.93</v>
      </c>
      <c r="I788" s="1">
        <v>1607.08</v>
      </c>
      <c r="J788" s="1">
        <v>16345.35</v>
      </c>
    </row>
    <row r="789" spans="1:10">
      <c r="A789" s="2">
        <v>44630</v>
      </c>
      <c r="B789" s="1">
        <v>1083.49</v>
      </c>
      <c r="C789" s="1">
        <v>3157.09</v>
      </c>
      <c r="D789" s="1">
        <v>651.64</v>
      </c>
      <c r="E789" s="1">
        <v>1604.4</v>
      </c>
      <c r="F789" s="1">
        <v>187.06</v>
      </c>
      <c r="G789" s="1">
        <v>6886.97</v>
      </c>
      <c r="H789" s="1">
        <v>834.18</v>
      </c>
      <c r="I789" s="1">
        <v>1642.48</v>
      </c>
      <c r="J789" s="1">
        <v>16594.900000000001</v>
      </c>
    </row>
    <row r="790" spans="1:10">
      <c r="A790" s="2">
        <v>44631</v>
      </c>
      <c r="B790" s="1">
        <v>1086.6199999999999</v>
      </c>
      <c r="C790" s="1">
        <v>3138.08</v>
      </c>
      <c r="D790" s="1">
        <v>653.55999999999995</v>
      </c>
      <c r="E790" s="1">
        <v>1600.98</v>
      </c>
      <c r="F790" s="1">
        <v>190.57</v>
      </c>
      <c r="G790" s="1">
        <v>6782.64</v>
      </c>
      <c r="H790" s="1">
        <v>865.31</v>
      </c>
      <c r="I790" s="1">
        <v>1642.91</v>
      </c>
      <c r="J790" s="1">
        <v>16630.45</v>
      </c>
    </row>
    <row r="791" spans="1:10">
      <c r="A791" s="2">
        <v>44634</v>
      </c>
      <c r="B791" s="1">
        <v>1095.54</v>
      </c>
      <c r="C791" s="1">
        <v>3176.31</v>
      </c>
      <c r="D791" s="1">
        <v>674.97</v>
      </c>
      <c r="E791" s="1">
        <v>1661.34</v>
      </c>
      <c r="F791" s="1">
        <v>192.71</v>
      </c>
      <c r="G791" s="1">
        <v>6987.19</v>
      </c>
      <c r="H791" s="1">
        <v>855.96</v>
      </c>
      <c r="I791" s="1">
        <v>1660.11</v>
      </c>
      <c r="J791" s="1">
        <v>16871.3</v>
      </c>
    </row>
    <row r="792" spans="1:10">
      <c r="A792" s="2">
        <v>44635</v>
      </c>
      <c r="B792" s="1">
        <v>1070.45</v>
      </c>
      <c r="C792" s="1">
        <v>3133.5</v>
      </c>
      <c r="D792" s="1">
        <v>666.29</v>
      </c>
      <c r="E792" s="1">
        <v>1616.18</v>
      </c>
      <c r="F792" s="1">
        <v>191.78</v>
      </c>
      <c r="G792" s="1">
        <v>7085.88</v>
      </c>
      <c r="H792" s="1">
        <v>855.38</v>
      </c>
      <c r="I792" s="1">
        <v>1656.98</v>
      </c>
      <c r="J792" s="1">
        <v>16663</v>
      </c>
    </row>
    <row r="793" spans="1:10">
      <c r="A793" s="2">
        <v>44636</v>
      </c>
      <c r="B793" s="1">
        <v>1088.52</v>
      </c>
      <c r="C793" s="1">
        <v>3187.56</v>
      </c>
      <c r="D793" s="1">
        <v>677.59</v>
      </c>
      <c r="E793" s="1">
        <v>1660.2</v>
      </c>
      <c r="F793" s="1">
        <v>195.61</v>
      </c>
      <c r="G793" s="1">
        <v>7148.62</v>
      </c>
      <c r="H793" s="1">
        <v>853.03</v>
      </c>
      <c r="I793" s="1">
        <v>1669.09</v>
      </c>
      <c r="J793" s="1">
        <v>16975.349999999999</v>
      </c>
    </row>
    <row r="794" spans="1:10">
      <c r="A794" s="2">
        <v>44637</v>
      </c>
      <c r="B794" s="1">
        <v>1124.01</v>
      </c>
      <c r="C794" s="1">
        <v>3202.25</v>
      </c>
      <c r="D794" s="1">
        <v>692.51</v>
      </c>
      <c r="E794" s="1">
        <v>1629.62</v>
      </c>
      <c r="F794" s="1">
        <v>197.46</v>
      </c>
      <c r="G794" s="1">
        <v>7346.49</v>
      </c>
      <c r="H794" s="1">
        <v>874.52</v>
      </c>
      <c r="I794" s="1">
        <v>1699.22</v>
      </c>
      <c r="J794" s="1">
        <v>17287.05</v>
      </c>
    </row>
    <row r="795" spans="1:10">
      <c r="A795" s="2">
        <v>44641</v>
      </c>
      <c r="B795" s="1">
        <v>1117.53</v>
      </c>
      <c r="C795" s="1">
        <v>3162.1</v>
      </c>
      <c r="D795" s="1">
        <v>695.53</v>
      </c>
      <c r="E795" s="1">
        <v>1628.26</v>
      </c>
      <c r="F795" s="1">
        <v>197.14</v>
      </c>
      <c r="G795" s="1">
        <v>7358.48</v>
      </c>
      <c r="H795" s="1">
        <v>876.63</v>
      </c>
      <c r="I795" s="1">
        <v>1669.19</v>
      </c>
      <c r="J795" s="1">
        <v>17117.599999999999</v>
      </c>
    </row>
    <row r="796" spans="1:10">
      <c r="A796" s="2">
        <v>44642</v>
      </c>
      <c r="B796" s="1">
        <v>1146.4000000000001</v>
      </c>
      <c r="C796" s="1">
        <v>3226.84</v>
      </c>
      <c r="D796" s="1">
        <v>699.11</v>
      </c>
      <c r="E796" s="1">
        <v>1658.44</v>
      </c>
      <c r="F796" s="1">
        <v>201.37</v>
      </c>
      <c r="G796" s="1">
        <v>7416.82</v>
      </c>
      <c r="H796" s="1">
        <v>876.92</v>
      </c>
      <c r="I796" s="1">
        <v>1686.06</v>
      </c>
      <c r="J796" s="1">
        <v>17315.5</v>
      </c>
    </row>
    <row r="797" spans="1:10">
      <c r="A797" s="2">
        <v>44643</v>
      </c>
      <c r="B797" s="1">
        <v>1150.05</v>
      </c>
      <c r="C797" s="1">
        <v>3236.82</v>
      </c>
      <c r="D797" s="1">
        <v>692.14</v>
      </c>
      <c r="E797" s="1">
        <v>1645.26</v>
      </c>
      <c r="F797" s="1">
        <v>203.19</v>
      </c>
      <c r="G797" s="1">
        <v>7300.51</v>
      </c>
      <c r="H797" s="1">
        <v>864.16</v>
      </c>
      <c r="I797" s="1">
        <v>1679.6</v>
      </c>
      <c r="J797" s="1">
        <v>17245.650000000001</v>
      </c>
    </row>
    <row r="798" spans="1:10">
      <c r="A798" s="2">
        <v>44644</v>
      </c>
      <c r="B798" s="1">
        <v>1167.92</v>
      </c>
      <c r="C798" s="1">
        <v>3269.47</v>
      </c>
      <c r="D798" s="1">
        <v>675.01</v>
      </c>
      <c r="E798" s="1">
        <v>1657.83</v>
      </c>
      <c r="F798" s="1">
        <v>205.49</v>
      </c>
      <c r="G798" s="1">
        <v>7216.57</v>
      </c>
      <c r="H798" s="1">
        <v>871.88</v>
      </c>
      <c r="I798" s="1">
        <v>1683.68</v>
      </c>
      <c r="J798" s="1">
        <v>17222.75</v>
      </c>
    </row>
    <row r="799" spans="1:10">
      <c r="A799" s="2">
        <v>44645</v>
      </c>
      <c r="B799" s="1">
        <v>1175.71</v>
      </c>
      <c r="C799" s="1">
        <v>3232.51</v>
      </c>
      <c r="D799" s="1">
        <v>669.52</v>
      </c>
      <c r="E799" s="1">
        <v>1648.91</v>
      </c>
      <c r="F799" s="1">
        <v>204.28</v>
      </c>
      <c r="G799" s="1">
        <v>7081.44</v>
      </c>
      <c r="H799" s="1">
        <v>865.65</v>
      </c>
      <c r="I799" s="1">
        <v>1664.25</v>
      </c>
      <c r="J799" s="1">
        <v>17153</v>
      </c>
    </row>
    <row r="800" spans="1:10">
      <c r="A800" s="2">
        <v>44648</v>
      </c>
      <c r="B800" s="1">
        <v>1187.53</v>
      </c>
      <c r="C800" s="1">
        <v>3232.72</v>
      </c>
      <c r="D800" s="1">
        <v>670.41</v>
      </c>
      <c r="E800" s="1">
        <v>1646.58</v>
      </c>
      <c r="F800" s="1">
        <v>207.26</v>
      </c>
      <c r="G800" s="1">
        <v>7140.55</v>
      </c>
      <c r="H800" s="1">
        <v>869.05</v>
      </c>
      <c r="I800" s="1">
        <v>1655.22</v>
      </c>
      <c r="J800" s="1">
        <v>17222</v>
      </c>
    </row>
    <row r="801" spans="1:10">
      <c r="A801" s="2">
        <v>44649</v>
      </c>
      <c r="B801" s="1">
        <v>1187.8</v>
      </c>
      <c r="C801" s="1">
        <v>3230.67</v>
      </c>
      <c r="D801" s="1">
        <v>679.3</v>
      </c>
      <c r="E801" s="1">
        <v>1657.21</v>
      </c>
      <c r="F801" s="1">
        <v>205.28</v>
      </c>
      <c r="G801" s="1">
        <v>7104.07</v>
      </c>
      <c r="H801" s="1">
        <v>881.95</v>
      </c>
      <c r="I801" s="1">
        <v>1660.02</v>
      </c>
      <c r="J801" s="1">
        <v>17325.3</v>
      </c>
    </row>
    <row r="802" spans="1:10">
      <c r="A802" s="2">
        <v>44650</v>
      </c>
      <c r="B802" s="1">
        <v>1210.6300000000001</v>
      </c>
      <c r="C802" s="1">
        <v>3253.52</v>
      </c>
      <c r="D802" s="1">
        <v>691.06</v>
      </c>
      <c r="E802" s="1">
        <v>1672.98</v>
      </c>
      <c r="F802" s="1">
        <v>200.93</v>
      </c>
      <c r="G802" s="1">
        <v>7256.34</v>
      </c>
      <c r="H802" s="1">
        <v>883.15</v>
      </c>
      <c r="I802" s="1">
        <v>1685.63</v>
      </c>
      <c r="J802" s="1">
        <v>17498.25</v>
      </c>
    </row>
    <row r="803" spans="1:10">
      <c r="A803" s="2">
        <v>44651</v>
      </c>
      <c r="B803" s="1">
        <v>1193.33</v>
      </c>
      <c r="C803" s="1">
        <v>3260.84</v>
      </c>
      <c r="D803" s="1">
        <v>687.97</v>
      </c>
      <c r="E803" s="1">
        <v>1675.53</v>
      </c>
      <c r="F803" s="1">
        <v>202.1</v>
      </c>
      <c r="G803" s="1">
        <v>7220.72</v>
      </c>
      <c r="H803" s="1">
        <v>877.54</v>
      </c>
      <c r="I803" s="1">
        <v>1679.98</v>
      </c>
      <c r="J803" s="1">
        <v>17464.75</v>
      </c>
    </row>
    <row r="804" spans="1:10">
      <c r="A804" s="2">
        <v>44652</v>
      </c>
      <c r="B804" s="1">
        <v>1202.8800000000001</v>
      </c>
      <c r="C804" s="1">
        <v>3277.23</v>
      </c>
      <c r="D804" s="1">
        <v>704.66</v>
      </c>
      <c r="E804" s="1">
        <v>1672.63</v>
      </c>
      <c r="F804" s="1">
        <v>204.24</v>
      </c>
      <c r="G804" s="1">
        <v>7353.22</v>
      </c>
      <c r="H804" s="1">
        <v>871.74</v>
      </c>
      <c r="I804" s="1">
        <v>1701.31</v>
      </c>
      <c r="J804" s="1">
        <v>17670.45</v>
      </c>
    </row>
    <row r="805" spans="1:10">
      <c r="A805" s="2">
        <v>44655</v>
      </c>
      <c r="B805" s="1">
        <v>1206.44</v>
      </c>
      <c r="C805" s="1">
        <v>3287.35</v>
      </c>
      <c r="D805" s="1">
        <v>775.21</v>
      </c>
      <c r="E805" s="1">
        <v>1654.53</v>
      </c>
      <c r="F805" s="1">
        <v>205.97</v>
      </c>
      <c r="G805" s="1">
        <v>7424.61</v>
      </c>
      <c r="H805" s="1">
        <v>888.38</v>
      </c>
      <c r="I805" s="1">
        <v>1735.76</v>
      </c>
      <c r="J805" s="1">
        <v>18053.400000000001</v>
      </c>
    </row>
    <row r="806" spans="1:10">
      <c r="A806" s="2">
        <v>44656</v>
      </c>
      <c r="B806" s="1">
        <v>1189.3900000000001</v>
      </c>
      <c r="C806" s="1">
        <v>3326.1</v>
      </c>
      <c r="D806" s="1">
        <v>752.5</v>
      </c>
      <c r="E806" s="1">
        <v>1635.33</v>
      </c>
      <c r="F806" s="1">
        <v>209.2</v>
      </c>
      <c r="G806" s="1">
        <v>7412.24</v>
      </c>
      <c r="H806" s="1">
        <v>891.31</v>
      </c>
      <c r="I806" s="1">
        <v>1744.98</v>
      </c>
      <c r="J806" s="1">
        <v>17957.400000000001</v>
      </c>
    </row>
    <row r="807" spans="1:10">
      <c r="A807" s="2">
        <v>44657</v>
      </c>
      <c r="B807" s="1">
        <v>1186.21</v>
      </c>
      <c r="C807" s="1">
        <v>3274.27</v>
      </c>
      <c r="D807" s="1">
        <v>725.64</v>
      </c>
      <c r="E807" s="1">
        <v>1606.99</v>
      </c>
      <c r="F807" s="1">
        <v>209.32</v>
      </c>
      <c r="G807" s="1">
        <v>7395.38</v>
      </c>
      <c r="H807" s="1">
        <v>890.35</v>
      </c>
      <c r="I807" s="1">
        <v>1760.9</v>
      </c>
      <c r="J807" s="1">
        <v>17807.650000000001</v>
      </c>
    </row>
    <row r="808" spans="1:10">
      <c r="A808" s="2">
        <v>44658</v>
      </c>
      <c r="B808" s="1">
        <v>1165.29</v>
      </c>
      <c r="C808" s="1">
        <v>3212.19</v>
      </c>
      <c r="D808" s="1">
        <v>709.69</v>
      </c>
      <c r="E808" s="1">
        <v>1591.31</v>
      </c>
      <c r="F808" s="1">
        <v>206.94</v>
      </c>
      <c r="G808" s="1">
        <v>7296.35</v>
      </c>
      <c r="H808" s="1">
        <v>893.08</v>
      </c>
      <c r="I808" s="1">
        <v>1735.72</v>
      </c>
      <c r="J808" s="1">
        <v>17639.55</v>
      </c>
    </row>
    <row r="809" spans="1:10">
      <c r="A809" s="2">
        <v>44659</v>
      </c>
      <c r="B809" s="1">
        <v>1184.67</v>
      </c>
      <c r="C809" s="1">
        <v>3213.5</v>
      </c>
      <c r="D809" s="1">
        <v>708.7</v>
      </c>
      <c r="E809" s="1">
        <v>1594.47</v>
      </c>
      <c r="F809" s="1">
        <v>215.93</v>
      </c>
      <c r="G809" s="1">
        <v>7217.52</v>
      </c>
      <c r="H809" s="1">
        <v>886.99</v>
      </c>
      <c r="I809" s="1">
        <v>1739.95</v>
      </c>
      <c r="J809" s="1">
        <v>17784.349999999999</v>
      </c>
    </row>
    <row r="810" spans="1:10">
      <c r="A810" s="2">
        <v>44662</v>
      </c>
      <c r="B810" s="1">
        <v>1182.21</v>
      </c>
      <c r="C810" s="1">
        <v>3222.87</v>
      </c>
      <c r="D810" s="1">
        <v>700.05</v>
      </c>
      <c r="E810" s="1">
        <v>1552.25</v>
      </c>
      <c r="F810" s="1">
        <v>215.69</v>
      </c>
      <c r="G810" s="1">
        <v>7224.64</v>
      </c>
      <c r="H810" s="1">
        <v>887.76</v>
      </c>
      <c r="I810" s="1">
        <v>1693.14</v>
      </c>
      <c r="J810" s="1">
        <v>17674.95</v>
      </c>
    </row>
    <row r="811" spans="1:10">
      <c r="A811" s="2">
        <v>44663</v>
      </c>
      <c r="B811" s="1">
        <v>1159.95</v>
      </c>
      <c r="C811" s="1">
        <v>3218.25</v>
      </c>
      <c r="D811" s="1">
        <v>698.81</v>
      </c>
      <c r="E811" s="1">
        <v>1531.08</v>
      </c>
      <c r="F811" s="1">
        <v>213.51</v>
      </c>
      <c r="G811" s="1">
        <v>7275.2</v>
      </c>
      <c r="H811" s="1">
        <v>883.83</v>
      </c>
      <c r="I811" s="1">
        <v>1661.02</v>
      </c>
      <c r="J811" s="1">
        <v>17530.3</v>
      </c>
    </row>
    <row r="812" spans="1:10">
      <c r="A812" s="2">
        <v>44664</v>
      </c>
      <c r="B812" s="1">
        <v>1155.69</v>
      </c>
      <c r="C812" s="1">
        <v>3192.84</v>
      </c>
      <c r="D812" s="1">
        <v>685.45</v>
      </c>
      <c r="E812" s="1">
        <v>1536.44</v>
      </c>
      <c r="F812" s="1">
        <v>217.34</v>
      </c>
      <c r="G812" s="1">
        <v>7133.06</v>
      </c>
      <c r="H812" s="1">
        <v>898.65</v>
      </c>
      <c r="I812" s="1">
        <v>1673.47</v>
      </c>
      <c r="J812" s="1">
        <v>17475.650000000001</v>
      </c>
    </row>
    <row r="813" spans="1:10">
      <c r="A813" s="2">
        <v>44669</v>
      </c>
      <c r="B813" s="1">
        <v>1152.1600000000001</v>
      </c>
      <c r="C813" s="1">
        <v>3076.09</v>
      </c>
      <c r="D813" s="1">
        <v>652.92999999999995</v>
      </c>
      <c r="E813" s="1">
        <v>1424.71</v>
      </c>
      <c r="F813" s="1">
        <v>217.78</v>
      </c>
      <c r="G813" s="1">
        <v>7232.37</v>
      </c>
      <c r="H813" s="1">
        <v>889.77</v>
      </c>
      <c r="I813" s="1">
        <v>1652.13</v>
      </c>
      <c r="J813" s="1">
        <v>17173.650000000001</v>
      </c>
    </row>
    <row r="814" spans="1:10">
      <c r="A814" s="2">
        <v>44670</v>
      </c>
      <c r="B814" s="1">
        <v>1196.07</v>
      </c>
      <c r="C814" s="1">
        <v>3027.13</v>
      </c>
      <c r="D814" s="1">
        <v>628.01</v>
      </c>
      <c r="E814" s="1">
        <v>1372.52</v>
      </c>
      <c r="F814" s="1">
        <v>210.89</v>
      </c>
      <c r="G814" s="1">
        <v>7100.21</v>
      </c>
      <c r="H814" s="1">
        <v>884.5</v>
      </c>
      <c r="I814" s="1">
        <v>1621.15</v>
      </c>
      <c r="J814" s="1">
        <v>16958.650000000001</v>
      </c>
    </row>
    <row r="815" spans="1:10">
      <c r="A815" s="2">
        <v>44671</v>
      </c>
      <c r="B815" s="1">
        <v>1231.23</v>
      </c>
      <c r="C815" s="1">
        <v>3101.16</v>
      </c>
      <c r="D815" s="1">
        <v>633.67999999999995</v>
      </c>
      <c r="E815" s="1">
        <v>1395.1</v>
      </c>
      <c r="F815" s="1">
        <v>209.28</v>
      </c>
      <c r="G815" s="1">
        <v>7321.38</v>
      </c>
      <c r="H815" s="1">
        <v>885.94</v>
      </c>
      <c r="I815" s="1">
        <v>1607.7</v>
      </c>
      <c r="J815" s="1">
        <v>17136.55</v>
      </c>
    </row>
    <row r="816" spans="1:10">
      <c r="A816" s="2">
        <v>44672</v>
      </c>
      <c r="B816" s="1">
        <v>1260.06</v>
      </c>
      <c r="C816" s="1">
        <v>3163.8</v>
      </c>
      <c r="D816" s="1">
        <v>643.05999999999995</v>
      </c>
      <c r="E816" s="1">
        <v>1422.43</v>
      </c>
      <c r="F816" s="1">
        <v>209.96</v>
      </c>
      <c r="G816" s="1">
        <v>7524.3</v>
      </c>
      <c r="H816" s="1">
        <v>905.7</v>
      </c>
      <c r="I816" s="1">
        <v>1629.46</v>
      </c>
      <c r="J816" s="1">
        <v>17392.599999999999</v>
      </c>
    </row>
    <row r="817" spans="1:10">
      <c r="A817" s="2">
        <v>44673</v>
      </c>
      <c r="B817" s="1">
        <v>1249.51</v>
      </c>
      <c r="C817" s="1">
        <v>3149.76</v>
      </c>
      <c r="D817" s="1">
        <v>634.28</v>
      </c>
      <c r="E817" s="1">
        <v>1393.12</v>
      </c>
      <c r="F817" s="1">
        <v>210.53</v>
      </c>
      <c r="G817" s="1">
        <v>7548.46</v>
      </c>
      <c r="H817" s="1">
        <v>887.18</v>
      </c>
      <c r="I817" s="1">
        <v>1610.31</v>
      </c>
      <c r="J817" s="1">
        <v>17171.95</v>
      </c>
    </row>
    <row r="818" spans="1:10">
      <c r="A818" s="2">
        <v>44676</v>
      </c>
      <c r="B818" s="1">
        <v>1220.6099999999999</v>
      </c>
      <c r="C818" s="1">
        <v>3093.66</v>
      </c>
      <c r="D818" s="1">
        <v>639.03</v>
      </c>
      <c r="E818" s="1">
        <v>1371.73</v>
      </c>
      <c r="F818" s="1">
        <v>205.81</v>
      </c>
      <c r="G818" s="1">
        <v>7555.96</v>
      </c>
      <c r="H818" s="1">
        <v>863.39</v>
      </c>
      <c r="I818" s="1">
        <v>1575.15</v>
      </c>
      <c r="J818" s="1">
        <v>16953.95</v>
      </c>
    </row>
    <row r="819" spans="1:10">
      <c r="A819" s="2">
        <v>44677</v>
      </c>
      <c r="B819" s="1">
        <v>1257.1400000000001</v>
      </c>
      <c r="C819" s="1">
        <v>3092</v>
      </c>
      <c r="D819" s="1">
        <v>641.98</v>
      </c>
      <c r="E819" s="1">
        <v>1389.21</v>
      </c>
      <c r="F819" s="1">
        <v>208.79</v>
      </c>
      <c r="G819" s="1">
        <v>7550.61</v>
      </c>
      <c r="H819" s="1">
        <v>880.71</v>
      </c>
      <c r="I819" s="1">
        <v>1615.63</v>
      </c>
      <c r="J819" s="1">
        <v>17200.8</v>
      </c>
    </row>
    <row r="820" spans="1:10">
      <c r="A820" s="2">
        <v>44678</v>
      </c>
      <c r="B820" s="1">
        <v>1258.3599999999999</v>
      </c>
      <c r="C820" s="1">
        <v>3104.99</v>
      </c>
      <c r="D820" s="1">
        <v>642.21</v>
      </c>
      <c r="E820" s="1">
        <v>1364.43</v>
      </c>
      <c r="F820" s="1">
        <v>207.62</v>
      </c>
      <c r="G820" s="1">
        <v>7437.59</v>
      </c>
      <c r="H820" s="1">
        <v>869.24</v>
      </c>
      <c r="I820" s="1">
        <v>1593.87</v>
      </c>
      <c r="J820" s="1">
        <v>17038.400000000001</v>
      </c>
    </row>
    <row r="821" spans="1:10">
      <c r="A821" s="2">
        <v>44679</v>
      </c>
      <c r="B821" s="1">
        <v>1277.1600000000001</v>
      </c>
      <c r="C821" s="1">
        <v>3125.13</v>
      </c>
      <c r="D821" s="1">
        <v>641.65</v>
      </c>
      <c r="E821" s="1">
        <v>1390.62</v>
      </c>
      <c r="F821" s="1">
        <v>210.53</v>
      </c>
      <c r="G821" s="1">
        <v>7532.85</v>
      </c>
      <c r="H821" s="1">
        <v>883.54</v>
      </c>
      <c r="I821" s="1">
        <v>1633.98</v>
      </c>
      <c r="J821" s="1">
        <v>17245.05</v>
      </c>
    </row>
    <row r="822" spans="1:10">
      <c r="A822" s="2">
        <v>44680</v>
      </c>
      <c r="B822" s="1">
        <v>1263.75</v>
      </c>
      <c r="C822" s="1">
        <v>3092.35</v>
      </c>
      <c r="D822" s="1">
        <v>647.85</v>
      </c>
      <c r="E822" s="1">
        <v>1377.39</v>
      </c>
      <c r="F822" s="1">
        <v>209.28</v>
      </c>
      <c r="G822" s="1">
        <v>7370.17</v>
      </c>
      <c r="H822" s="1">
        <v>890.88</v>
      </c>
      <c r="I822" s="1">
        <v>1610.31</v>
      </c>
      <c r="J822" s="1">
        <v>17102.55</v>
      </c>
    </row>
    <row r="823" spans="1:10">
      <c r="A823" s="2">
        <v>44683</v>
      </c>
      <c r="B823" s="1">
        <v>1259.32</v>
      </c>
      <c r="C823" s="1">
        <v>3088.6</v>
      </c>
      <c r="D823" s="1">
        <v>656.79</v>
      </c>
      <c r="E823" s="1">
        <v>1354.06</v>
      </c>
      <c r="F823" s="1">
        <v>212.18</v>
      </c>
      <c r="G823" s="1">
        <v>7290.86</v>
      </c>
      <c r="H823" s="1">
        <v>885.84</v>
      </c>
      <c r="I823" s="1">
        <v>1596.15</v>
      </c>
      <c r="J823" s="1">
        <v>17069.099999999999</v>
      </c>
    </row>
    <row r="824" spans="1:10">
      <c r="A824" s="2">
        <v>44685</v>
      </c>
      <c r="B824" s="1">
        <v>1220</v>
      </c>
      <c r="C824" s="1">
        <v>3033.98</v>
      </c>
      <c r="D824" s="1">
        <v>634.47</v>
      </c>
      <c r="E824" s="1">
        <v>1349.27</v>
      </c>
      <c r="F824" s="1">
        <v>209.44</v>
      </c>
      <c r="G824" s="1">
        <v>7064.68</v>
      </c>
      <c r="H824" s="1">
        <v>864.26</v>
      </c>
      <c r="I824" s="1">
        <v>1552.91</v>
      </c>
      <c r="J824" s="1">
        <v>16677.599999999999</v>
      </c>
    </row>
    <row r="825" spans="1:10">
      <c r="A825" s="2">
        <v>44686</v>
      </c>
      <c r="B825" s="1">
        <v>1196.1099999999999</v>
      </c>
      <c r="C825" s="1">
        <v>3063.31</v>
      </c>
      <c r="D825" s="1">
        <v>633.04</v>
      </c>
      <c r="E825" s="1">
        <v>1392.86</v>
      </c>
      <c r="F825" s="1">
        <v>211.29</v>
      </c>
      <c r="G825" s="1">
        <v>7073.99</v>
      </c>
      <c r="H825" s="1">
        <v>842.43</v>
      </c>
      <c r="I825" s="1">
        <v>1556.42</v>
      </c>
      <c r="J825" s="1">
        <v>16682.650000000001</v>
      </c>
    </row>
    <row r="826" spans="1:10">
      <c r="A826" s="2">
        <v>44687</v>
      </c>
      <c r="B826" s="1">
        <v>1186.94</v>
      </c>
      <c r="C826" s="1">
        <v>2992.87</v>
      </c>
      <c r="D826" s="1">
        <v>616.5</v>
      </c>
      <c r="E826" s="1">
        <v>1355.69</v>
      </c>
      <c r="F826" s="1">
        <v>215</v>
      </c>
      <c r="G826" s="1">
        <v>6951.38</v>
      </c>
      <c r="H826" s="1">
        <v>847.37</v>
      </c>
      <c r="I826" s="1">
        <v>1541.98</v>
      </c>
      <c r="J826" s="1">
        <v>16411.25</v>
      </c>
    </row>
    <row r="827" spans="1:10">
      <c r="A827" s="2">
        <v>44690</v>
      </c>
      <c r="B827" s="1">
        <v>1140.58</v>
      </c>
      <c r="C827" s="1">
        <v>3003.76</v>
      </c>
      <c r="D827" s="1">
        <v>617.55999999999995</v>
      </c>
      <c r="E827" s="1">
        <v>1379.85</v>
      </c>
      <c r="F827" s="1">
        <v>212.02</v>
      </c>
      <c r="G827" s="1">
        <v>7028.78</v>
      </c>
      <c r="H827" s="1">
        <v>849.39</v>
      </c>
      <c r="I827" s="1">
        <v>1535.99</v>
      </c>
      <c r="J827" s="1">
        <v>16301.85</v>
      </c>
    </row>
    <row r="828" spans="1:10">
      <c r="A828" s="2">
        <v>44691</v>
      </c>
      <c r="B828" s="1">
        <v>1120.81</v>
      </c>
      <c r="C828" s="1">
        <v>2998.23</v>
      </c>
      <c r="D828" s="1">
        <v>627.48</v>
      </c>
      <c r="E828" s="1">
        <v>1364.61</v>
      </c>
      <c r="F828" s="1">
        <v>209.44</v>
      </c>
      <c r="G828" s="1">
        <v>7177.37</v>
      </c>
      <c r="H828" s="1">
        <v>826.79</v>
      </c>
      <c r="I828" s="1">
        <v>1528.2</v>
      </c>
      <c r="J828" s="1">
        <v>16240.05</v>
      </c>
    </row>
    <row r="829" spans="1:10">
      <c r="A829" s="2">
        <v>44692</v>
      </c>
      <c r="B829" s="1">
        <v>1109.33</v>
      </c>
      <c r="C829" s="1">
        <v>2974.91</v>
      </c>
      <c r="D829" s="1">
        <v>631.01</v>
      </c>
      <c r="E829" s="1">
        <v>1341.54</v>
      </c>
      <c r="F829" s="1">
        <v>206.13</v>
      </c>
      <c r="G829" s="1">
        <v>7063.3</v>
      </c>
      <c r="H829" s="1">
        <v>820.03</v>
      </c>
      <c r="I829" s="1">
        <v>1492.89</v>
      </c>
      <c r="J829" s="1">
        <v>16167.1</v>
      </c>
    </row>
    <row r="830" spans="1:10">
      <c r="A830" s="2">
        <v>44693</v>
      </c>
      <c r="B830" s="1">
        <v>1086.73</v>
      </c>
      <c r="C830" s="1">
        <v>2971.98</v>
      </c>
      <c r="D830" s="1">
        <v>616.78</v>
      </c>
      <c r="E830" s="1">
        <v>1325.77</v>
      </c>
      <c r="F830" s="1">
        <v>203.91</v>
      </c>
      <c r="G830" s="1">
        <v>6926.93</v>
      </c>
      <c r="H830" s="1">
        <v>815.43</v>
      </c>
      <c r="I830" s="1">
        <v>1450.45</v>
      </c>
      <c r="J830" s="1">
        <v>15808</v>
      </c>
    </row>
    <row r="831" spans="1:10">
      <c r="A831" s="2">
        <v>44694</v>
      </c>
      <c r="B831" s="1">
        <v>1099.05</v>
      </c>
      <c r="C831" s="1">
        <v>2977.43</v>
      </c>
      <c r="D831" s="1">
        <v>611.25</v>
      </c>
      <c r="E831" s="1">
        <v>1321.9</v>
      </c>
      <c r="F831" s="1">
        <v>208.51</v>
      </c>
      <c r="G831" s="1">
        <v>6782.06</v>
      </c>
      <c r="H831" s="1">
        <v>846.6</v>
      </c>
      <c r="I831" s="1">
        <v>1458.39</v>
      </c>
      <c r="J831" s="1">
        <v>15782.15</v>
      </c>
    </row>
    <row r="832" spans="1:10">
      <c r="A832" s="2">
        <v>44697</v>
      </c>
      <c r="B832" s="1">
        <v>1099.32</v>
      </c>
      <c r="C832" s="1">
        <v>2944.21</v>
      </c>
      <c r="D832" s="1">
        <v>617.75</v>
      </c>
      <c r="E832" s="1">
        <v>1308.46</v>
      </c>
      <c r="F832" s="1">
        <v>204.88</v>
      </c>
      <c r="G832" s="1">
        <v>6921.15</v>
      </c>
      <c r="H832" s="1">
        <v>849.58</v>
      </c>
      <c r="I832" s="1">
        <v>1466.37</v>
      </c>
      <c r="J832" s="1">
        <v>15842.3</v>
      </c>
    </row>
    <row r="833" spans="1:10">
      <c r="A833" s="2">
        <v>44698</v>
      </c>
      <c r="B833" s="1">
        <v>1145.5</v>
      </c>
      <c r="C833" s="1">
        <v>3009.43</v>
      </c>
      <c r="D833" s="1">
        <v>621.97</v>
      </c>
      <c r="E833" s="1">
        <v>1334.25</v>
      </c>
      <c r="F833" s="1">
        <v>213.43</v>
      </c>
      <c r="G833" s="1">
        <v>7193.51</v>
      </c>
      <c r="H833" s="1">
        <v>855.48</v>
      </c>
      <c r="I833" s="1">
        <v>1524.54</v>
      </c>
      <c r="J833" s="1">
        <v>16259.3</v>
      </c>
    </row>
    <row r="834" spans="1:10">
      <c r="A834" s="2">
        <v>44699</v>
      </c>
      <c r="B834" s="1">
        <v>1149.6600000000001</v>
      </c>
      <c r="C834" s="1">
        <v>3006.99</v>
      </c>
      <c r="D834" s="1">
        <v>621.91999999999996</v>
      </c>
      <c r="E834" s="1">
        <v>1326.12</v>
      </c>
      <c r="F834" s="1">
        <v>215.12</v>
      </c>
      <c r="G834" s="1">
        <v>7225.74</v>
      </c>
      <c r="H834" s="1">
        <v>862.58</v>
      </c>
      <c r="I834" s="1">
        <v>1494.5</v>
      </c>
      <c r="J834" s="1">
        <v>16240.3</v>
      </c>
    </row>
    <row r="835" spans="1:10">
      <c r="A835" s="2">
        <v>44700</v>
      </c>
      <c r="B835" s="1">
        <v>1123.17</v>
      </c>
      <c r="C835" s="1">
        <v>2844.08</v>
      </c>
      <c r="D835" s="1">
        <v>609.21</v>
      </c>
      <c r="E835" s="1">
        <v>1254.02</v>
      </c>
      <c r="F835" s="1">
        <v>222.26</v>
      </c>
      <c r="G835" s="1">
        <v>7071.03</v>
      </c>
      <c r="H835" s="1">
        <v>848.62</v>
      </c>
      <c r="I835" s="1">
        <v>1471.17</v>
      </c>
      <c r="J835" s="1">
        <v>15809.4</v>
      </c>
    </row>
    <row r="836" spans="1:10">
      <c r="A836" s="2">
        <v>44701</v>
      </c>
      <c r="B836" s="1">
        <v>1188.6600000000001</v>
      </c>
      <c r="C836" s="1">
        <v>2871.15</v>
      </c>
      <c r="D836" s="1">
        <v>625.26</v>
      </c>
      <c r="E836" s="1">
        <v>1278.6300000000001</v>
      </c>
      <c r="F836" s="1">
        <v>225.76</v>
      </c>
      <c r="G836" s="1">
        <v>7244.88</v>
      </c>
      <c r="H836" s="1">
        <v>878.41</v>
      </c>
      <c r="I836" s="1">
        <v>1530.24</v>
      </c>
      <c r="J836" s="1">
        <v>16266.15</v>
      </c>
    </row>
    <row r="837" spans="1:10">
      <c r="A837" s="2">
        <v>44704</v>
      </c>
      <c r="B837" s="1">
        <v>1180.71</v>
      </c>
      <c r="C837" s="1">
        <v>2896.22</v>
      </c>
      <c r="D837" s="1">
        <v>617.23</v>
      </c>
      <c r="E837" s="1">
        <v>1290.27</v>
      </c>
      <c r="F837" s="1">
        <v>221.33</v>
      </c>
      <c r="G837" s="1">
        <v>7541.73</v>
      </c>
      <c r="H837" s="1">
        <v>884.54</v>
      </c>
      <c r="I837" s="1">
        <v>1562.6</v>
      </c>
      <c r="J837" s="1">
        <v>16214.7</v>
      </c>
    </row>
    <row r="838" spans="1:10">
      <c r="A838" s="2">
        <v>44705</v>
      </c>
      <c r="B838" s="1">
        <v>1184.77</v>
      </c>
      <c r="C838" s="1">
        <v>2866.79</v>
      </c>
      <c r="D838" s="1">
        <v>624.30999999999995</v>
      </c>
      <c r="E838" s="1">
        <v>1266.19</v>
      </c>
      <c r="F838" s="1">
        <v>218.39</v>
      </c>
      <c r="G838" s="1">
        <v>7451.2</v>
      </c>
      <c r="H838" s="1">
        <v>872.89</v>
      </c>
      <c r="I838" s="1">
        <v>1545.64</v>
      </c>
      <c r="J838" s="1">
        <v>16125.15</v>
      </c>
    </row>
    <row r="839" spans="1:10">
      <c r="A839" s="2">
        <v>44706</v>
      </c>
      <c r="B839" s="1">
        <v>1183.02</v>
      </c>
      <c r="C839" s="1">
        <v>2780.46</v>
      </c>
      <c r="D839" s="1">
        <v>628.97</v>
      </c>
      <c r="E839" s="1">
        <v>1239.3499999999999</v>
      </c>
      <c r="F839" s="1">
        <v>219.88</v>
      </c>
      <c r="G839" s="1">
        <v>7436.5</v>
      </c>
      <c r="H839" s="1">
        <v>874.14</v>
      </c>
      <c r="I839" s="1">
        <v>1496.64</v>
      </c>
      <c r="J839" s="1">
        <v>16025.8</v>
      </c>
    </row>
    <row r="840" spans="1:10">
      <c r="A840" s="2">
        <v>44707</v>
      </c>
      <c r="B840" s="1">
        <v>1171.74</v>
      </c>
      <c r="C840" s="1">
        <v>2832.51</v>
      </c>
      <c r="D840" s="1">
        <v>646.91</v>
      </c>
      <c r="E840" s="1">
        <v>1251.21</v>
      </c>
      <c r="F840" s="1">
        <v>220.28</v>
      </c>
      <c r="G840" s="1">
        <v>7453.45</v>
      </c>
      <c r="H840" s="1">
        <v>863.34</v>
      </c>
      <c r="I840" s="1">
        <v>1486.95</v>
      </c>
      <c r="J840" s="1">
        <v>16170.15</v>
      </c>
    </row>
    <row r="841" spans="1:10">
      <c r="A841" s="2">
        <v>44708</v>
      </c>
      <c r="B841" s="1">
        <v>1166.31</v>
      </c>
      <c r="C841" s="1">
        <v>2862.66</v>
      </c>
      <c r="D841" s="1">
        <v>658.91</v>
      </c>
      <c r="E841" s="1">
        <v>1284.08</v>
      </c>
      <c r="F841" s="1">
        <v>222.35</v>
      </c>
      <c r="G841" s="1">
        <v>7585.18</v>
      </c>
      <c r="H841" s="1">
        <v>867.13</v>
      </c>
      <c r="I841" s="1">
        <v>1520.93</v>
      </c>
      <c r="J841" s="1">
        <v>16352.45</v>
      </c>
    </row>
    <row r="842" spans="1:10">
      <c r="A842" s="2">
        <v>44711</v>
      </c>
      <c r="B842" s="1">
        <v>1206.94</v>
      </c>
      <c r="C842" s="1">
        <v>2962.69</v>
      </c>
      <c r="D842" s="1">
        <v>663.41</v>
      </c>
      <c r="E842" s="1">
        <v>1341.59</v>
      </c>
      <c r="F842" s="1">
        <v>222.22</v>
      </c>
      <c r="G842" s="1">
        <v>7652.94</v>
      </c>
      <c r="H842" s="1">
        <v>852.17</v>
      </c>
      <c r="I842" s="1">
        <v>1578.47</v>
      </c>
      <c r="J842" s="1">
        <v>16661.400000000001</v>
      </c>
    </row>
    <row r="843" spans="1:10">
      <c r="A843" s="2">
        <v>44712</v>
      </c>
      <c r="B843" s="1">
        <v>1192.3699999999999</v>
      </c>
      <c r="C843" s="1">
        <v>2953.12</v>
      </c>
      <c r="D843" s="1">
        <v>657.44</v>
      </c>
      <c r="E843" s="1">
        <v>1335.19</v>
      </c>
      <c r="F843" s="1">
        <v>223.55</v>
      </c>
      <c r="G843" s="1">
        <v>7607.53</v>
      </c>
      <c r="H843" s="1">
        <v>825.59</v>
      </c>
      <c r="I843" s="1">
        <v>1572.44</v>
      </c>
      <c r="J843" s="1">
        <v>16584.55</v>
      </c>
    </row>
    <row r="844" spans="1:10">
      <c r="A844" s="2">
        <v>44713</v>
      </c>
      <c r="B844" s="1">
        <v>1192.76</v>
      </c>
      <c r="C844" s="1">
        <v>2945.09</v>
      </c>
      <c r="D844" s="1">
        <v>660.24</v>
      </c>
      <c r="E844" s="1">
        <v>1312.95</v>
      </c>
      <c r="F844" s="1">
        <v>224.54</v>
      </c>
      <c r="G844" s="1">
        <v>7581.79</v>
      </c>
      <c r="H844" s="1">
        <v>805.11</v>
      </c>
      <c r="I844" s="1">
        <v>1566.26</v>
      </c>
      <c r="J844" s="1">
        <v>16522.75</v>
      </c>
    </row>
    <row r="845" spans="1:10">
      <c r="A845" s="2">
        <v>44714</v>
      </c>
      <c r="B845" s="1">
        <v>1233.8800000000001</v>
      </c>
      <c r="C845" s="1">
        <v>3004.6</v>
      </c>
      <c r="D845" s="1">
        <v>655.62</v>
      </c>
      <c r="E845" s="1">
        <v>1339.1</v>
      </c>
      <c r="F845" s="1">
        <v>225.9</v>
      </c>
      <c r="G845" s="1">
        <v>7568.42</v>
      </c>
      <c r="H845" s="1">
        <v>824.59</v>
      </c>
      <c r="I845" s="1">
        <v>1555.95</v>
      </c>
      <c r="J845" s="1">
        <v>16628</v>
      </c>
    </row>
    <row r="846" spans="1:10">
      <c r="A846" s="2">
        <v>44715</v>
      </c>
      <c r="B846" s="1">
        <v>1258.8900000000001</v>
      </c>
      <c r="C846" s="1">
        <v>3019.65</v>
      </c>
      <c r="D846" s="1">
        <v>653.35</v>
      </c>
      <c r="E846" s="1">
        <v>1351.27</v>
      </c>
      <c r="F846" s="1">
        <v>225.24</v>
      </c>
      <c r="G846" s="1">
        <v>7358</v>
      </c>
      <c r="H846" s="1">
        <v>829.91</v>
      </c>
      <c r="I846" s="1">
        <v>1570.11</v>
      </c>
      <c r="J846" s="1">
        <v>16584.3</v>
      </c>
    </row>
    <row r="847" spans="1:10">
      <c r="A847" s="2">
        <v>44718</v>
      </c>
      <c r="B847" s="1">
        <v>1253.47</v>
      </c>
      <c r="C847" s="1">
        <v>3011.58</v>
      </c>
      <c r="D847" s="1">
        <v>652.47</v>
      </c>
      <c r="E847" s="1">
        <v>1358.68</v>
      </c>
      <c r="F847" s="1">
        <v>226.97</v>
      </c>
      <c r="G847" s="1">
        <v>7363.25</v>
      </c>
      <c r="H847" s="1">
        <v>824.83</v>
      </c>
      <c r="I847" s="1">
        <v>1558.85</v>
      </c>
      <c r="J847" s="1">
        <v>16569.55</v>
      </c>
    </row>
    <row r="848" spans="1:10">
      <c r="A848" s="2">
        <v>44719</v>
      </c>
      <c r="B848" s="1">
        <v>1255.83</v>
      </c>
      <c r="C848" s="1">
        <v>2951.67</v>
      </c>
      <c r="D848" s="1">
        <v>644.97</v>
      </c>
      <c r="E848" s="1">
        <v>1337.95</v>
      </c>
      <c r="F848" s="1">
        <v>226.23</v>
      </c>
      <c r="G848" s="1">
        <v>7457.65</v>
      </c>
      <c r="H848" s="1">
        <v>813.75</v>
      </c>
      <c r="I848" s="1">
        <v>1510.61</v>
      </c>
      <c r="J848" s="1">
        <v>16416.349999999999</v>
      </c>
    </row>
    <row r="849" spans="1:10">
      <c r="A849" s="2">
        <v>44720</v>
      </c>
      <c r="B849" s="1">
        <v>1233.77</v>
      </c>
      <c r="C849" s="1">
        <v>2988.05</v>
      </c>
      <c r="D849" s="1">
        <v>647.24</v>
      </c>
      <c r="E849" s="1">
        <v>1332</v>
      </c>
      <c r="F849" s="1">
        <v>221.28</v>
      </c>
      <c r="G849" s="1">
        <v>7536.96</v>
      </c>
      <c r="H849" s="1">
        <v>812.79</v>
      </c>
      <c r="I849" s="1">
        <v>1505.96</v>
      </c>
      <c r="J849" s="1">
        <v>16356.25</v>
      </c>
    </row>
    <row r="850" spans="1:10">
      <c r="A850" s="2">
        <v>44721</v>
      </c>
      <c r="B850" s="1">
        <v>1267.5999999999999</v>
      </c>
      <c r="C850" s="1">
        <v>3008.2</v>
      </c>
      <c r="D850" s="1">
        <v>652.12</v>
      </c>
      <c r="E850" s="1">
        <v>1345.32</v>
      </c>
      <c r="F850" s="1">
        <v>223.71</v>
      </c>
      <c r="G850" s="1">
        <v>7572.67</v>
      </c>
      <c r="H850" s="1">
        <v>823.92</v>
      </c>
      <c r="I850" s="1">
        <v>1515.98</v>
      </c>
      <c r="J850" s="1">
        <v>16478.099999999999</v>
      </c>
    </row>
    <row r="851" spans="1:10">
      <c r="A851" s="2">
        <v>44722</v>
      </c>
      <c r="B851" s="1">
        <v>1229.33</v>
      </c>
      <c r="C851" s="1">
        <v>2949.21</v>
      </c>
      <c r="D851" s="1">
        <v>639.53</v>
      </c>
      <c r="E851" s="1">
        <v>1311.39</v>
      </c>
      <c r="F851" s="1">
        <v>223.13</v>
      </c>
      <c r="G851" s="1">
        <v>7577.69</v>
      </c>
      <c r="H851" s="1">
        <v>811.3</v>
      </c>
      <c r="I851" s="1">
        <v>1506.48</v>
      </c>
      <c r="J851" s="1">
        <v>16201.8</v>
      </c>
    </row>
    <row r="852" spans="1:10">
      <c r="A852" s="2">
        <v>44725</v>
      </c>
      <c r="B852" s="1">
        <v>1206.08</v>
      </c>
      <c r="C852" s="1">
        <v>2826.06</v>
      </c>
      <c r="D852" s="1">
        <v>627.92999999999995</v>
      </c>
      <c r="E852" s="1">
        <v>1264.95</v>
      </c>
      <c r="F852" s="1">
        <v>218.59</v>
      </c>
      <c r="G852" s="1">
        <v>7545.69</v>
      </c>
      <c r="H852" s="1">
        <v>795.76</v>
      </c>
      <c r="I852" s="1">
        <v>1456.06</v>
      </c>
      <c r="J852" s="1">
        <v>15774.4</v>
      </c>
    </row>
    <row r="853" spans="1:10">
      <c r="A853" s="2">
        <v>44726</v>
      </c>
      <c r="B853" s="1">
        <v>1190.31</v>
      </c>
      <c r="C853" s="1">
        <v>2818.12</v>
      </c>
      <c r="D853" s="1">
        <v>621.02</v>
      </c>
      <c r="E853" s="1">
        <v>1279.2</v>
      </c>
      <c r="F853" s="1">
        <v>219.25</v>
      </c>
      <c r="G853" s="1">
        <v>7459.8</v>
      </c>
      <c r="H853" s="1">
        <v>791.49</v>
      </c>
      <c r="I853" s="1">
        <v>1468.04</v>
      </c>
      <c r="J853" s="1">
        <v>15732.1</v>
      </c>
    </row>
    <row r="854" spans="1:10">
      <c r="A854" s="2">
        <v>44727</v>
      </c>
      <c r="B854" s="1">
        <v>1175.9100000000001</v>
      </c>
      <c r="C854" s="1">
        <v>2814.39</v>
      </c>
      <c r="D854" s="1">
        <v>618.87</v>
      </c>
      <c r="E854" s="1">
        <v>1262.9100000000001</v>
      </c>
      <c r="F854" s="1">
        <v>217.56</v>
      </c>
      <c r="G854" s="1">
        <v>7499.71</v>
      </c>
      <c r="H854" s="1">
        <v>788.85</v>
      </c>
      <c r="I854" s="1">
        <v>1482.96</v>
      </c>
      <c r="J854" s="1">
        <v>15692.15</v>
      </c>
    </row>
    <row r="855" spans="1:10">
      <c r="A855" s="2">
        <v>44728</v>
      </c>
      <c r="B855" s="1">
        <v>1159.47</v>
      </c>
      <c r="C855" s="1">
        <v>2757.95</v>
      </c>
      <c r="D855" s="1">
        <v>606.49</v>
      </c>
      <c r="E855" s="1">
        <v>1240.71</v>
      </c>
      <c r="F855" s="1">
        <v>215.33</v>
      </c>
      <c r="G855" s="1">
        <v>7480.76</v>
      </c>
      <c r="H855" s="1">
        <v>781.47</v>
      </c>
      <c r="I855" s="1">
        <v>1451.64</v>
      </c>
      <c r="J855" s="1">
        <v>15360.6</v>
      </c>
    </row>
    <row r="856" spans="1:10">
      <c r="A856" s="2">
        <v>44729</v>
      </c>
      <c r="B856" s="1">
        <v>1173.06</v>
      </c>
      <c r="C856" s="1">
        <v>2711.34</v>
      </c>
      <c r="D856" s="1">
        <v>610.49</v>
      </c>
      <c r="E856" s="1">
        <v>1231.92</v>
      </c>
      <c r="F856" s="1">
        <v>217.48</v>
      </c>
      <c r="G856" s="1">
        <v>7341.86</v>
      </c>
      <c r="H856" s="1">
        <v>761.13</v>
      </c>
      <c r="I856" s="1">
        <v>1416.05</v>
      </c>
      <c r="J856" s="1">
        <v>15293.5</v>
      </c>
    </row>
    <row r="857" spans="1:10">
      <c r="A857" s="2">
        <v>44732</v>
      </c>
      <c r="B857" s="1">
        <v>1151.79</v>
      </c>
      <c r="C857" s="1">
        <v>2731.96</v>
      </c>
      <c r="D857" s="1">
        <v>625.83000000000004</v>
      </c>
      <c r="E857" s="1">
        <v>1255.76</v>
      </c>
      <c r="F857" s="1">
        <v>218.14</v>
      </c>
      <c r="G857" s="1">
        <v>7315.88</v>
      </c>
      <c r="H857" s="1">
        <v>772.54</v>
      </c>
      <c r="I857" s="1">
        <v>1398.8</v>
      </c>
      <c r="J857" s="1">
        <v>15350.15</v>
      </c>
    </row>
    <row r="858" spans="1:10">
      <c r="A858" s="2">
        <v>44733</v>
      </c>
      <c r="B858" s="1">
        <v>1170.3900000000001</v>
      </c>
      <c r="C858" s="1">
        <v>2819.35</v>
      </c>
      <c r="D858" s="1">
        <v>632.64</v>
      </c>
      <c r="E858" s="1">
        <v>1287.51</v>
      </c>
      <c r="F858" s="1">
        <v>222.93</v>
      </c>
      <c r="G858" s="1">
        <v>7430.15</v>
      </c>
      <c r="H858" s="1">
        <v>784.2</v>
      </c>
      <c r="I858" s="1">
        <v>1425.89</v>
      </c>
      <c r="J858" s="1">
        <v>15638.8</v>
      </c>
    </row>
    <row r="859" spans="1:10">
      <c r="A859" s="2">
        <v>44734</v>
      </c>
      <c r="B859" s="1">
        <v>1134.83</v>
      </c>
      <c r="C859" s="1">
        <v>2829</v>
      </c>
      <c r="D859" s="1">
        <v>629.66</v>
      </c>
      <c r="E859" s="1">
        <v>1276.27</v>
      </c>
      <c r="F859" s="1">
        <v>219.13</v>
      </c>
      <c r="G859" s="1">
        <v>7432.2</v>
      </c>
      <c r="H859" s="1">
        <v>776.38</v>
      </c>
      <c r="I859" s="1">
        <v>1405.4</v>
      </c>
      <c r="J859" s="1">
        <v>15413.3</v>
      </c>
    </row>
    <row r="860" spans="1:10">
      <c r="A860" s="2">
        <v>44735</v>
      </c>
      <c r="B860" s="1">
        <v>1116.42</v>
      </c>
      <c r="C860" s="1">
        <v>2904.36</v>
      </c>
      <c r="D860" s="1">
        <v>631.98</v>
      </c>
      <c r="E860" s="1">
        <v>1289.77</v>
      </c>
      <c r="F860" s="1">
        <v>219.29</v>
      </c>
      <c r="G860" s="1">
        <v>7898.46</v>
      </c>
      <c r="H860" s="1">
        <v>791.35</v>
      </c>
      <c r="I860" s="1">
        <v>1420.18</v>
      </c>
      <c r="J860" s="1">
        <v>15556.65</v>
      </c>
    </row>
    <row r="861" spans="1:10">
      <c r="A861" s="2">
        <v>44736</v>
      </c>
      <c r="B861" s="1">
        <v>1132.32</v>
      </c>
      <c r="C861" s="1">
        <v>2890.58</v>
      </c>
      <c r="D861" s="1">
        <v>640.80999999999995</v>
      </c>
      <c r="E861" s="1">
        <v>1279.69</v>
      </c>
      <c r="F861" s="1">
        <v>219.58</v>
      </c>
      <c r="G861" s="1">
        <v>7986.5</v>
      </c>
      <c r="H861" s="1">
        <v>791.06</v>
      </c>
      <c r="I861" s="1">
        <v>1420.71</v>
      </c>
      <c r="J861" s="1">
        <v>15699.25</v>
      </c>
    </row>
    <row r="862" spans="1:10">
      <c r="A862" s="2">
        <v>44739</v>
      </c>
      <c r="B862" s="1">
        <v>1128.97</v>
      </c>
      <c r="C862" s="1">
        <v>2909.54</v>
      </c>
      <c r="D862" s="1">
        <v>641.97</v>
      </c>
      <c r="E862" s="1">
        <v>1309.44</v>
      </c>
      <c r="F862" s="1">
        <v>222.97</v>
      </c>
      <c r="G862" s="1">
        <v>8068.2</v>
      </c>
      <c r="H862" s="1">
        <v>801.66</v>
      </c>
      <c r="I862" s="1">
        <v>1459.63</v>
      </c>
      <c r="J862" s="1">
        <v>15832.05</v>
      </c>
    </row>
    <row r="863" spans="1:10">
      <c r="A863" s="2">
        <v>44740</v>
      </c>
      <c r="B863" s="1">
        <v>1144.8399999999999</v>
      </c>
      <c r="C863" s="1">
        <v>2912.57</v>
      </c>
      <c r="D863" s="1">
        <v>637.07000000000005</v>
      </c>
      <c r="E863" s="1">
        <v>1314.37</v>
      </c>
      <c r="F863" s="1">
        <v>224.54</v>
      </c>
      <c r="G863" s="1">
        <v>8107.31</v>
      </c>
      <c r="H863" s="1">
        <v>794.9</v>
      </c>
      <c r="I863" s="1">
        <v>1474.55</v>
      </c>
      <c r="J863" s="1">
        <v>15850.2</v>
      </c>
    </row>
    <row r="864" spans="1:10">
      <c r="A864" s="2">
        <v>44741</v>
      </c>
      <c r="B864" s="1">
        <v>1168.5999999999999</v>
      </c>
      <c r="C864" s="1">
        <v>2888.3</v>
      </c>
      <c r="D864" s="1">
        <v>636.14</v>
      </c>
      <c r="E864" s="1">
        <v>1299.3599999999999</v>
      </c>
      <c r="F864" s="1">
        <v>226.35</v>
      </c>
      <c r="G864" s="1">
        <v>8125.64</v>
      </c>
      <c r="H864" s="1">
        <v>804.59</v>
      </c>
      <c r="I864" s="1">
        <v>1471.13</v>
      </c>
      <c r="J864" s="1">
        <v>15799.1</v>
      </c>
    </row>
    <row r="865" spans="1:10">
      <c r="A865" s="2">
        <v>44742</v>
      </c>
      <c r="B865" s="1">
        <v>1175.6199999999999</v>
      </c>
      <c r="C865" s="1">
        <v>2867.76</v>
      </c>
      <c r="D865" s="1">
        <v>638.05999999999995</v>
      </c>
      <c r="E865" s="1">
        <v>1298.1600000000001</v>
      </c>
      <c r="F865" s="1">
        <v>225.9</v>
      </c>
      <c r="G865" s="1">
        <v>8089.21</v>
      </c>
      <c r="H865" s="1">
        <v>796.81</v>
      </c>
      <c r="I865" s="1">
        <v>1480.96</v>
      </c>
      <c r="J865" s="1">
        <v>15780.25</v>
      </c>
    </row>
    <row r="866" spans="1:10">
      <c r="A866" s="2">
        <v>44743</v>
      </c>
      <c r="B866" s="1">
        <v>1090.94</v>
      </c>
      <c r="C866" s="1">
        <v>2909.89</v>
      </c>
      <c r="D866" s="1">
        <v>640.78</v>
      </c>
      <c r="E866" s="1">
        <v>1313.7</v>
      </c>
      <c r="F866" s="1">
        <v>234.86</v>
      </c>
      <c r="G866" s="1">
        <v>8024.13</v>
      </c>
      <c r="H866" s="1">
        <v>795.52</v>
      </c>
      <c r="I866" s="1">
        <v>1494.17</v>
      </c>
      <c r="J866" s="1">
        <v>15752.05</v>
      </c>
    </row>
    <row r="867" spans="1:10">
      <c r="A867" s="2">
        <v>44746</v>
      </c>
      <c r="B867" s="1">
        <v>1093.21</v>
      </c>
      <c r="C867" s="1">
        <v>2839.62</v>
      </c>
      <c r="D867" s="1">
        <v>641.67999999999995</v>
      </c>
      <c r="E867" s="1">
        <v>1321.34</v>
      </c>
      <c r="F867" s="1">
        <v>241.1</v>
      </c>
      <c r="G867" s="1">
        <v>8063.04</v>
      </c>
      <c r="H867" s="1">
        <v>795.66</v>
      </c>
      <c r="I867" s="1">
        <v>1503.25</v>
      </c>
      <c r="J867" s="1">
        <v>15835.35</v>
      </c>
    </row>
    <row r="868" spans="1:10">
      <c r="A868" s="2">
        <v>44747</v>
      </c>
      <c r="B868" s="1">
        <v>1102.06</v>
      </c>
      <c r="C868" s="1">
        <v>2823.16</v>
      </c>
      <c r="D868" s="1">
        <v>640.24</v>
      </c>
      <c r="E868" s="1">
        <v>1310.6400000000001</v>
      </c>
      <c r="F868" s="1">
        <v>236.97</v>
      </c>
      <c r="G868" s="1">
        <v>7972.66</v>
      </c>
      <c r="H868" s="1">
        <v>801.8</v>
      </c>
      <c r="I868" s="1">
        <v>1487.28</v>
      </c>
      <c r="J868" s="1">
        <v>15810.85</v>
      </c>
    </row>
    <row r="869" spans="1:10">
      <c r="A869" s="2">
        <v>44748</v>
      </c>
      <c r="B869" s="1">
        <v>1092.3699999999999</v>
      </c>
      <c r="C869" s="1">
        <v>2862.18</v>
      </c>
      <c r="D869" s="1">
        <v>649.07000000000005</v>
      </c>
      <c r="E869" s="1">
        <v>1324.58</v>
      </c>
      <c r="F869" s="1">
        <v>238.95</v>
      </c>
      <c r="G869" s="1">
        <v>8241.33</v>
      </c>
      <c r="H869" s="1">
        <v>803.63</v>
      </c>
      <c r="I869" s="1">
        <v>1478.97</v>
      </c>
      <c r="J869" s="1">
        <v>15989.8</v>
      </c>
    </row>
    <row r="870" spans="1:10">
      <c r="A870" s="2">
        <v>44749</v>
      </c>
      <c r="B870" s="1">
        <v>1081.6099999999999</v>
      </c>
      <c r="C870" s="1">
        <v>2885.97</v>
      </c>
      <c r="D870" s="1">
        <v>660.69</v>
      </c>
      <c r="E870" s="1">
        <v>1330.84</v>
      </c>
      <c r="F870" s="1">
        <v>241.14</v>
      </c>
      <c r="G870" s="1">
        <v>8218.75</v>
      </c>
      <c r="H870" s="1">
        <v>814.9</v>
      </c>
      <c r="I870" s="1">
        <v>1531.19</v>
      </c>
      <c r="J870" s="1">
        <v>16132.9</v>
      </c>
    </row>
    <row r="871" spans="1:10">
      <c r="A871" s="2">
        <v>44750</v>
      </c>
      <c r="B871" s="1">
        <v>1083.1099999999999</v>
      </c>
      <c r="C871" s="1">
        <v>2866.31</v>
      </c>
      <c r="D871" s="1">
        <v>661.3</v>
      </c>
      <c r="E871" s="1">
        <v>1344.83</v>
      </c>
      <c r="F871" s="1">
        <v>242.05</v>
      </c>
      <c r="G871" s="1">
        <v>8094.18</v>
      </c>
      <c r="H871" s="1">
        <v>822.81</v>
      </c>
      <c r="I871" s="1">
        <v>1603.75</v>
      </c>
      <c r="J871" s="1">
        <v>16220.6</v>
      </c>
    </row>
    <row r="872" spans="1:10">
      <c r="A872" s="2">
        <v>44753</v>
      </c>
      <c r="B872" s="1">
        <v>1097.83</v>
      </c>
      <c r="C872" s="1">
        <v>2733.19</v>
      </c>
      <c r="D872" s="1">
        <v>665.59</v>
      </c>
      <c r="E872" s="1">
        <v>1308.1500000000001</v>
      </c>
      <c r="F872" s="1">
        <v>243.66</v>
      </c>
      <c r="G872" s="1">
        <v>8124.45</v>
      </c>
      <c r="H872" s="1">
        <v>822.38</v>
      </c>
      <c r="I872" s="1">
        <v>1580.52</v>
      </c>
      <c r="J872" s="1">
        <v>16216</v>
      </c>
    </row>
    <row r="873" spans="1:10">
      <c r="A873" s="2">
        <v>44754</v>
      </c>
      <c r="B873" s="1">
        <v>1096.26</v>
      </c>
      <c r="C873" s="1">
        <v>2707.65</v>
      </c>
      <c r="D873" s="1">
        <v>658.79</v>
      </c>
      <c r="E873" s="1">
        <v>1277.47</v>
      </c>
      <c r="F873" s="1">
        <v>241.76</v>
      </c>
      <c r="G873" s="1">
        <v>8040.46</v>
      </c>
      <c r="H873" s="1">
        <v>816.96</v>
      </c>
      <c r="I873" s="1">
        <v>1571.72</v>
      </c>
      <c r="J873" s="1">
        <v>16058.3</v>
      </c>
    </row>
    <row r="874" spans="1:10">
      <c r="A874" s="2">
        <v>44755</v>
      </c>
      <c r="B874" s="1">
        <v>1076.83</v>
      </c>
      <c r="C874" s="1">
        <v>2667.32</v>
      </c>
      <c r="D874" s="1">
        <v>642.72</v>
      </c>
      <c r="E874" s="1">
        <v>1282.67</v>
      </c>
      <c r="F874" s="1">
        <v>242.87</v>
      </c>
      <c r="G874" s="1">
        <v>8060.04</v>
      </c>
      <c r="H874" s="1">
        <v>825.16</v>
      </c>
      <c r="I874" s="1">
        <v>1565.55</v>
      </c>
      <c r="J874" s="1">
        <v>15966.65</v>
      </c>
    </row>
    <row r="875" spans="1:10">
      <c r="A875" s="2">
        <v>44756</v>
      </c>
      <c r="B875" s="1">
        <v>1085.71</v>
      </c>
      <c r="C875" s="1">
        <v>2639.15</v>
      </c>
      <c r="D875" s="1">
        <v>639.5</v>
      </c>
      <c r="E875" s="1">
        <v>1268.81</v>
      </c>
      <c r="F875" s="1">
        <v>240.23</v>
      </c>
      <c r="G875" s="1">
        <v>8181.84</v>
      </c>
      <c r="H875" s="1">
        <v>844.11</v>
      </c>
      <c r="I875" s="1">
        <v>1564.5</v>
      </c>
      <c r="J875" s="1">
        <v>15938.65</v>
      </c>
    </row>
    <row r="876" spans="1:10">
      <c r="A876" s="2">
        <v>44757</v>
      </c>
      <c r="B876" s="1">
        <v>1087.82</v>
      </c>
      <c r="C876" s="1">
        <v>2635.5</v>
      </c>
      <c r="D876" s="1">
        <v>644.71</v>
      </c>
      <c r="E876" s="1">
        <v>1270.1500000000001</v>
      </c>
      <c r="F876" s="1">
        <v>242.46</v>
      </c>
      <c r="G876" s="1">
        <v>8382.67</v>
      </c>
      <c r="H876" s="1">
        <v>842.67</v>
      </c>
      <c r="I876" s="1">
        <v>1601.28</v>
      </c>
      <c r="J876" s="1">
        <v>16049.2</v>
      </c>
    </row>
    <row r="877" spans="1:10">
      <c r="A877" s="2">
        <v>44760</v>
      </c>
      <c r="B877" s="1">
        <v>1097.08</v>
      </c>
      <c r="C877" s="1">
        <v>2696.14</v>
      </c>
      <c r="D877" s="1">
        <v>637.85</v>
      </c>
      <c r="E877" s="1">
        <v>1323.03</v>
      </c>
      <c r="F877" s="1">
        <v>243.91</v>
      </c>
      <c r="G877" s="1">
        <v>8312.7199999999993</v>
      </c>
      <c r="H877" s="1">
        <v>846.89</v>
      </c>
      <c r="I877" s="1">
        <v>1641.96</v>
      </c>
      <c r="J877" s="1">
        <v>16278.5</v>
      </c>
    </row>
    <row r="878" spans="1:10">
      <c r="A878" s="2">
        <v>44761</v>
      </c>
      <c r="B878" s="1">
        <v>1103.81</v>
      </c>
      <c r="C878" s="1">
        <v>2705.6</v>
      </c>
      <c r="D878" s="1">
        <v>638.08000000000004</v>
      </c>
      <c r="E878" s="1">
        <v>1317.92</v>
      </c>
      <c r="F878" s="1">
        <v>243.33</v>
      </c>
      <c r="G878" s="1">
        <v>8323.27</v>
      </c>
      <c r="H878" s="1">
        <v>839.7</v>
      </c>
      <c r="I878" s="1">
        <v>1644</v>
      </c>
      <c r="J878" s="1">
        <v>16340.55</v>
      </c>
    </row>
    <row r="879" spans="1:10">
      <c r="A879" s="2">
        <v>44762</v>
      </c>
      <c r="B879" s="1">
        <v>1133.6500000000001</v>
      </c>
      <c r="C879" s="1">
        <v>2785.29</v>
      </c>
      <c r="D879" s="1">
        <v>646.13</v>
      </c>
      <c r="E879" s="1">
        <v>1345.58</v>
      </c>
      <c r="F879" s="1">
        <v>246.3</v>
      </c>
      <c r="G879" s="1">
        <v>8354.9699999999993</v>
      </c>
      <c r="H879" s="1">
        <v>832.21</v>
      </c>
      <c r="I879" s="1">
        <v>1653.65</v>
      </c>
      <c r="J879" s="1">
        <v>16520.849999999999</v>
      </c>
    </row>
    <row r="880" spans="1:10">
      <c r="A880" s="2">
        <v>44763</v>
      </c>
      <c r="B880" s="1">
        <v>1126.0899999999999</v>
      </c>
      <c r="C880" s="1">
        <v>2796.29</v>
      </c>
      <c r="D880" s="1">
        <v>644.1</v>
      </c>
      <c r="E880" s="1">
        <v>1361.21</v>
      </c>
      <c r="F880" s="1">
        <v>247.42</v>
      </c>
      <c r="G880" s="1">
        <v>8400.76</v>
      </c>
      <c r="H880" s="1">
        <v>834.28</v>
      </c>
      <c r="I880" s="1">
        <v>1699.08</v>
      </c>
      <c r="J880" s="1">
        <v>16605.25</v>
      </c>
    </row>
    <row r="881" spans="1:10">
      <c r="A881" s="2">
        <v>44764</v>
      </c>
      <c r="B881" s="1">
        <v>1133.7</v>
      </c>
      <c r="C881" s="1">
        <v>2790.75</v>
      </c>
      <c r="D881" s="1">
        <v>659.12</v>
      </c>
      <c r="E881" s="1">
        <v>1337.59</v>
      </c>
      <c r="F881" s="1">
        <v>248.24</v>
      </c>
      <c r="G881" s="1">
        <v>8433.18</v>
      </c>
      <c r="H881" s="1">
        <v>838.93</v>
      </c>
      <c r="I881" s="1">
        <v>1701.59</v>
      </c>
      <c r="J881" s="1">
        <v>16719.45</v>
      </c>
    </row>
    <row r="882" spans="1:10">
      <c r="A882" s="2">
        <v>44767</v>
      </c>
      <c r="B882" s="1">
        <v>1096.24</v>
      </c>
      <c r="C882" s="1">
        <v>2787.01</v>
      </c>
      <c r="D882" s="1">
        <v>661.07</v>
      </c>
      <c r="E882" s="1">
        <v>1335.19</v>
      </c>
      <c r="F882" s="1">
        <v>248.7</v>
      </c>
      <c r="G882" s="1">
        <v>8233.26</v>
      </c>
      <c r="H882" s="1">
        <v>833.03</v>
      </c>
      <c r="I882" s="1">
        <v>1715.74</v>
      </c>
      <c r="J882" s="1">
        <v>16631</v>
      </c>
    </row>
    <row r="883" spans="1:10">
      <c r="A883" s="2">
        <v>44768</v>
      </c>
      <c r="B883" s="1">
        <v>1096.74</v>
      </c>
      <c r="C883" s="1">
        <v>2742.26</v>
      </c>
      <c r="D883" s="1">
        <v>659.72</v>
      </c>
      <c r="E883" s="1">
        <v>1288.6199999999999</v>
      </c>
      <c r="F883" s="1">
        <v>249.81</v>
      </c>
      <c r="G883" s="1">
        <v>8141.83</v>
      </c>
      <c r="H883" s="1">
        <v>832.36</v>
      </c>
      <c r="I883" s="1">
        <v>1685.7</v>
      </c>
      <c r="J883" s="1">
        <v>16483.849999999999</v>
      </c>
    </row>
    <row r="884" spans="1:10">
      <c r="A884" s="2">
        <v>44769</v>
      </c>
      <c r="B884" s="1">
        <v>1095.7</v>
      </c>
      <c r="C884" s="1">
        <v>2806.46</v>
      </c>
      <c r="D884" s="1">
        <v>664.76</v>
      </c>
      <c r="E884" s="1">
        <v>1306.29</v>
      </c>
      <c r="F884" s="1">
        <v>251.22</v>
      </c>
      <c r="G884" s="1">
        <v>8268.1200000000008</v>
      </c>
      <c r="H884" s="1">
        <v>857.64</v>
      </c>
      <c r="I884" s="1">
        <v>1729.4</v>
      </c>
      <c r="J884" s="1">
        <v>16641.8</v>
      </c>
    </row>
    <row r="885" spans="1:10">
      <c r="A885" s="2">
        <v>44770</v>
      </c>
      <c r="B885" s="1">
        <v>1112.8599999999999</v>
      </c>
      <c r="C885" s="1">
        <v>2869.52</v>
      </c>
      <c r="D885" s="1">
        <v>670.65</v>
      </c>
      <c r="E885" s="1">
        <v>1347.45</v>
      </c>
      <c r="F885" s="1">
        <v>250.64</v>
      </c>
      <c r="G885" s="1">
        <v>8328.23</v>
      </c>
      <c r="H885" s="1">
        <v>858.45</v>
      </c>
      <c r="I885" s="1">
        <v>1733.83</v>
      </c>
      <c r="J885" s="1">
        <v>16929.599999999999</v>
      </c>
    </row>
    <row r="886" spans="1:10">
      <c r="A886" s="2">
        <v>44771</v>
      </c>
      <c r="B886" s="1">
        <v>1136.57</v>
      </c>
      <c r="C886" s="1">
        <v>2905.95</v>
      </c>
      <c r="D886" s="1">
        <v>678.86</v>
      </c>
      <c r="E886" s="1">
        <v>1376.13</v>
      </c>
      <c r="F886" s="1">
        <v>250.31</v>
      </c>
      <c r="G886" s="1">
        <v>8378.3700000000008</v>
      </c>
      <c r="H886" s="1">
        <v>904.83</v>
      </c>
      <c r="I886" s="1">
        <v>1740.38</v>
      </c>
      <c r="J886" s="1">
        <v>17158.25</v>
      </c>
    </row>
    <row r="887" spans="1:10">
      <c r="A887" s="2">
        <v>44774</v>
      </c>
      <c r="B887" s="1">
        <v>1166.2</v>
      </c>
      <c r="C887" s="1">
        <v>2903.22</v>
      </c>
      <c r="D887" s="1">
        <v>684.52</v>
      </c>
      <c r="E887" s="1">
        <v>1377.33</v>
      </c>
      <c r="F887" s="1">
        <v>253.98</v>
      </c>
      <c r="G887" s="1">
        <v>8597.8700000000008</v>
      </c>
      <c r="H887" s="1">
        <v>881.33</v>
      </c>
      <c r="I887" s="1">
        <v>1746.78</v>
      </c>
      <c r="J887" s="1">
        <v>17340.05</v>
      </c>
    </row>
    <row r="888" spans="1:10">
      <c r="A888" s="2">
        <v>44775</v>
      </c>
      <c r="B888" s="1">
        <v>1170.6300000000001</v>
      </c>
      <c r="C888" s="1">
        <v>2897.06</v>
      </c>
      <c r="D888" s="1">
        <v>676.99</v>
      </c>
      <c r="E888" s="1">
        <v>1370.71</v>
      </c>
      <c r="F888" s="1">
        <v>256.01</v>
      </c>
      <c r="G888" s="1">
        <v>8759.8799999999992</v>
      </c>
      <c r="H888" s="1">
        <v>879.94</v>
      </c>
      <c r="I888" s="1">
        <v>1725.94</v>
      </c>
      <c r="J888" s="1">
        <v>17345.45</v>
      </c>
    </row>
    <row r="889" spans="1:10">
      <c r="A889" s="2">
        <v>44776</v>
      </c>
      <c r="B889" s="1">
        <v>1180.46</v>
      </c>
      <c r="C889" s="1">
        <v>2939.04</v>
      </c>
      <c r="D889" s="1">
        <v>678.58</v>
      </c>
      <c r="E889" s="1">
        <v>1390.69</v>
      </c>
      <c r="F889" s="1">
        <v>254.52</v>
      </c>
      <c r="G889" s="1">
        <v>8612.23</v>
      </c>
      <c r="H889" s="1">
        <v>860.51</v>
      </c>
      <c r="I889" s="1">
        <v>1722.81</v>
      </c>
      <c r="J889" s="1">
        <v>17388.150000000001</v>
      </c>
    </row>
    <row r="890" spans="1:10">
      <c r="A890" s="2">
        <v>44777</v>
      </c>
      <c r="B890" s="1">
        <v>1164.8599999999999</v>
      </c>
      <c r="C890" s="1">
        <v>2952.64</v>
      </c>
      <c r="D890" s="1">
        <v>677.77</v>
      </c>
      <c r="E890" s="1">
        <v>1420.71</v>
      </c>
      <c r="F890" s="1">
        <v>255.64</v>
      </c>
      <c r="G890" s="1">
        <v>8619.2000000000007</v>
      </c>
      <c r="H890" s="1">
        <v>881.14</v>
      </c>
      <c r="I890" s="1">
        <v>1713.47</v>
      </c>
      <c r="J890" s="1">
        <v>17382</v>
      </c>
    </row>
    <row r="891" spans="1:10">
      <c r="A891" s="2">
        <v>44778</v>
      </c>
      <c r="B891" s="1">
        <v>1147.69</v>
      </c>
      <c r="C891" s="1">
        <v>2961.53</v>
      </c>
      <c r="D891" s="1">
        <v>675.48</v>
      </c>
      <c r="E891" s="1">
        <v>1435.58</v>
      </c>
      <c r="F891" s="1">
        <v>256.75</v>
      </c>
      <c r="G891" s="1">
        <v>8498.56</v>
      </c>
      <c r="H891" s="1">
        <v>878.69</v>
      </c>
      <c r="I891" s="1">
        <v>1720.55</v>
      </c>
      <c r="J891" s="1">
        <v>17397.5</v>
      </c>
    </row>
    <row r="892" spans="1:10">
      <c r="A892" s="2">
        <v>44781</v>
      </c>
      <c r="B892" s="1">
        <v>1162.71</v>
      </c>
      <c r="C892" s="1">
        <v>2969.8</v>
      </c>
      <c r="D892" s="1">
        <v>692.05</v>
      </c>
      <c r="E892" s="1">
        <v>1438.02</v>
      </c>
      <c r="F892" s="1">
        <v>258.64999999999998</v>
      </c>
      <c r="G892" s="1">
        <v>8576.18</v>
      </c>
      <c r="H892" s="1">
        <v>873.37</v>
      </c>
      <c r="I892" s="1">
        <v>1761.17</v>
      </c>
      <c r="J892" s="1">
        <v>17525.099999999999</v>
      </c>
    </row>
    <row r="893" spans="1:10">
      <c r="A893" s="2">
        <v>44783</v>
      </c>
      <c r="B893" s="1">
        <v>1169.6600000000001</v>
      </c>
      <c r="C893" s="1">
        <v>2952.02</v>
      </c>
      <c r="D893" s="1">
        <v>694.06</v>
      </c>
      <c r="E893" s="1">
        <v>1422.97</v>
      </c>
      <c r="F893" s="1">
        <v>257.04000000000002</v>
      </c>
      <c r="G893" s="1">
        <v>8535.57</v>
      </c>
      <c r="H893" s="1">
        <v>882.29</v>
      </c>
      <c r="I893" s="1">
        <v>1785.71</v>
      </c>
      <c r="J893" s="1">
        <v>17534.75</v>
      </c>
    </row>
    <row r="894" spans="1:10">
      <c r="A894" s="2">
        <v>44784</v>
      </c>
      <c r="B894" s="1">
        <v>1173.56</v>
      </c>
      <c r="C894" s="1">
        <v>3012.09</v>
      </c>
      <c r="D894" s="1">
        <v>703.24</v>
      </c>
      <c r="E894" s="1">
        <v>1438.51</v>
      </c>
      <c r="F894" s="1">
        <v>252.95</v>
      </c>
      <c r="G894" s="1">
        <v>8472.27</v>
      </c>
      <c r="H894" s="1">
        <v>883.59</v>
      </c>
      <c r="I894" s="1">
        <v>1797.27</v>
      </c>
      <c r="J894" s="1">
        <v>17659</v>
      </c>
    </row>
    <row r="895" spans="1:10">
      <c r="A895" s="2">
        <v>44785</v>
      </c>
      <c r="B895" s="1">
        <v>1192.53</v>
      </c>
      <c r="C895" s="1">
        <v>2993.65</v>
      </c>
      <c r="D895" s="1">
        <v>702.98</v>
      </c>
      <c r="E895" s="1">
        <v>1415.56</v>
      </c>
      <c r="F895" s="1">
        <v>254.85</v>
      </c>
      <c r="G895" s="1">
        <v>8362.06</v>
      </c>
      <c r="H895" s="1">
        <v>876.29</v>
      </c>
      <c r="I895" s="1">
        <v>1777.34</v>
      </c>
      <c r="J895" s="1">
        <v>17698.150000000001</v>
      </c>
    </row>
    <row r="896" spans="1:10">
      <c r="A896" s="2">
        <v>44789</v>
      </c>
      <c r="B896" s="1">
        <v>1200.82</v>
      </c>
      <c r="C896" s="1">
        <v>2985.86</v>
      </c>
      <c r="D896" s="1">
        <v>711.03</v>
      </c>
      <c r="E896" s="1">
        <v>1417.64</v>
      </c>
      <c r="F896" s="1">
        <v>256.5</v>
      </c>
      <c r="G896" s="1">
        <v>8654.76</v>
      </c>
      <c r="H896" s="1">
        <v>877.4</v>
      </c>
      <c r="I896" s="1">
        <v>1779.7</v>
      </c>
      <c r="J896" s="1">
        <v>17825.25</v>
      </c>
    </row>
    <row r="897" spans="1:10">
      <c r="A897" s="2">
        <v>44790</v>
      </c>
      <c r="B897" s="1">
        <v>1207.0899999999999</v>
      </c>
      <c r="C897" s="1">
        <v>2993.26</v>
      </c>
      <c r="D897" s="1">
        <v>714.69</v>
      </c>
      <c r="E897" s="1">
        <v>1426.35</v>
      </c>
      <c r="F897" s="1">
        <v>258.14999999999998</v>
      </c>
      <c r="G897" s="1">
        <v>8597.7099999999991</v>
      </c>
      <c r="H897" s="1">
        <v>883.35</v>
      </c>
      <c r="I897" s="1">
        <v>1786.24</v>
      </c>
      <c r="J897" s="1">
        <v>17944.25</v>
      </c>
    </row>
    <row r="898" spans="1:10">
      <c r="A898" s="2">
        <v>44791</v>
      </c>
      <c r="B898" s="1">
        <v>1209.28</v>
      </c>
      <c r="C898" s="1">
        <v>2975.79</v>
      </c>
      <c r="D898" s="1">
        <v>715.55</v>
      </c>
      <c r="E898" s="1">
        <v>1405.66</v>
      </c>
      <c r="F898" s="1">
        <v>260.70999999999998</v>
      </c>
      <c r="G898" s="1">
        <v>8600.93</v>
      </c>
      <c r="H898" s="1">
        <v>879.46</v>
      </c>
      <c r="I898" s="1">
        <v>1823.64</v>
      </c>
      <c r="J898" s="1">
        <v>17956.5</v>
      </c>
    </row>
    <row r="899" spans="1:10">
      <c r="A899" s="2">
        <v>44792</v>
      </c>
      <c r="B899" s="1">
        <v>1187.72</v>
      </c>
      <c r="C899" s="1">
        <v>2979.75</v>
      </c>
      <c r="D899" s="1">
        <v>706.72</v>
      </c>
      <c r="E899" s="1">
        <v>1418.22</v>
      </c>
      <c r="F899" s="1">
        <v>257.7</v>
      </c>
      <c r="G899" s="1">
        <v>8438.7199999999993</v>
      </c>
      <c r="H899" s="1">
        <v>867.53</v>
      </c>
      <c r="I899" s="1">
        <v>1863.59</v>
      </c>
      <c r="J899" s="1">
        <v>17758.45</v>
      </c>
    </row>
    <row r="900" spans="1:10">
      <c r="A900" s="2">
        <v>44795</v>
      </c>
      <c r="B900" s="1">
        <v>1184.43</v>
      </c>
      <c r="C900" s="1">
        <v>2952.29</v>
      </c>
      <c r="D900" s="1">
        <v>695.97</v>
      </c>
      <c r="E900" s="1">
        <v>1399.17</v>
      </c>
      <c r="F900" s="1">
        <v>259.68</v>
      </c>
      <c r="G900" s="1">
        <v>8293.6200000000008</v>
      </c>
      <c r="H900" s="1">
        <v>847.51</v>
      </c>
      <c r="I900" s="1">
        <v>1810.26</v>
      </c>
      <c r="J900" s="1">
        <v>17490.7</v>
      </c>
    </row>
    <row r="901" spans="1:10">
      <c r="A901" s="2">
        <v>44796</v>
      </c>
      <c r="B901" s="1">
        <v>1202.69</v>
      </c>
      <c r="C901" s="1">
        <v>2890.73</v>
      </c>
      <c r="D901" s="1">
        <v>693.82</v>
      </c>
      <c r="E901" s="1">
        <v>1369.65</v>
      </c>
      <c r="F901" s="1">
        <v>260.92</v>
      </c>
      <c r="G901" s="1">
        <v>8382.5400000000009</v>
      </c>
      <c r="H901" s="1">
        <v>855.06</v>
      </c>
      <c r="I901" s="1">
        <v>1806.79</v>
      </c>
      <c r="J901" s="1">
        <v>17577.5</v>
      </c>
    </row>
    <row r="902" spans="1:10">
      <c r="A902" s="2">
        <v>44797</v>
      </c>
      <c r="B902" s="1">
        <v>1199.49</v>
      </c>
      <c r="C902" s="1">
        <v>2864.98</v>
      </c>
      <c r="D902" s="1">
        <v>697.16</v>
      </c>
      <c r="E902" s="1">
        <v>1365.3</v>
      </c>
      <c r="F902" s="1">
        <v>259.43</v>
      </c>
      <c r="G902" s="1">
        <v>8366.68</v>
      </c>
      <c r="H902" s="1">
        <v>847.94</v>
      </c>
      <c r="I902" s="1">
        <v>1822.48</v>
      </c>
      <c r="J902" s="1">
        <v>17604.95</v>
      </c>
    </row>
    <row r="903" spans="1:10">
      <c r="A903" s="2">
        <v>44798</v>
      </c>
      <c r="B903" s="1">
        <v>1195.99</v>
      </c>
      <c r="C903" s="1">
        <v>2832.29</v>
      </c>
      <c r="D903" s="1">
        <v>693.37</v>
      </c>
      <c r="E903" s="1">
        <v>1348.11</v>
      </c>
      <c r="F903" s="1">
        <v>257.99</v>
      </c>
      <c r="G903" s="1">
        <v>8397.34</v>
      </c>
      <c r="H903" s="1">
        <v>844.38</v>
      </c>
      <c r="I903" s="1">
        <v>1807.61</v>
      </c>
      <c r="J903" s="1">
        <v>17522.45</v>
      </c>
    </row>
    <row r="904" spans="1:10">
      <c r="A904" s="2">
        <v>44799</v>
      </c>
      <c r="B904" s="1">
        <v>1189.6099999999999</v>
      </c>
      <c r="C904" s="1">
        <v>2835.81</v>
      </c>
      <c r="D904" s="1">
        <v>693.49</v>
      </c>
      <c r="E904" s="1">
        <v>1351.13</v>
      </c>
      <c r="F904" s="1">
        <v>258.44</v>
      </c>
      <c r="G904" s="1">
        <v>8382.6299999999992</v>
      </c>
      <c r="H904" s="1">
        <v>847.12</v>
      </c>
      <c r="I904" s="1">
        <v>1834.08</v>
      </c>
      <c r="J904" s="1">
        <v>17558.900000000001</v>
      </c>
    </row>
    <row r="905" spans="1:10">
      <c r="A905" s="2">
        <v>44802</v>
      </c>
      <c r="B905" s="1">
        <v>1180.3599999999999</v>
      </c>
      <c r="C905" s="1">
        <v>2756.91</v>
      </c>
      <c r="D905" s="1">
        <v>681.32</v>
      </c>
      <c r="E905" s="1">
        <v>1298.03</v>
      </c>
      <c r="F905" s="1">
        <v>258.98</v>
      </c>
      <c r="G905" s="1">
        <v>8491.83</v>
      </c>
      <c r="H905" s="1">
        <v>846.26</v>
      </c>
      <c r="I905" s="1">
        <v>1811.08</v>
      </c>
      <c r="J905" s="1">
        <v>17312.900000000001</v>
      </c>
    </row>
    <row r="906" spans="1:10">
      <c r="A906" s="2">
        <v>44803</v>
      </c>
      <c r="B906" s="1">
        <v>1198.67</v>
      </c>
      <c r="C906" s="1">
        <v>2826.08</v>
      </c>
      <c r="D906" s="1">
        <v>703.43</v>
      </c>
      <c r="E906" s="1">
        <v>1325.74</v>
      </c>
      <c r="F906" s="1">
        <v>264.72000000000003</v>
      </c>
      <c r="G906" s="1">
        <v>8730.27</v>
      </c>
      <c r="H906" s="1">
        <v>859.54</v>
      </c>
      <c r="I906" s="1">
        <v>1850.54</v>
      </c>
      <c r="J906" s="1">
        <v>17759.3</v>
      </c>
    </row>
    <row r="907" spans="1:10">
      <c r="A907" s="2">
        <v>44805</v>
      </c>
      <c r="B907" s="1">
        <v>1163.43</v>
      </c>
      <c r="C907" s="1">
        <v>2756.16</v>
      </c>
      <c r="D907" s="1">
        <v>696.83</v>
      </c>
      <c r="E907" s="1">
        <v>1300.21</v>
      </c>
      <c r="F907" s="1">
        <v>262.33</v>
      </c>
      <c r="G907" s="1">
        <v>8674.76</v>
      </c>
      <c r="H907" s="1">
        <v>839.13</v>
      </c>
      <c r="I907" s="1">
        <v>1841.35</v>
      </c>
      <c r="J907" s="1">
        <v>17542.8</v>
      </c>
    </row>
    <row r="908" spans="1:10">
      <c r="A908" s="2">
        <v>44806</v>
      </c>
      <c r="B908" s="1">
        <v>1149.8499999999999</v>
      </c>
      <c r="C908" s="1">
        <v>2755.02</v>
      </c>
      <c r="D908" s="1">
        <v>703.15</v>
      </c>
      <c r="E908" s="1">
        <v>1290.26</v>
      </c>
      <c r="F908" s="1">
        <v>266.91000000000003</v>
      </c>
      <c r="G908" s="1">
        <v>8573.92</v>
      </c>
      <c r="H908" s="1">
        <v>836.92</v>
      </c>
      <c r="I908" s="1">
        <v>1867.87</v>
      </c>
      <c r="J908" s="1">
        <v>17539.45</v>
      </c>
    </row>
    <row r="909" spans="1:10">
      <c r="A909" s="2">
        <v>44809</v>
      </c>
      <c r="B909" s="1">
        <v>1167.71</v>
      </c>
      <c r="C909" s="1">
        <v>2757.66</v>
      </c>
      <c r="D909" s="1">
        <v>707.67</v>
      </c>
      <c r="E909" s="1">
        <v>1297.6300000000001</v>
      </c>
      <c r="F909" s="1">
        <v>271.62</v>
      </c>
      <c r="G909" s="1">
        <v>8603.19</v>
      </c>
      <c r="H909" s="1">
        <v>851.4</v>
      </c>
      <c r="I909" s="1">
        <v>1894.68</v>
      </c>
      <c r="J909" s="1">
        <v>17665.8</v>
      </c>
    </row>
    <row r="910" spans="1:10">
      <c r="A910" s="2">
        <v>44810</v>
      </c>
      <c r="B910" s="1">
        <v>1180</v>
      </c>
      <c r="C910" s="1">
        <v>2752.07</v>
      </c>
      <c r="D910" s="1">
        <v>704.97</v>
      </c>
      <c r="E910" s="1">
        <v>1292.1199999999999</v>
      </c>
      <c r="F910" s="1">
        <v>270.20999999999998</v>
      </c>
      <c r="G910" s="1">
        <v>8544.27</v>
      </c>
      <c r="H910" s="1">
        <v>854.44</v>
      </c>
      <c r="I910" s="1">
        <v>1888.85</v>
      </c>
      <c r="J910" s="1">
        <v>17655.599999999999</v>
      </c>
    </row>
    <row r="911" spans="1:10">
      <c r="A911" s="2">
        <v>44811</v>
      </c>
      <c r="B911" s="1">
        <v>1173.1400000000001</v>
      </c>
      <c r="C911" s="1">
        <v>2771.91</v>
      </c>
      <c r="D911" s="1">
        <v>701.63</v>
      </c>
      <c r="E911" s="1">
        <v>1294.3900000000001</v>
      </c>
      <c r="F911" s="1">
        <v>269.35000000000002</v>
      </c>
      <c r="G911" s="1">
        <v>8444.44</v>
      </c>
      <c r="H911" s="1">
        <v>860.21</v>
      </c>
      <c r="I911" s="1">
        <v>1884.81</v>
      </c>
      <c r="J911" s="1">
        <v>17624.400000000001</v>
      </c>
    </row>
    <row r="912" spans="1:10">
      <c r="A912" s="2">
        <v>44812</v>
      </c>
      <c r="B912" s="1">
        <v>1174.79</v>
      </c>
      <c r="C912" s="1">
        <v>2789.56</v>
      </c>
      <c r="D912" s="1">
        <v>708.87</v>
      </c>
      <c r="E912" s="1">
        <v>1310.5899999999999</v>
      </c>
      <c r="F912" s="1">
        <v>272.48</v>
      </c>
      <c r="G912" s="1">
        <v>8449.9699999999993</v>
      </c>
      <c r="H912" s="1">
        <v>860.74</v>
      </c>
      <c r="I912" s="1">
        <v>1900.5</v>
      </c>
      <c r="J912" s="1">
        <v>17798.75</v>
      </c>
    </row>
    <row r="913" spans="1:10">
      <c r="A913" s="2">
        <v>44813</v>
      </c>
      <c r="B913" s="1">
        <v>1167.48</v>
      </c>
      <c r="C913" s="1">
        <v>2831.8</v>
      </c>
      <c r="D913" s="1">
        <v>709.35</v>
      </c>
      <c r="E913" s="1">
        <v>1342.34</v>
      </c>
      <c r="F913" s="1">
        <v>272.98</v>
      </c>
      <c r="G913" s="1">
        <v>8599.2999999999993</v>
      </c>
      <c r="H913" s="1">
        <v>856.6</v>
      </c>
      <c r="I913" s="1">
        <v>1876.77</v>
      </c>
      <c r="J913" s="1">
        <v>17833.349999999999</v>
      </c>
    </row>
    <row r="914" spans="1:10">
      <c r="A914" s="2">
        <v>44816</v>
      </c>
      <c r="B914" s="1">
        <v>1180.54</v>
      </c>
      <c r="C914" s="1">
        <v>2854.07</v>
      </c>
      <c r="D914" s="1">
        <v>706.96</v>
      </c>
      <c r="E914" s="1">
        <v>1364.14</v>
      </c>
      <c r="F914" s="1">
        <v>273.31</v>
      </c>
      <c r="G914" s="1">
        <v>8581.66</v>
      </c>
      <c r="H914" s="1">
        <v>854.39</v>
      </c>
      <c r="I914" s="1">
        <v>1888.47</v>
      </c>
      <c r="J914" s="1">
        <v>17936.349999999999</v>
      </c>
    </row>
    <row r="915" spans="1:10">
      <c r="A915" s="2">
        <v>44817</v>
      </c>
      <c r="B915" s="1">
        <v>1190.4000000000001</v>
      </c>
      <c r="C915" s="1">
        <v>2842.1</v>
      </c>
      <c r="D915" s="1">
        <v>716.21</v>
      </c>
      <c r="E915" s="1">
        <v>1371.91</v>
      </c>
      <c r="F915" s="1">
        <v>276.2</v>
      </c>
      <c r="G915" s="1">
        <v>8580.5499999999993</v>
      </c>
      <c r="H915" s="1">
        <v>856.75</v>
      </c>
      <c r="I915" s="1">
        <v>1916.82</v>
      </c>
      <c r="J915" s="1">
        <v>18070.05</v>
      </c>
    </row>
    <row r="916" spans="1:10">
      <c r="A916" s="2">
        <v>44818</v>
      </c>
      <c r="B916" s="1">
        <v>1176.1400000000001</v>
      </c>
      <c r="C916" s="1">
        <v>2746.22</v>
      </c>
      <c r="D916" s="1">
        <v>723.57</v>
      </c>
      <c r="E916" s="1">
        <v>1310.1500000000001</v>
      </c>
      <c r="F916" s="1">
        <v>276.99</v>
      </c>
      <c r="G916" s="1">
        <v>8619.68</v>
      </c>
      <c r="H916" s="1">
        <v>850.59</v>
      </c>
      <c r="I916" s="1">
        <v>1880.77</v>
      </c>
      <c r="J916" s="1">
        <v>18003.75</v>
      </c>
    </row>
    <row r="917" spans="1:10">
      <c r="A917" s="2">
        <v>44819</v>
      </c>
      <c r="B917" s="1">
        <v>1164.48</v>
      </c>
      <c r="C917" s="1">
        <v>2732.09</v>
      </c>
      <c r="D917" s="1">
        <v>719.81</v>
      </c>
      <c r="E917" s="1">
        <v>1272.32</v>
      </c>
      <c r="F917" s="1">
        <v>275.95</v>
      </c>
      <c r="G917" s="1">
        <v>8852.83</v>
      </c>
      <c r="H917" s="1">
        <v>841.49</v>
      </c>
      <c r="I917" s="1">
        <v>1884.23</v>
      </c>
      <c r="J917" s="1">
        <v>17877.400000000001</v>
      </c>
    </row>
    <row r="918" spans="1:10">
      <c r="A918" s="2">
        <v>44820</v>
      </c>
      <c r="B918" s="1">
        <v>1135.6300000000001</v>
      </c>
      <c r="C918" s="1">
        <v>2647.91</v>
      </c>
      <c r="D918" s="1">
        <v>706.58</v>
      </c>
      <c r="E918" s="1">
        <v>1222.82</v>
      </c>
      <c r="F918" s="1">
        <v>273.64</v>
      </c>
      <c r="G918" s="1">
        <v>8833.51</v>
      </c>
      <c r="H918" s="1">
        <v>835.48</v>
      </c>
      <c r="I918" s="1">
        <v>1848.14</v>
      </c>
      <c r="J918" s="1">
        <v>17530.849999999999</v>
      </c>
    </row>
    <row r="919" spans="1:10">
      <c r="A919" s="2">
        <v>44823</v>
      </c>
      <c r="B919" s="1">
        <v>1137.0999999999999</v>
      </c>
      <c r="C919" s="1">
        <v>2665.6</v>
      </c>
      <c r="D919" s="1">
        <v>711.24</v>
      </c>
      <c r="E919" s="1">
        <v>1234.58</v>
      </c>
      <c r="F919" s="1">
        <v>277.19</v>
      </c>
      <c r="G919" s="1">
        <v>8921.17</v>
      </c>
      <c r="H919" s="1">
        <v>842.02</v>
      </c>
      <c r="I919" s="1">
        <v>1839.19</v>
      </c>
      <c r="J919" s="1">
        <v>17622.25</v>
      </c>
    </row>
    <row r="920" spans="1:10">
      <c r="A920" s="2">
        <v>44824</v>
      </c>
      <c r="B920" s="1">
        <v>1137.28</v>
      </c>
      <c r="C920" s="1">
        <v>2675.72</v>
      </c>
      <c r="D920" s="1">
        <v>719.81</v>
      </c>
      <c r="E920" s="1">
        <v>1233.03</v>
      </c>
      <c r="F920" s="1">
        <v>277.52</v>
      </c>
      <c r="G920" s="1">
        <v>8940.4</v>
      </c>
      <c r="H920" s="1">
        <v>877.73</v>
      </c>
      <c r="I920" s="1">
        <v>1860.36</v>
      </c>
      <c r="J920" s="1">
        <v>17816.25</v>
      </c>
    </row>
    <row r="921" spans="1:10">
      <c r="A921" s="2">
        <v>44825</v>
      </c>
      <c r="B921" s="1">
        <v>1140.42</v>
      </c>
      <c r="C921" s="1">
        <v>2641.31</v>
      </c>
      <c r="D921" s="1">
        <v>718.69</v>
      </c>
      <c r="E921" s="1">
        <v>1222.99</v>
      </c>
      <c r="F921" s="1">
        <v>281.61</v>
      </c>
      <c r="G921" s="1">
        <v>8889.5</v>
      </c>
      <c r="H921" s="1">
        <v>871.33</v>
      </c>
      <c r="I921" s="1">
        <v>1824.7</v>
      </c>
      <c r="J921" s="1">
        <v>17718.349999999999</v>
      </c>
    </row>
    <row r="922" spans="1:10">
      <c r="A922" s="2">
        <v>44826</v>
      </c>
      <c r="B922" s="1">
        <v>1129.67</v>
      </c>
      <c r="C922" s="1">
        <v>2646.77</v>
      </c>
      <c r="D922" s="1">
        <v>703.38</v>
      </c>
      <c r="E922" s="1">
        <v>1214.74</v>
      </c>
      <c r="F922" s="1">
        <v>285</v>
      </c>
      <c r="G922" s="1">
        <v>9037.48</v>
      </c>
      <c r="H922" s="1">
        <v>873.93</v>
      </c>
      <c r="I922" s="1">
        <v>1817.53</v>
      </c>
      <c r="J922" s="1">
        <v>17629.8</v>
      </c>
    </row>
    <row r="923" spans="1:10">
      <c r="A923" s="2">
        <v>44827</v>
      </c>
      <c r="B923" s="1">
        <v>1108.5</v>
      </c>
      <c r="C923" s="1">
        <v>2624.46</v>
      </c>
      <c r="D923" s="1">
        <v>684.52</v>
      </c>
      <c r="E923" s="1">
        <v>1212.52</v>
      </c>
      <c r="F923" s="1">
        <v>286.11</v>
      </c>
      <c r="G923" s="1">
        <v>8981.35</v>
      </c>
      <c r="H923" s="1">
        <v>886.53</v>
      </c>
      <c r="I923" s="1">
        <v>1787.35</v>
      </c>
      <c r="J923" s="1">
        <v>17327.349999999999</v>
      </c>
    </row>
    <row r="924" spans="1:10">
      <c r="A924" s="2">
        <v>44830</v>
      </c>
      <c r="B924" s="1">
        <v>1080.26</v>
      </c>
      <c r="C924" s="1">
        <v>2635.33</v>
      </c>
      <c r="D924" s="1">
        <v>675.29</v>
      </c>
      <c r="E924" s="1">
        <v>1225.6600000000001</v>
      </c>
      <c r="F924" s="1">
        <v>274.70999999999998</v>
      </c>
      <c r="G924" s="1">
        <v>8492.5499999999993</v>
      </c>
      <c r="H924" s="1">
        <v>866.9</v>
      </c>
      <c r="I924" s="1">
        <v>1782.15</v>
      </c>
      <c r="J924" s="1">
        <v>17016.3</v>
      </c>
    </row>
    <row r="925" spans="1:10">
      <c r="A925" s="2">
        <v>44831</v>
      </c>
      <c r="B925" s="1">
        <v>1088.8499999999999</v>
      </c>
      <c r="C925" s="1">
        <v>2655.61</v>
      </c>
      <c r="D925" s="1">
        <v>669.23</v>
      </c>
      <c r="E925" s="1">
        <v>1237.47</v>
      </c>
      <c r="F925" s="1">
        <v>276.57</v>
      </c>
      <c r="G925" s="1">
        <v>8434.01</v>
      </c>
      <c r="H925" s="1">
        <v>863.48</v>
      </c>
      <c r="I925" s="1">
        <v>1772.29</v>
      </c>
      <c r="J925" s="1">
        <v>17007.400000000001</v>
      </c>
    </row>
    <row r="926" spans="1:10">
      <c r="A926" s="2">
        <v>44832</v>
      </c>
      <c r="B926" s="1">
        <v>1059.8599999999999</v>
      </c>
      <c r="C926" s="1">
        <v>2671.63</v>
      </c>
      <c r="D926" s="1">
        <v>657.73</v>
      </c>
      <c r="E926" s="1">
        <v>1238.49</v>
      </c>
      <c r="F926" s="1">
        <v>268.39999999999998</v>
      </c>
      <c r="G926" s="1">
        <v>8388.5499999999993</v>
      </c>
      <c r="H926" s="1">
        <v>883.41</v>
      </c>
      <c r="I926" s="1">
        <v>1766.75</v>
      </c>
      <c r="J926" s="1">
        <v>16858.599999999999</v>
      </c>
    </row>
    <row r="927" spans="1:10">
      <c r="A927" s="2">
        <v>44833</v>
      </c>
      <c r="B927" s="1">
        <v>1056.6099999999999</v>
      </c>
      <c r="C927" s="1">
        <v>2637.88</v>
      </c>
      <c r="D927" s="1">
        <v>654.32000000000005</v>
      </c>
      <c r="E927" s="1">
        <v>1242</v>
      </c>
      <c r="F927" s="1">
        <v>275.08999999999997</v>
      </c>
      <c r="G927" s="1">
        <v>8290.6</v>
      </c>
      <c r="H927" s="1">
        <v>895.77</v>
      </c>
      <c r="I927" s="1">
        <v>1747.55</v>
      </c>
      <c r="J927" s="1">
        <v>16818.099999999999</v>
      </c>
    </row>
    <row r="928" spans="1:10">
      <c r="A928" s="2">
        <v>44834</v>
      </c>
      <c r="B928" s="1">
        <v>1080.44</v>
      </c>
      <c r="C928" s="1">
        <v>2644.26</v>
      </c>
      <c r="D928" s="1">
        <v>672.78</v>
      </c>
      <c r="E928" s="1">
        <v>1255.1400000000001</v>
      </c>
      <c r="F928" s="1">
        <v>274.38</v>
      </c>
      <c r="G928" s="1">
        <v>8486.02</v>
      </c>
      <c r="H928" s="1">
        <v>913.05</v>
      </c>
      <c r="I928" s="1">
        <v>1778.54</v>
      </c>
      <c r="J928" s="1">
        <v>17094.349999999999</v>
      </c>
    </row>
    <row r="929" spans="1:10">
      <c r="A929" s="2">
        <v>44837</v>
      </c>
      <c r="B929" s="1">
        <v>1076.69</v>
      </c>
      <c r="C929" s="1">
        <v>2627.01</v>
      </c>
      <c r="D929" s="1">
        <v>668.92</v>
      </c>
      <c r="E929" s="1">
        <v>1237.6500000000001</v>
      </c>
      <c r="F929" s="1">
        <v>267.94</v>
      </c>
      <c r="G929" s="1">
        <v>8215.76</v>
      </c>
      <c r="H929" s="1">
        <v>909.06</v>
      </c>
      <c r="I929" s="1">
        <v>1751.21</v>
      </c>
      <c r="J929" s="1">
        <v>16887.349999999999</v>
      </c>
    </row>
    <row r="930" spans="1:10">
      <c r="A930" s="2">
        <v>44838</v>
      </c>
      <c r="B930" s="1">
        <v>1096.55</v>
      </c>
      <c r="C930" s="1">
        <v>2720.47</v>
      </c>
      <c r="D930" s="1">
        <v>687.76</v>
      </c>
      <c r="E930" s="1">
        <v>1269.3</v>
      </c>
      <c r="F930" s="1">
        <v>274.92</v>
      </c>
      <c r="G930" s="1">
        <v>8353.7000000000007</v>
      </c>
      <c r="H930" s="1">
        <v>909.1</v>
      </c>
      <c r="I930" s="1">
        <v>1801.5</v>
      </c>
      <c r="J930" s="1">
        <v>17274.3</v>
      </c>
    </row>
    <row r="931" spans="1:10">
      <c r="A931" s="2">
        <v>44840</v>
      </c>
      <c r="B931" s="1">
        <v>1100.5899999999999</v>
      </c>
      <c r="C931" s="1">
        <v>2729.98</v>
      </c>
      <c r="D931" s="1">
        <v>680.19</v>
      </c>
      <c r="E931" s="1">
        <v>1292.17</v>
      </c>
      <c r="F931" s="1">
        <v>278.06</v>
      </c>
      <c r="G931" s="1">
        <v>8365.7199999999993</v>
      </c>
      <c r="H931" s="1">
        <v>918.1</v>
      </c>
      <c r="I931" s="1">
        <v>1841.35</v>
      </c>
      <c r="J931" s="1">
        <v>17331.8</v>
      </c>
    </row>
    <row r="932" spans="1:10">
      <c r="A932" s="2">
        <v>44841</v>
      </c>
      <c r="B932" s="1">
        <v>1105.25</v>
      </c>
      <c r="C932" s="1">
        <v>2697.37</v>
      </c>
      <c r="D932" s="1">
        <v>677.25</v>
      </c>
      <c r="E932" s="1">
        <v>1288.6600000000001</v>
      </c>
      <c r="F932" s="1">
        <v>275.95</v>
      </c>
      <c r="G932" s="1">
        <v>8438.8700000000008</v>
      </c>
      <c r="H932" s="1">
        <v>919.31</v>
      </c>
      <c r="I932" s="1">
        <v>1852.52</v>
      </c>
      <c r="J932" s="1">
        <v>17314.650000000001</v>
      </c>
    </row>
    <row r="933" spans="1:10">
      <c r="A933" s="2">
        <v>44844</v>
      </c>
      <c r="B933" s="1">
        <v>1093.19</v>
      </c>
      <c r="C933" s="1">
        <v>2744.59</v>
      </c>
      <c r="D933" s="1">
        <v>669.77</v>
      </c>
      <c r="E933" s="1">
        <v>1298.83</v>
      </c>
      <c r="F933" s="1">
        <v>270.79000000000002</v>
      </c>
      <c r="G933" s="1">
        <v>8518.94</v>
      </c>
      <c r="H933" s="1">
        <v>910.55</v>
      </c>
      <c r="I933" s="1">
        <v>1838.17</v>
      </c>
      <c r="J933" s="1">
        <v>17241</v>
      </c>
    </row>
    <row r="934" spans="1:10">
      <c r="A934" s="2">
        <v>44845</v>
      </c>
      <c r="B934" s="1">
        <v>1071.42</v>
      </c>
      <c r="C934" s="1">
        <v>2701.46</v>
      </c>
      <c r="D934" s="1">
        <v>662.98</v>
      </c>
      <c r="E934" s="1">
        <v>1264.33</v>
      </c>
      <c r="F934" s="1">
        <v>269.51</v>
      </c>
      <c r="G934" s="1">
        <v>8347.6</v>
      </c>
      <c r="H934" s="1">
        <v>909.3</v>
      </c>
      <c r="I934" s="1">
        <v>1808.62</v>
      </c>
      <c r="J934" s="1">
        <v>16983.55</v>
      </c>
    </row>
    <row r="935" spans="1:10">
      <c r="A935" s="2">
        <v>44846</v>
      </c>
      <c r="B935" s="1">
        <v>1079.3</v>
      </c>
      <c r="C935" s="1">
        <v>2728.92</v>
      </c>
      <c r="D935" s="1">
        <v>667.31</v>
      </c>
      <c r="E935" s="1">
        <v>1268.68</v>
      </c>
      <c r="F935" s="1">
        <v>272.64999999999998</v>
      </c>
      <c r="G935" s="1">
        <v>8349.9500000000007</v>
      </c>
      <c r="H935" s="1">
        <v>919.69</v>
      </c>
      <c r="I935" s="1">
        <v>1839.71</v>
      </c>
      <c r="J935" s="1">
        <v>17123.599999999999</v>
      </c>
    </row>
    <row r="936" spans="1:10">
      <c r="A936" s="2">
        <v>44847</v>
      </c>
      <c r="B936" s="1">
        <v>1082.73</v>
      </c>
      <c r="C936" s="1">
        <v>2731.17</v>
      </c>
      <c r="D936" s="1">
        <v>659.65</v>
      </c>
      <c r="E936" s="1">
        <v>1260.8699999999999</v>
      </c>
      <c r="F936" s="1">
        <v>271.45</v>
      </c>
      <c r="G936" s="1">
        <v>8314.34</v>
      </c>
      <c r="H936" s="1">
        <v>932.06</v>
      </c>
      <c r="I936" s="1">
        <v>1805.93</v>
      </c>
      <c r="J936" s="1">
        <v>17014.349999999999</v>
      </c>
    </row>
    <row r="937" spans="1:10">
      <c r="A937" s="2">
        <v>44848</v>
      </c>
      <c r="B937" s="1">
        <v>1077.24</v>
      </c>
      <c r="C937" s="1">
        <v>2727.51</v>
      </c>
      <c r="D937" s="1">
        <v>681.13</v>
      </c>
      <c r="E937" s="1">
        <v>1309.1300000000001</v>
      </c>
      <c r="F937" s="1">
        <v>274.3</v>
      </c>
      <c r="G937" s="1">
        <v>8283.34</v>
      </c>
      <c r="H937" s="1">
        <v>939.66</v>
      </c>
      <c r="I937" s="1">
        <v>1840.05</v>
      </c>
      <c r="J937" s="1">
        <v>17185.7</v>
      </c>
    </row>
    <row r="938" spans="1:10">
      <c r="A938" s="2">
        <v>44851</v>
      </c>
      <c r="B938" s="1">
        <v>1094.53</v>
      </c>
      <c r="C938" s="1">
        <v>2745.69</v>
      </c>
      <c r="D938" s="1">
        <v>684.71</v>
      </c>
      <c r="E938" s="1">
        <v>1323.07</v>
      </c>
      <c r="F938" s="1">
        <v>274.43</v>
      </c>
      <c r="G938" s="1">
        <v>8385.7099999999991</v>
      </c>
      <c r="H938" s="1">
        <v>943.22</v>
      </c>
      <c r="I938" s="1">
        <v>1812.71</v>
      </c>
      <c r="J938" s="1">
        <v>17311.8</v>
      </c>
    </row>
    <row r="939" spans="1:10">
      <c r="A939" s="2">
        <v>44852</v>
      </c>
      <c r="B939" s="1">
        <v>1113.8399999999999</v>
      </c>
      <c r="C939" s="1">
        <v>2774.77</v>
      </c>
      <c r="D939" s="1">
        <v>683.43</v>
      </c>
      <c r="E939" s="1">
        <v>1335.28</v>
      </c>
      <c r="F939" s="1">
        <v>281.07</v>
      </c>
      <c r="G939" s="1">
        <v>8466.02</v>
      </c>
      <c r="H939" s="1">
        <v>941.64</v>
      </c>
      <c r="I939" s="1">
        <v>1846.31</v>
      </c>
      <c r="J939" s="1">
        <v>17486.95</v>
      </c>
    </row>
    <row r="940" spans="1:10">
      <c r="A940" s="2">
        <v>44853</v>
      </c>
      <c r="B940" s="1">
        <v>1133.22</v>
      </c>
      <c r="C940" s="1">
        <v>2754.6</v>
      </c>
      <c r="D940" s="1">
        <v>690.44</v>
      </c>
      <c r="E940" s="1">
        <v>1319.08</v>
      </c>
      <c r="F940" s="1">
        <v>286.07</v>
      </c>
      <c r="G940" s="1">
        <v>8381.43</v>
      </c>
      <c r="H940" s="1">
        <v>940.24</v>
      </c>
      <c r="I940" s="1">
        <v>1833.6</v>
      </c>
      <c r="J940" s="1">
        <v>17512.25</v>
      </c>
    </row>
    <row r="941" spans="1:10">
      <c r="A941" s="2">
        <v>44854</v>
      </c>
      <c r="B941" s="1">
        <v>1136.26</v>
      </c>
      <c r="C941" s="1">
        <v>2785.88</v>
      </c>
      <c r="D941" s="1">
        <v>685.77</v>
      </c>
      <c r="E941" s="1">
        <v>1332.79</v>
      </c>
      <c r="F941" s="1">
        <v>288.83999999999997</v>
      </c>
      <c r="G941" s="1">
        <v>8369.9500000000007</v>
      </c>
      <c r="H941" s="1">
        <v>943.56</v>
      </c>
      <c r="I941" s="1">
        <v>1832.88</v>
      </c>
      <c r="J941" s="1">
        <v>17563.95</v>
      </c>
    </row>
    <row r="942" spans="1:10">
      <c r="A942" s="2">
        <v>44855</v>
      </c>
      <c r="B942" s="1">
        <v>1123.08</v>
      </c>
      <c r="C942" s="1">
        <v>2768.32</v>
      </c>
      <c r="D942" s="1">
        <v>680.95</v>
      </c>
      <c r="E942" s="1">
        <v>1332.44</v>
      </c>
      <c r="F942" s="1">
        <v>285.45</v>
      </c>
      <c r="G942" s="1">
        <v>8366</v>
      </c>
      <c r="H942" s="1">
        <v>941.01</v>
      </c>
      <c r="I942" s="1">
        <v>1806.51</v>
      </c>
      <c r="J942" s="1">
        <v>17576.3</v>
      </c>
    </row>
    <row r="943" spans="1:10">
      <c r="A943" s="2">
        <v>44858</v>
      </c>
      <c r="B943" s="1">
        <v>1126.83</v>
      </c>
      <c r="C943" s="1">
        <v>2789.77</v>
      </c>
      <c r="D943" s="1">
        <v>691.57</v>
      </c>
      <c r="E943" s="1">
        <v>1347.85</v>
      </c>
      <c r="F943" s="1">
        <v>287.19</v>
      </c>
      <c r="G943" s="1">
        <v>8425.75</v>
      </c>
      <c r="H943" s="1">
        <v>949.96</v>
      </c>
      <c r="I943" s="1">
        <v>1838.27</v>
      </c>
      <c r="J943" s="1">
        <v>17730.75</v>
      </c>
    </row>
    <row r="944" spans="1:10">
      <c r="A944" s="2">
        <v>44859</v>
      </c>
      <c r="B944" s="1">
        <v>1109.43</v>
      </c>
      <c r="C944" s="1">
        <v>2790.12</v>
      </c>
      <c r="D944" s="1">
        <v>686.77</v>
      </c>
      <c r="E944" s="1">
        <v>1355.35</v>
      </c>
      <c r="F944" s="1">
        <v>286.02999999999997</v>
      </c>
      <c r="G944" s="1">
        <v>8656.01</v>
      </c>
      <c r="H944" s="1">
        <v>954.34</v>
      </c>
      <c r="I944" s="1">
        <v>1876.15</v>
      </c>
      <c r="J944" s="1">
        <v>17656.349999999999</v>
      </c>
    </row>
    <row r="945" spans="1:10">
      <c r="A945" s="2">
        <v>44861</v>
      </c>
      <c r="B945" s="1">
        <v>1113.79</v>
      </c>
      <c r="C945" s="1">
        <v>2785.97</v>
      </c>
      <c r="D945" s="1">
        <v>688.42</v>
      </c>
      <c r="E945" s="1">
        <v>1368.05</v>
      </c>
      <c r="F945" s="1">
        <v>285.62</v>
      </c>
      <c r="G945" s="1">
        <v>8691.5300000000007</v>
      </c>
      <c r="H945" s="1">
        <v>973.69</v>
      </c>
      <c r="I945" s="1">
        <v>1890.54</v>
      </c>
      <c r="J945" s="1">
        <v>17736.95</v>
      </c>
    </row>
    <row r="946" spans="1:10">
      <c r="A946" s="2">
        <v>44862</v>
      </c>
      <c r="B946" s="1">
        <v>1147.8699999999999</v>
      </c>
      <c r="C946" s="1">
        <v>2791.13</v>
      </c>
      <c r="D946" s="1">
        <v>690.46</v>
      </c>
      <c r="E946" s="1">
        <v>1358.45</v>
      </c>
      <c r="F946" s="1">
        <v>285.62</v>
      </c>
      <c r="G946" s="1">
        <v>9124.67</v>
      </c>
      <c r="H946" s="1">
        <v>952.85</v>
      </c>
      <c r="I946" s="1">
        <v>1901.13</v>
      </c>
      <c r="J946" s="1">
        <v>17786.8</v>
      </c>
    </row>
    <row r="947" spans="1:10">
      <c r="A947" s="2">
        <v>44865</v>
      </c>
      <c r="B947" s="1">
        <v>1158.53</v>
      </c>
      <c r="C947" s="1">
        <v>2817.52</v>
      </c>
      <c r="D947" s="1">
        <v>708.45</v>
      </c>
      <c r="E947" s="1">
        <v>1380.35</v>
      </c>
      <c r="F947" s="1">
        <v>288.01</v>
      </c>
      <c r="G947" s="1">
        <v>9158.36</v>
      </c>
      <c r="H947" s="1">
        <v>978.74</v>
      </c>
      <c r="I947" s="1">
        <v>1947.38</v>
      </c>
      <c r="J947" s="1">
        <v>18012.2</v>
      </c>
    </row>
    <row r="948" spans="1:10">
      <c r="A948" s="2">
        <v>44866</v>
      </c>
      <c r="B948" s="1">
        <v>1149.55</v>
      </c>
      <c r="C948" s="1">
        <v>2876.24</v>
      </c>
      <c r="D948" s="1">
        <v>716.28</v>
      </c>
      <c r="E948" s="1">
        <v>1412.08</v>
      </c>
      <c r="F948" s="1">
        <v>288.67</v>
      </c>
      <c r="G948" s="1">
        <v>9088.19</v>
      </c>
      <c r="H948" s="1">
        <v>997.7</v>
      </c>
      <c r="I948" s="1">
        <v>1948.68</v>
      </c>
      <c r="J948" s="1">
        <v>18145.400000000001</v>
      </c>
    </row>
    <row r="949" spans="1:10">
      <c r="A949" s="2">
        <v>44867</v>
      </c>
      <c r="B949" s="1">
        <v>1156.73</v>
      </c>
      <c r="C949" s="1">
        <v>2860.35</v>
      </c>
      <c r="D949" s="1">
        <v>716.73</v>
      </c>
      <c r="E949" s="1">
        <v>1394.4</v>
      </c>
      <c r="F949" s="1">
        <v>292.93</v>
      </c>
      <c r="G949" s="1">
        <v>8871.7199999999993</v>
      </c>
      <c r="H949" s="1">
        <v>1012.47</v>
      </c>
      <c r="I949" s="1">
        <v>1937.95</v>
      </c>
      <c r="J949" s="1">
        <v>18082.849999999999</v>
      </c>
    </row>
    <row r="950" spans="1:10">
      <c r="A950" s="2">
        <v>44868</v>
      </c>
      <c r="B950" s="1">
        <v>1161.05</v>
      </c>
      <c r="C950" s="1">
        <v>2829.52</v>
      </c>
      <c r="D950" s="1">
        <v>713.58</v>
      </c>
      <c r="E950" s="1">
        <v>1374.16</v>
      </c>
      <c r="F950" s="1">
        <v>292.14</v>
      </c>
      <c r="G950" s="1">
        <v>8881.0400000000009</v>
      </c>
      <c r="H950" s="1">
        <v>1005.02</v>
      </c>
      <c r="I950" s="1">
        <v>1933.52</v>
      </c>
      <c r="J950" s="1">
        <v>18052.7</v>
      </c>
    </row>
    <row r="951" spans="1:10">
      <c r="A951" s="2">
        <v>44869</v>
      </c>
      <c r="B951" s="1">
        <v>1178.1300000000001</v>
      </c>
      <c r="C951" s="1">
        <v>2838.91</v>
      </c>
      <c r="D951" s="1">
        <v>708.66</v>
      </c>
      <c r="E951" s="1">
        <v>1359.12</v>
      </c>
      <c r="F951" s="1">
        <v>292.06</v>
      </c>
      <c r="G951" s="1">
        <v>8871.81</v>
      </c>
      <c r="H951" s="1">
        <v>1000.88</v>
      </c>
      <c r="I951" s="1">
        <v>1939.68</v>
      </c>
      <c r="J951" s="1">
        <v>18117.150000000001</v>
      </c>
    </row>
    <row r="952" spans="1:10">
      <c r="A952" s="2">
        <v>44872</v>
      </c>
      <c r="B952" s="1">
        <v>1184.43</v>
      </c>
      <c r="C952" s="1">
        <v>2853.3</v>
      </c>
      <c r="D952" s="1">
        <v>714.17</v>
      </c>
      <c r="E952" s="1">
        <v>1353.24</v>
      </c>
      <c r="F952" s="1">
        <v>291.98</v>
      </c>
      <c r="G952" s="1">
        <v>8971.59</v>
      </c>
      <c r="H952" s="1">
        <v>989.76</v>
      </c>
      <c r="I952" s="1">
        <v>1942.13</v>
      </c>
      <c r="J952" s="1">
        <v>18202.8</v>
      </c>
    </row>
    <row r="953" spans="1:10">
      <c r="A953" s="2">
        <v>44874</v>
      </c>
      <c r="B953" s="1">
        <v>1183.25</v>
      </c>
      <c r="C953" s="1">
        <v>2837.72</v>
      </c>
      <c r="D953" s="1">
        <v>713.96</v>
      </c>
      <c r="E953" s="1">
        <v>1356.61</v>
      </c>
      <c r="F953" s="1">
        <v>297.92</v>
      </c>
      <c r="G953" s="1">
        <v>8894.8799999999992</v>
      </c>
      <c r="H953" s="1">
        <v>975.52</v>
      </c>
      <c r="I953" s="1">
        <v>1928.51</v>
      </c>
      <c r="J953" s="1">
        <v>18157</v>
      </c>
    </row>
    <row r="954" spans="1:10">
      <c r="A954" s="2">
        <v>44875</v>
      </c>
      <c r="B954" s="1">
        <v>1168.93</v>
      </c>
      <c r="C954" s="1">
        <v>2828.55</v>
      </c>
      <c r="D954" s="1">
        <v>721.72</v>
      </c>
      <c r="E954" s="1">
        <v>1348.3</v>
      </c>
      <c r="F954" s="1">
        <v>294.04000000000002</v>
      </c>
      <c r="G954" s="1">
        <v>8744.69</v>
      </c>
      <c r="H954" s="1">
        <v>972.72</v>
      </c>
      <c r="I954" s="1">
        <v>1903.63</v>
      </c>
      <c r="J954" s="1">
        <v>18028.2</v>
      </c>
    </row>
    <row r="955" spans="1:10">
      <c r="A955" s="2">
        <v>44876</v>
      </c>
      <c r="B955" s="1">
        <v>1195.8800000000001</v>
      </c>
      <c r="C955" s="1">
        <v>2925.87</v>
      </c>
      <c r="D955" s="1">
        <v>762.62</v>
      </c>
      <c r="E955" s="1">
        <v>1409.48</v>
      </c>
      <c r="F955" s="1">
        <v>294.33</v>
      </c>
      <c r="G955" s="1">
        <v>8735.36</v>
      </c>
      <c r="H955" s="1">
        <v>975.52</v>
      </c>
      <c r="I955" s="1">
        <v>1935.83</v>
      </c>
      <c r="J955" s="1">
        <v>18349.7</v>
      </c>
    </row>
    <row r="956" spans="1:10">
      <c r="A956" s="2">
        <v>44879</v>
      </c>
      <c r="B956" s="1">
        <v>1190.0899999999999</v>
      </c>
      <c r="C956" s="1">
        <v>2943.12</v>
      </c>
      <c r="D956" s="1">
        <v>764.47</v>
      </c>
      <c r="E956" s="1">
        <v>1423.13</v>
      </c>
      <c r="F956" s="1">
        <v>286.77</v>
      </c>
      <c r="G956" s="1">
        <v>8797.65</v>
      </c>
      <c r="H956" s="1">
        <v>978.74</v>
      </c>
      <c r="I956" s="1">
        <v>1924.95</v>
      </c>
      <c r="J956" s="1">
        <v>18329.150000000001</v>
      </c>
    </row>
    <row r="957" spans="1:10">
      <c r="A957" s="2">
        <v>44880</v>
      </c>
      <c r="B957" s="1">
        <v>1184.75</v>
      </c>
      <c r="C957" s="1">
        <v>2940.56</v>
      </c>
      <c r="D957" s="1">
        <v>766.34</v>
      </c>
      <c r="E957" s="1">
        <v>1430.94</v>
      </c>
      <c r="F957" s="1">
        <v>285.16000000000003</v>
      </c>
      <c r="G957" s="1">
        <v>8807.1200000000008</v>
      </c>
      <c r="H957" s="1">
        <v>977.92</v>
      </c>
      <c r="I957" s="1">
        <v>1921.82</v>
      </c>
      <c r="J957" s="1">
        <v>18403.400000000001</v>
      </c>
    </row>
    <row r="958" spans="1:10">
      <c r="A958" s="2">
        <v>44881</v>
      </c>
      <c r="B958" s="1">
        <v>1177.95</v>
      </c>
      <c r="C958" s="1">
        <v>2960.64</v>
      </c>
      <c r="D958" s="1">
        <v>772.92</v>
      </c>
      <c r="E958" s="1">
        <v>1438.84</v>
      </c>
      <c r="F958" s="1">
        <v>284.20999999999998</v>
      </c>
      <c r="G958" s="1">
        <v>8780.93</v>
      </c>
      <c r="H958" s="1">
        <v>980.42</v>
      </c>
      <c r="I958" s="1">
        <v>1928.61</v>
      </c>
      <c r="J958" s="1">
        <v>18409.650000000001</v>
      </c>
    </row>
    <row r="959" spans="1:10">
      <c r="A959" s="2">
        <v>44882</v>
      </c>
      <c r="B959" s="1">
        <v>1181</v>
      </c>
      <c r="C959" s="1">
        <v>2955.03</v>
      </c>
      <c r="D959" s="1">
        <v>765.93</v>
      </c>
      <c r="E959" s="1">
        <v>1425.01</v>
      </c>
      <c r="F959" s="1">
        <v>283.88</v>
      </c>
      <c r="G959" s="1">
        <v>8638.18</v>
      </c>
      <c r="H959" s="1">
        <v>975.32</v>
      </c>
      <c r="I959" s="1">
        <v>1953.59</v>
      </c>
      <c r="J959" s="1">
        <v>18343.900000000001</v>
      </c>
    </row>
    <row r="960" spans="1:10">
      <c r="A960" s="2">
        <v>44883</v>
      </c>
      <c r="B960" s="1">
        <v>1180.3599999999999</v>
      </c>
      <c r="C960" s="1">
        <v>2950.13</v>
      </c>
      <c r="D960" s="1">
        <v>763.92</v>
      </c>
      <c r="E960" s="1">
        <v>1430.4</v>
      </c>
      <c r="F960" s="1">
        <v>281.69</v>
      </c>
      <c r="G960" s="1">
        <v>8505.14</v>
      </c>
      <c r="H960" s="1">
        <v>971.71</v>
      </c>
      <c r="I960" s="1">
        <v>1948.68</v>
      </c>
      <c r="J960" s="1">
        <v>18307.650000000001</v>
      </c>
    </row>
    <row r="961" spans="1:10">
      <c r="A961" s="2">
        <v>44886</v>
      </c>
      <c r="B961" s="1">
        <v>1159.1199999999999</v>
      </c>
      <c r="C961" s="1">
        <v>2897.24</v>
      </c>
      <c r="D961" s="1">
        <v>756.09</v>
      </c>
      <c r="E961" s="1">
        <v>1407.78</v>
      </c>
      <c r="F961" s="1">
        <v>278.51</v>
      </c>
      <c r="G961" s="1">
        <v>8521.6299999999992</v>
      </c>
      <c r="H961" s="1">
        <v>965.51</v>
      </c>
      <c r="I961" s="1">
        <v>1936.16</v>
      </c>
      <c r="J961" s="1">
        <v>18159.95</v>
      </c>
    </row>
    <row r="962" spans="1:10">
      <c r="A962" s="2">
        <v>44887</v>
      </c>
      <c r="B962" s="1">
        <v>1165.55</v>
      </c>
      <c r="C962" s="1">
        <v>2924.99</v>
      </c>
      <c r="D962" s="1">
        <v>754.98</v>
      </c>
      <c r="E962" s="1">
        <v>1422.9</v>
      </c>
      <c r="F962" s="1">
        <v>281.02999999999997</v>
      </c>
      <c r="G962" s="1">
        <v>8529.85</v>
      </c>
      <c r="H962" s="1">
        <v>972.19</v>
      </c>
      <c r="I962" s="1">
        <v>1953.83</v>
      </c>
      <c r="J962" s="1">
        <v>18244.2</v>
      </c>
    </row>
    <row r="963" spans="1:10">
      <c r="A963" s="2">
        <v>44888</v>
      </c>
      <c r="B963" s="1">
        <v>1161.9100000000001</v>
      </c>
      <c r="C963" s="1">
        <v>2919.12</v>
      </c>
      <c r="D963" s="1">
        <v>756.94</v>
      </c>
      <c r="E963" s="1">
        <v>1421.2</v>
      </c>
      <c r="F963" s="1">
        <v>280.66000000000003</v>
      </c>
      <c r="G963" s="1">
        <v>8588.25</v>
      </c>
      <c r="H963" s="1">
        <v>979.46</v>
      </c>
      <c r="I963" s="1">
        <v>1949.21</v>
      </c>
      <c r="J963" s="1">
        <v>18267.25</v>
      </c>
    </row>
    <row r="964" spans="1:10">
      <c r="A964" s="2">
        <v>44889</v>
      </c>
      <c r="B964" s="1">
        <v>1171.93</v>
      </c>
      <c r="C964" s="1">
        <v>2982.52</v>
      </c>
      <c r="D964" s="1">
        <v>769.25</v>
      </c>
      <c r="E964" s="1">
        <v>1463.07</v>
      </c>
      <c r="F964" s="1">
        <v>281.45</v>
      </c>
      <c r="G964" s="1">
        <v>8619.58</v>
      </c>
      <c r="H964" s="1">
        <v>996.26</v>
      </c>
      <c r="I964" s="1">
        <v>1975.39</v>
      </c>
      <c r="J964" s="1">
        <v>18484.099999999999</v>
      </c>
    </row>
    <row r="965" spans="1:10">
      <c r="A965" s="2">
        <v>44890</v>
      </c>
      <c r="B965" s="1">
        <v>1189.43</v>
      </c>
      <c r="C965" s="1">
        <v>2990.9</v>
      </c>
      <c r="D965" s="1">
        <v>765.7</v>
      </c>
      <c r="E965" s="1">
        <v>1468.33</v>
      </c>
      <c r="F965" s="1">
        <v>281.07</v>
      </c>
      <c r="G965" s="1">
        <v>8669.9500000000007</v>
      </c>
      <c r="H965" s="1">
        <v>995.05</v>
      </c>
      <c r="I965" s="1">
        <v>1985.54</v>
      </c>
      <c r="J965" s="1">
        <v>18512.75</v>
      </c>
    </row>
    <row r="966" spans="1:10">
      <c r="A966" s="2">
        <v>44893</v>
      </c>
      <c r="B966" s="1">
        <v>1230.3</v>
      </c>
      <c r="C966" s="1">
        <v>2995.84</v>
      </c>
      <c r="D966" s="1">
        <v>757.46</v>
      </c>
      <c r="E966" s="1">
        <v>1457.33</v>
      </c>
      <c r="F966" s="1">
        <v>280.87</v>
      </c>
      <c r="G966" s="1">
        <v>8637.17</v>
      </c>
      <c r="H966" s="1">
        <v>995.92</v>
      </c>
      <c r="I966" s="1">
        <v>1987.18</v>
      </c>
      <c r="J966" s="1">
        <v>18562.75</v>
      </c>
    </row>
    <row r="967" spans="1:10">
      <c r="A967" s="2">
        <v>44894</v>
      </c>
      <c r="B967" s="1">
        <v>1232.4100000000001</v>
      </c>
      <c r="C967" s="1">
        <v>2997.69</v>
      </c>
      <c r="D967" s="1">
        <v>756.32</v>
      </c>
      <c r="E967" s="1">
        <v>1462.4</v>
      </c>
      <c r="F967" s="1">
        <v>282.73</v>
      </c>
      <c r="G967" s="1">
        <v>8564.89</v>
      </c>
      <c r="H967" s="1">
        <v>1010.45</v>
      </c>
      <c r="I967" s="1">
        <v>1973.8</v>
      </c>
      <c r="J967" s="1">
        <v>18618.05</v>
      </c>
    </row>
    <row r="968" spans="1:10">
      <c r="A968" s="2">
        <v>44895</v>
      </c>
      <c r="B968" s="1">
        <v>1241.1099999999999</v>
      </c>
      <c r="C968" s="1">
        <v>2991.92</v>
      </c>
      <c r="D968" s="1">
        <v>761.34</v>
      </c>
      <c r="E968" s="1">
        <v>1467.7</v>
      </c>
      <c r="F968" s="1">
        <v>280.83</v>
      </c>
      <c r="G968" s="1">
        <v>8626.36</v>
      </c>
      <c r="H968" s="1">
        <v>1006.8</v>
      </c>
      <c r="I968" s="1">
        <v>1997.19</v>
      </c>
      <c r="J968" s="1">
        <v>18758.349999999999</v>
      </c>
    </row>
    <row r="969" spans="1:10">
      <c r="A969" s="2">
        <v>44896</v>
      </c>
      <c r="B969" s="1">
        <v>1237.46</v>
      </c>
      <c r="C969" s="1">
        <v>3066.78</v>
      </c>
      <c r="D969" s="1">
        <v>766.57</v>
      </c>
      <c r="E969" s="1">
        <v>1487.58</v>
      </c>
      <c r="F969" s="1">
        <v>280.45999999999998</v>
      </c>
      <c r="G969" s="1">
        <v>8610.98</v>
      </c>
      <c r="H969" s="1">
        <v>1007.18</v>
      </c>
      <c r="I969" s="1">
        <v>2025.49</v>
      </c>
      <c r="J969" s="1">
        <v>18812.5</v>
      </c>
    </row>
    <row r="970" spans="1:10">
      <c r="A970" s="2">
        <v>44897</v>
      </c>
      <c r="B970" s="1">
        <v>1236.93</v>
      </c>
      <c r="C970" s="1">
        <v>3034.58</v>
      </c>
      <c r="D970" s="1">
        <v>760.7</v>
      </c>
      <c r="E970" s="1">
        <v>1470.35</v>
      </c>
      <c r="F970" s="1">
        <v>278.47000000000003</v>
      </c>
      <c r="G970" s="1">
        <v>8474.19</v>
      </c>
      <c r="H970" s="1">
        <v>1000.97</v>
      </c>
      <c r="I970" s="1">
        <v>2007.44</v>
      </c>
      <c r="J970" s="1">
        <v>18696.099999999999</v>
      </c>
    </row>
    <row r="971" spans="1:10">
      <c r="A971" s="2">
        <v>44900</v>
      </c>
      <c r="B971" s="1">
        <v>1218.8900000000001</v>
      </c>
      <c r="C971" s="1">
        <v>3022.89</v>
      </c>
      <c r="D971" s="1">
        <v>763.47</v>
      </c>
      <c r="E971" s="1">
        <v>1472.01</v>
      </c>
      <c r="F971" s="1">
        <v>278.14</v>
      </c>
      <c r="G971" s="1">
        <v>8451.32</v>
      </c>
      <c r="H971" s="1">
        <v>1000.4</v>
      </c>
      <c r="I971" s="1">
        <v>2007.54</v>
      </c>
      <c r="J971" s="1">
        <v>18701.05</v>
      </c>
    </row>
    <row r="972" spans="1:10">
      <c r="A972" s="2">
        <v>44901</v>
      </c>
      <c r="B972" s="1">
        <v>1222.42</v>
      </c>
      <c r="C972" s="1">
        <v>2987.11</v>
      </c>
      <c r="D972" s="1">
        <v>762.62</v>
      </c>
      <c r="E972" s="1">
        <v>1447.9</v>
      </c>
      <c r="F972" s="1">
        <v>278.60000000000002</v>
      </c>
      <c r="G972" s="1">
        <v>8379.51</v>
      </c>
      <c r="H972" s="1">
        <v>994.76</v>
      </c>
      <c r="I972" s="1">
        <v>2015.14</v>
      </c>
      <c r="J972" s="1">
        <v>18642.75</v>
      </c>
    </row>
    <row r="973" spans="1:10">
      <c r="A973" s="2">
        <v>44902</v>
      </c>
      <c r="B973" s="1">
        <v>1204.3800000000001</v>
      </c>
      <c r="C973" s="1">
        <v>2982.91</v>
      </c>
      <c r="D973" s="1">
        <v>762.29</v>
      </c>
      <c r="E973" s="1">
        <v>1441.26</v>
      </c>
      <c r="F973" s="1">
        <v>280.91000000000003</v>
      </c>
      <c r="G973" s="1">
        <v>8323.57</v>
      </c>
      <c r="H973" s="1">
        <v>979.56</v>
      </c>
      <c r="I973" s="1">
        <v>2044.5</v>
      </c>
      <c r="J973" s="1">
        <v>18560.5</v>
      </c>
    </row>
    <row r="974" spans="1:10">
      <c r="A974" s="2">
        <v>44903</v>
      </c>
      <c r="B974" s="1">
        <v>1203.81</v>
      </c>
      <c r="C974" s="1">
        <v>2956.4</v>
      </c>
      <c r="D974" s="1">
        <v>766.57</v>
      </c>
      <c r="E974" s="1">
        <v>1454.41</v>
      </c>
      <c r="F974" s="1">
        <v>279.51</v>
      </c>
      <c r="G974" s="1">
        <v>8346.2000000000007</v>
      </c>
      <c r="H974" s="1">
        <v>943.99</v>
      </c>
      <c r="I974" s="1">
        <v>2086.5700000000002</v>
      </c>
      <c r="J974" s="1">
        <v>18609.349999999999</v>
      </c>
    </row>
    <row r="975" spans="1:10">
      <c r="A975" s="2">
        <v>44904</v>
      </c>
      <c r="B975" s="1">
        <v>1185.56</v>
      </c>
      <c r="C975" s="1">
        <v>2905.4</v>
      </c>
      <c r="D975" s="1">
        <v>772.04</v>
      </c>
      <c r="E975" s="1">
        <v>1408.76</v>
      </c>
      <c r="F975" s="1">
        <v>281.98</v>
      </c>
      <c r="G975" s="1">
        <v>8279.5400000000009</v>
      </c>
      <c r="H975" s="1">
        <v>955.59</v>
      </c>
      <c r="I975" s="1">
        <v>2073.4299999999998</v>
      </c>
      <c r="J975" s="1">
        <v>18496.599999999999</v>
      </c>
    </row>
    <row r="976" spans="1:10">
      <c r="A976" s="2">
        <v>44907</v>
      </c>
      <c r="B976" s="1">
        <v>1187.3800000000001</v>
      </c>
      <c r="C976" s="1">
        <v>2899.84</v>
      </c>
      <c r="D976" s="1">
        <v>778.05</v>
      </c>
      <c r="E976" s="1">
        <v>1388.92</v>
      </c>
      <c r="F976" s="1">
        <v>283.47000000000003</v>
      </c>
      <c r="G976" s="1">
        <v>8324.14</v>
      </c>
      <c r="H976" s="1">
        <v>950.35</v>
      </c>
      <c r="I976" s="1">
        <v>2082.7199999999998</v>
      </c>
      <c r="J976" s="1">
        <v>18497.150000000001</v>
      </c>
    </row>
    <row r="977" spans="1:10">
      <c r="A977" s="2">
        <v>44908</v>
      </c>
      <c r="B977" s="1">
        <v>1192.79</v>
      </c>
      <c r="C977" s="1">
        <v>2940.12</v>
      </c>
      <c r="D977" s="1">
        <v>780.2</v>
      </c>
      <c r="E977" s="1">
        <v>1411.32</v>
      </c>
      <c r="F977" s="1">
        <v>285.45</v>
      </c>
      <c r="G977" s="1">
        <v>8286.61</v>
      </c>
      <c r="H977" s="1">
        <v>957.32</v>
      </c>
      <c r="I977" s="1">
        <v>2091.5700000000002</v>
      </c>
      <c r="J977" s="1">
        <v>18608</v>
      </c>
    </row>
    <row r="978" spans="1:10">
      <c r="A978" s="2">
        <v>44909</v>
      </c>
      <c r="B978" s="1">
        <v>1188.47</v>
      </c>
      <c r="C978" s="1">
        <v>2969.46</v>
      </c>
      <c r="D978" s="1">
        <v>786.81</v>
      </c>
      <c r="E978" s="1">
        <v>1417.83</v>
      </c>
      <c r="F978" s="1">
        <v>285.29000000000002</v>
      </c>
      <c r="G978" s="1">
        <v>8306.7000000000007</v>
      </c>
      <c r="H978" s="1">
        <v>962.71</v>
      </c>
      <c r="I978" s="1">
        <v>2113.2800000000002</v>
      </c>
      <c r="J978" s="1">
        <v>18660.3</v>
      </c>
    </row>
    <row r="979" spans="1:10">
      <c r="A979" s="2">
        <v>44910</v>
      </c>
      <c r="B979" s="1">
        <v>1171.5899999999999</v>
      </c>
      <c r="C979" s="1">
        <v>2916.3</v>
      </c>
      <c r="D979" s="1">
        <v>772.39</v>
      </c>
      <c r="E979" s="1">
        <v>1382.91</v>
      </c>
      <c r="F979" s="1">
        <v>279.88</v>
      </c>
      <c r="G979" s="1">
        <v>8251.4699999999993</v>
      </c>
      <c r="H979" s="1">
        <v>964.59</v>
      </c>
      <c r="I979" s="1">
        <v>2096.0500000000002</v>
      </c>
      <c r="J979" s="1">
        <v>18414.900000000001</v>
      </c>
    </row>
    <row r="980" spans="1:10">
      <c r="A980" s="2">
        <v>44911</v>
      </c>
      <c r="B980" s="1">
        <v>1165.8</v>
      </c>
      <c r="C980" s="1">
        <v>2859.08</v>
      </c>
      <c r="D980" s="1">
        <v>776.11</v>
      </c>
      <c r="E980" s="1">
        <v>1366.48</v>
      </c>
      <c r="F980" s="1">
        <v>276.77999999999997</v>
      </c>
      <c r="G980" s="1">
        <v>8156.94</v>
      </c>
      <c r="H980" s="1">
        <v>956.36</v>
      </c>
      <c r="I980" s="1">
        <v>2093.59</v>
      </c>
      <c r="J980" s="1">
        <v>18269</v>
      </c>
    </row>
    <row r="981" spans="1:10">
      <c r="A981" s="2">
        <v>44914</v>
      </c>
      <c r="B981" s="1">
        <v>1181.1099999999999</v>
      </c>
      <c r="C981" s="1">
        <v>2825.37</v>
      </c>
      <c r="D981" s="1">
        <v>778.52</v>
      </c>
      <c r="E981" s="1">
        <v>1353.15</v>
      </c>
      <c r="F981" s="1">
        <v>281.24</v>
      </c>
      <c r="G981" s="1">
        <v>8270.41</v>
      </c>
      <c r="H981" s="1">
        <v>950.88</v>
      </c>
      <c r="I981" s="1">
        <v>2102.2600000000002</v>
      </c>
      <c r="J981" s="1">
        <v>18420.45</v>
      </c>
    </row>
    <row r="982" spans="1:10">
      <c r="A982" s="2">
        <v>44915</v>
      </c>
      <c r="B982" s="1">
        <v>1191.33</v>
      </c>
      <c r="C982" s="1">
        <v>2862.34</v>
      </c>
      <c r="D982" s="1">
        <v>773.15</v>
      </c>
      <c r="E982" s="1">
        <v>1353.11</v>
      </c>
      <c r="F982" s="1">
        <v>280.95</v>
      </c>
      <c r="G982" s="1">
        <v>8193.99</v>
      </c>
      <c r="H982" s="1">
        <v>951.26</v>
      </c>
      <c r="I982" s="1">
        <v>2082.2800000000002</v>
      </c>
      <c r="J982" s="1">
        <v>18385.3</v>
      </c>
    </row>
    <row r="983" spans="1:10">
      <c r="A983" s="2">
        <v>44916</v>
      </c>
      <c r="B983" s="1">
        <v>1174.3900000000001</v>
      </c>
      <c r="C983" s="1">
        <v>2884.05</v>
      </c>
      <c r="D983" s="1">
        <v>765.67</v>
      </c>
      <c r="E983" s="1">
        <v>1355.13</v>
      </c>
      <c r="F983" s="1">
        <v>276.82</v>
      </c>
      <c r="G983" s="1">
        <v>8026.78</v>
      </c>
      <c r="H983" s="1">
        <v>967.86</v>
      </c>
      <c r="I983" s="1">
        <v>2065.9699999999998</v>
      </c>
      <c r="J983" s="1">
        <v>18199.099999999999</v>
      </c>
    </row>
    <row r="984" spans="1:10">
      <c r="A984" s="2">
        <v>44917</v>
      </c>
      <c r="B984" s="1">
        <v>1171.3399999999999</v>
      </c>
      <c r="C984" s="1">
        <v>2876.24</v>
      </c>
      <c r="D984" s="1">
        <v>763.05</v>
      </c>
      <c r="E984" s="1">
        <v>1366.35</v>
      </c>
      <c r="F984" s="1">
        <v>274.58999999999997</v>
      </c>
      <c r="G984" s="1">
        <v>8011.35</v>
      </c>
      <c r="H984" s="1">
        <v>972.72</v>
      </c>
      <c r="I984" s="1">
        <v>2030.98</v>
      </c>
      <c r="J984" s="1">
        <v>18127.349999999999</v>
      </c>
    </row>
    <row r="985" spans="1:10">
      <c r="A985" s="2">
        <v>44918</v>
      </c>
      <c r="B985" s="1">
        <v>1136.99</v>
      </c>
      <c r="C985" s="1">
        <v>2848.58</v>
      </c>
      <c r="D985" s="1">
        <v>756.23</v>
      </c>
      <c r="E985" s="1">
        <v>1343.95</v>
      </c>
      <c r="F985" s="1">
        <v>269.83999999999997</v>
      </c>
      <c r="G985" s="1">
        <v>7826.07</v>
      </c>
      <c r="H985" s="1">
        <v>963.97</v>
      </c>
      <c r="I985" s="1">
        <v>1985.54</v>
      </c>
      <c r="J985" s="1">
        <v>17806.8</v>
      </c>
    </row>
    <row r="986" spans="1:10">
      <c r="A986" s="2">
        <v>44921</v>
      </c>
      <c r="B986" s="1">
        <v>1146.92</v>
      </c>
      <c r="C986" s="1">
        <v>2870.24</v>
      </c>
      <c r="D986" s="1">
        <v>771.28</v>
      </c>
      <c r="E986" s="1">
        <v>1348.71</v>
      </c>
      <c r="F986" s="1">
        <v>276.37</v>
      </c>
      <c r="G986" s="1">
        <v>7936.81</v>
      </c>
      <c r="H986" s="1">
        <v>962.52</v>
      </c>
      <c r="I986" s="1">
        <v>2012.79</v>
      </c>
      <c r="J986" s="1">
        <v>18014.599999999999</v>
      </c>
    </row>
    <row r="987" spans="1:10">
      <c r="A987" s="2">
        <v>44922</v>
      </c>
      <c r="B987" s="1">
        <v>1156.3</v>
      </c>
      <c r="C987" s="1">
        <v>2876.06</v>
      </c>
      <c r="D987" s="1">
        <v>772.06</v>
      </c>
      <c r="E987" s="1">
        <v>1359.88</v>
      </c>
      <c r="F987" s="1">
        <v>275.17</v>
      </c>
      <c r="G987" s="1">
        <v>7983.57</v>
      </c>
      <c r="H987" s="1">
        <v>962.62</v>
      </c>
      <c r="I987" s="1">
        <v>2044.6</v>
      </c>
      <c r="J987" s="1">
        <v>18132.3</v>
      </c>
    </row>
    <row r="988" spans="1:10">
      <c r="A988" s="2">
        <v>44923</v>
      </c>
      <c r="B988" s="1">
        <v>1156.19</v>
      </c>
      <c r="C988" s="1">
        <v>2873.94</v>
      </c>
      <c r="D988" s="1">
        <v>771.45</v>
      </c>
      <c r="E988" s="1">
        <v>1355.66</v>
      </c>
      <c r="F988" s="1">
        <v>276.2</v>
      </c>
      <c r="G988" s="1">
        <v>8094.69</v>
      </c>
      <c r="H988" s="1">
        <v>957.66</v>
      </c>
      <c r="I988" s="1">
        <v>2041.71</v>
      </c>
      <c r="J988" s="1">
        <v>18122.5</v>
      </c>
    </row>
    <row r="989" spans="1:10">
      <c r="A989" s="2">
        <v>44924</v>
      </c>
      <c r="B989" s="1">
        <v>1155.6600000000001</v>
      </c>
      <c r="C989" s="1">
        <v>2884.22</v>
      </c>
      <c r="D989" s="1">
        <v>776.89</v>
      </c>
      <c r="E989" s="1">
        <v>1362.31</v>
      </c>
      <c r="F989" s="1">
        <v>276.99</v>
      </c>
      <c r="G989" s="1">
        <v>8108.87</v>
      </c>
      <c r="H989" s="1">
        <v>963</v>
      </c>
      <c r="I989" s="1">
        <v>2031.89</v>
      </c>
      <c r="J989" s="1">
        <v>18191</v>
      </c>
    </row>
    <row r="990" spans="1:10">
      <c r="A990" s="2">
        <v>44925</v>
      </c>
      <c r="B990" s="1">
        <v>1157.44</v>
      </c>
      <c r="C990" s="1">
        <v>2873.59</v>
      </c>
      <c r="D990" s="1">
        <v>770.67</v>
      </c>
      <c r="E990" s="1">
        <v>1353.91</v>
      </c>
      <c r="F990" s="1">
        <v>273.85000000000002</v>
      </c>
      <c r="G990" s="1">
        <v>8069.27</v>
      </c>
      <c r="H990" s="1">
        <v>963.82</v>
      </c>
      <c r="I990" s="1">
        <v>2007.73</v>
      </c>
      <c r="J990" s="1">
        <v>18105.3</v>
      </c>
    </row>
    <row r="991" spans="1:10">
      <c r="A991" s="2">
        <v>44928</v>
      </c>
      <c r="B991" s="1">
        <v>1170.48</v>
      </c>
      <c r="C991" s="1">
        <v>2877.78</v>
      </c>
      <c r="D991" s="1">
        <v>770.93</v>
      </c>
      <c r="E991" s="1">
        <v>1368.1</v>
      </c>
      <c r="F991" s="1">
        <v>274.92</v>
      </c>
      <c r="G991" s="1">
        <v>8077.63</v>
      </c>
      <c r="H991" s="1">
        <v>959.59</v>
      </c>
      <c r="I991" s="1">
        <v>2011.24</v>
      </c>
      <c r="J991" s="1">
        <v>18197.45</v>
      </c>
    </row>
    <row r="992" spans="1:10">
      <c r="A992" s="2">
        <v>44929</v>
      </c>
      <c r="B992" s="1">
        <v>1161.9100000000001</v>
      </c>
      <c r="C992" s="1">
        <v>2921.81</v>
      </c>
      <c r="D992" s="1">
        <v>775.97</v>
      </c>
      <c r="E992" s="1">
        <v>1366.8</v>
      </c>
      <c r="F992" s="1">
        <v>273.48</v>
      </c>
      <c r="G992" s="1">
        <v>8057.88</v>
      </c>
      <c r="H992" s="1">
        <v>971.23</v>
      </c>
      <c r="I992" s="1">
        <v>2010.76</v>
      </c>
      <c r="J992" s="1">
        <v>18232.55</v>
      </c>
    </row>
    <row r="993" spans="1:10">
      <c r="A993" s="2">
        <v>44930</v>
      </c>
      <c r="B993" s="1">
        <v>1144.42</v>
      </c>
      <c r="C993" s="1">
        <v>2924.72</v>
      </c>
      <c r="D993" s="1">
        <v>762.1</v>
      </c>
      <c r="E993" s="1">
        <v>1341.88</v>
      </c>
      <c r="F993" s="1">
        <v>270.08999999999997</v>
      </c>
      <c r="G993" s="1">
        <v>8096.38</v>
      </c>
      <c r="H993" s="1">
        <v>966.42</v>
      </c>
      <c r="I993" s="1">
        <v>1993.05</v>
      </c>
      <c r="J993" s="1">
        <v>18042.95</v>
      </c>
    </row>
    <row r="994" spans="1:10">
      <c r="A994" s="2">
        <v>44931</v>
      </c>
      <c r="B994" s="1">
        <v>1142.3699999999999</v>
      </c>
      <c r="C994" s="1">
        <v>2921.59</v>
      </c>
      <c r="D994" s="1">
        <v>757.2</v>
      </c>
      <c r="E994" s="1">
        <v>1324.29</v>
      </c>
      <c r="F994" s="1">
        <v>275.42</v>
      </c>
      <c r="G994" s="1">
        <v>8133.19</v>
      </c>
      <c r="H994" s="1">
        <v>978.07</v>
      </c>
      <c r="I994" s="1">
        <v>2009.22</v>
      </c>
      <c r="J994" s="1">
        <v>17992.150000000001</v>
      </c>
    </row>
    <row r="995" spans="1:10">
      <c r="A995" s="2">
        <v>44932</v>
      </c>
      <c r="B995" s="1">
        <v>1152.76</v>
      </c>
      <c r="C995" s="1">
        <v>2833.75</v>
      </c>
      <c r="D995" s="1">
        <v>754.69</v>
      </c>
      <c r="E995" s="1">
        <v>1300.32</v>
      </c>
      <c r="F995" s="1">
        <v>276.74</v>
      </c>
      <c r="G995" s="1">
        <v>8058.17</v>
      </c>
      <c r="H995" s="1">
        <v>970.85</v>
      </c>
      <c r="I995" s="1">
        <v>2008.45</v>
      </c>
      <c r="J995" s="1">
        <v>17859.45</v>
      </c>
    </row>
    <row r="996" spans="1:10">
      <c r="A996" s="2">
        <v>44935</v>
      </c>
      <c r="B996" s="1">
        <v>1179.97</v>
      </c>
      <c r="C996" s="1">
        <v>2929.4</v>
      </c>
      <c r="D996" s="1">
        <v>756.16</v>
      </c>
      <c r="E996" s="1">
        <v>1332.59</v>
      </c>
      <c r="F996" s="1">
        <v>279.22000000000003</v>
      </c>
      <c r="G996" s="1">
        <v>8052.35</v>
      </c>
      <c r="H996" s="1">
        <v>978.69</v>
      </c>
      <c r="I996" s="1">
        <v>2042.29</v>
      </c>
      <c r="J996" s="1">
        <v>18101.2</v>
      </c>
    </row>
    <row r="997" spans="1:10">
      <c r="A997" s="2">
        <v>44936</v>
      </c>
      <c r="B997" s="1">
        <v>1162.53</v>
      </c>
      <c r="C997" s="1">
        <v>2899.8</v>
      </c>
      <c r="D997" s="1">
        <v>742.34</v>
      </c>
      <c r="E997" s="1">
        <v>1319.4</v>
      </c>
      <c r="F997" s="1">
        <v>275.38</v>
      </c>
      <c r="G997" s="1">
        <v>7971.75</v>
      </c>
      <c r="H997" s="1">
        <v>973.88</v>
      </c>
      <c r="I997" s="1">
        <v>2027.8</v>
      </c>
      <c r="J997" s="1">
        <v>17914.150000000001</v>
      </c>
    </row>
    <row r="998" spans="1:10">
      <c r="A998" s="2">
        <v>44937</v>
      </c>
      <c r="B998" s="1">
        <v>1147.8699999999999</v>
      </c>
      <c r="C998" s="1">
        <v>2937.12</v>
      </c>
      <c r="D998" s="1">
        <v>753.03</v>
      </c>
      <c r="E998" s="1">
        <v>1320.74</v>
      </c>
      <c r="F998" s="1">
        <v>274.05</v>
      </c>
      <c r="G998" s="1">
        <v>7963.39</v>
      </c>
      <c r="H998" s="1">
        <v>989.42</v>
      </c>
      <c r="I998" s="1">
        <v>2045.8</v>
      </c>
      <c r="J998" s="1">
        <v>17895.7</v>
      </c>
    </row>
    <row r="999" spans="1:10">
      <c r="A999" s="2">
        <v>44938</v>
      </c>
      <c r="B999" s="1">
        <v>1123.08</v>
      </c>
      <c r="C999" s="1">
        <v>2942.11</v>
      </c>
      <c r="D999" s="1">
        <v>757.06</v>
      </c>
      <c r="E999" s="1">
        <v>1329.14</v>
      </c>
      <c r="F999" s="1">
        <v>272.44</v>
      </c>
      <c r="G999" s="1">
        <v>8044.85</v>
      </c>
      <c r="H999" s="1">
        <v>994.09</v>
      </c>
      <c r="I999" s="1">
        <v>2078.91</v>
      </c>
      <c r="J999" s="1">
        <v>17858.2</v>
      </c>
    </row>
    <row r="1000" spans="1:10">
      <c r="A1000" s="2">
        <v>44939</v>
      </c>
      <c r="B1000" s="1">
        <v>1121.27</v>
      </c>
      <c r="C1000" s="1">
        <v>2977.58</v>
      </c>
      <c r="D1000" s="1">
        <v>757.65</v>
      </c>
      <c r="E1000" s="1">
        <v>1349.83</v>
      </c>
      <c r="F1000" s="1">
        <v>271.52999999999997</v>
      </c>
      <c r="G1000" s="1">
        <v>8125.79</v>
      </c>
      <c r="H1000" s="1">
        <v>992.89</v>
      </c>
      <c r="I1000" s="1">
        <v>2072.8000000000002</v>
      </c>
      <c r="J1000" s="1">
        <v>17956.599999999999</v>
      </c>
    </row>
    <row r="1001" spans="1:10">
      <c r="A1001" s="2">
        <v>44942</v>
      </c>
      <c r="B1001" s="1">
        <v>1110.5899999999999</v>
      </c>
      <c r="C1001" s="1">
        <v>3008.71</v>
      </c>
      <c r="D1001" s="1">
        <v>750.38</v>
      </c>
      <c r="E1001" s="1">
        <v>1369.44</v>
      </c>
      <c r="F1001" s="1">
        <v>272.73</v>
      </c>
      <c r="G1001" s="1">
        <v>8055.33</v>
      </c>
      <c r="H1001" s="1">
        <v>996.59</v>
      </c>
      <c r="I1001" s="1">
        <v>2057.21</v>
      </c>
      <c r="J1001" s="1">
        <v>17894.849999999999</v>
      </c>
    </row>
    <row r="1002" spans="1:10">
      <c r="A1002" s="2">
        <v>44943</v>
      </c>
      <c r="B1002" s="1">
        <v>1126.3599999999999</v>
      </c>
      <c r="C1002" s="1">
        <v>3048.73</v>
      </c>
      <c r="D1002" s="1">
        <v>761.56</v>
      </c>
      <c r="E1002" s="1">
        <v>1382.01</v>
      </c>
      <c r="F1002" s="1">
        <v>274.43</v>
      </c>
      <c r="G1002" s="1">
        <v>8150.73</v>
      </c>
      <c r="H1002" s="1">
        <v>993.95</v>
      </c>
      <c r="I1002" s="1">
        <v>2130.27</v>
      </c>
      <c r="J1002" s="1">
        <v>18053.3</v>
      </c>
    </row>
    <row r="1003" spans="1:10">
      <c r="A1003" s="2">
        <v>44944</v>
      </c>
      <c r="B1003" s="1">
        <v>1124.49</v>
      </c>
      <c r="C1003" s="1">
        <v>3059.2</v>
      </c>
      <c r="D1003" s="1">
        <v>775</v>
      </c>
      <c r="E1003" s="1">
        <v>1387.31</v>
      </c>
      <c r="F1003" s="1">
        <v>276.41000000000003</v>
      </c>
      <c r="G1003" s="1">
        <v>8164.87</v>
      </c>
      <c r="H1003" s="1">
        <v>1001.07</v>
      </c>
      <c r="I1003" s="1">
        <v>2181.67</v>
      </c>
      <c r="J1003" s="1">
        <v>18165.349999999999</v>
      </c>
    </row>
    <row r="1004" spans="1:10">
      <c r="A1004" s="2">
        <v>44945</v>
      </c>
      <c r="B1004" s="1">
        <v>1123.29</v>
      </c>
      <c r="C1004" s="1">
        <v>3043.95</v>
      </c>
      <c r="D1004" s="1">
        <v>778.22</v>
      </c>
      <c r="E1004" s="1">
        <v>1381.47</v>
      </c>
      <c r="F1004" s="1">
        <v>274.33999999999997</v>
      </c>
      <c r="G1004" s="1">
        <v>8172.17</v>
      </c>
      <c r="H1004" s="1">
        <v>1001.5</v>
      </c>
      <c r="I1004" s="1">
        <v>2188.02</v>
      </c>
      <c r="J1004" s="1">
        <v>18107.849999999999</v>
      </c>
    </row>
    <row r="1005" spans="1:10">
      <c r="A1005" s="2">
        <v>44946</v>
      </c>
      <c r="B1005" s="1">
        <v>1109.93</v>
      </c>
      <c r="C1005" s="1">
        <v>3034.93</v>
      </c>
      <c r="D1005" s="1">
        <v>786.19</v>
      </c>
      <c r="E1005" s="1">
        <v>1369.49</v>
      </c>
      <c r="F1005" s="1">
        <v>276.37</v>
      </c>
      <c r="G1005" s="1">
        <v>8112.72</v>
      </c>
      <c r="H1005" s="1">
        <v>991.68</v>
      </c>
      <c r="I1005" s="1">
        <v>2165.7399999999998</v>
      </c>
      <c r="J1005" s="1">
        <v>18027.650000000001</v>
      </c>
    </row>
    <row r="1006" spans="1:10">
      <c r="A1006" s="2">
        <v>44949</v>
      </c>
      <c r="B1006" s="1">
        <v>1104.32</v>
      </c>
      <c r="C1006" s="1">
        <v>3081.67</v>
      </c>
      <c r="D1006" s="1">
        <v>791.94</v>
      </c>
      <c r="E1006" s="1">
        <v>1389.64</v>
      </c>
      <c r="F1006" s="1">
        <v>278.97000000000003</v>
      </c>
      <c r="G1006" s="1">
        <v>8090.9</v>
      </c>
      <c r="H1006" s="1">
        <v>1009.92</v>
      </c>
      <c r="I1006" s="1">
        <v>2149.9</v>
      </c>
      <c r="J1006" s="1">
        <v>18118.55</v>
      </c>
    </row>
    <row r="1007" spans="1:10">
      <c r="A1007" s="2">
        <v>44950</v>
      </c>
      <c r="B1007" s="1">
        <v>1097.8</v>
      </c>
      <c r="C1007" s="1">
        <v>3100.98</v>
      </c>
      <c r="D1007" s="1">
        <v>802.55</v>
      </c>
      <c r="E1007" s="1">
        <v>1393.14</v>
      </c>
      <c r="F1007" s="1">
        <v>279.95999999999998</v>
      </c>
      <c r="G1007" s="1">
        <v>8361.68</v>
      </c>
      <c r="H1007" s="1">
        <v>1001.65</v>
      </c>
      <c r="I1007" s="1">
        <v>2124.88</v>
      </c>
      <c r="J1007" s="1">
        <v>18118.3</v>
      </c>
    </row>
    <row r="1008" spans="1:10">
      <c r="A1008" s="2">
        <v>44951</v>
      </c>
      <c r="B1008" s="1">
        <v>1082.6199999999999</v>
      </c>
      <c r="C1008" s="1">
        <v>3095.07</v>
      </c>
      <c r="D1008" s="1">
        <v>780.37</v>
      </c>
      <c r="E1008" s="1">
        <v>1385.15</v>
      </c>
      <c r="F1008" s="1">
        <v>280.20999999999998</v>
      </c>
      <c r="G1008" s="1">
        <v>8443.67</v>
      </c>
      <c r="H1008" s="1">
        <v>1001.02</v>
      </c>
      <c r="I1008" s="1">
        <v>2093.3000000000002</v>
      </c>
      <c r="J1008" s="1">
        <v>17891.95</v>
      </c>
    </row>
    <row r="1009" spans="1:10">
      <c r="A1009" s="2">
        <v>44953</v>
      </c>
      <c r="B1009" s="1">
        <v>1062.08</v>
      </c>
      <c r="C1009" s="1">
        <v>3078.2</v>
      </c>
      <c r="D1009" s="1">
        <v>764.82</v>
      </c>
      <c r="E1009" s="1">
        <v>1363.74</v>
      </c>
      <c r="F1009" s="1">
        <v>285.77999999999997</v>
      </c>
      <c r="G1009" s="1">
        <v>8398.8799999999992</v>
      </c>
      <c r="H1009" s="1">
        <v>1004.25</v>
      </c>
      <c r="I1009" s="1">
        <v>2079.0100000000002</v>
      </c>
      <c r="J1009" s="1">
        <v>17604.349999999999</v>
      </c>
    </row>
    <row r="1010" spans="1:10">
      <c r="A1010" s="2">
        <v>44956</v>
      </c>
      <c r="B1010" s="1">
        <v>1072.26</v>
      </c>
      <c r="C1010" s="1">
        <v>3098.59</v>
      </c>
      <c r="D1010" s="1">
        <v>764.04</v>
      </c>
      <c r="E1010" s="1">
        <v>1381.38</v>
      </c>
      <c r="F1010" s="1">
        <v>284.79000000000002</v>
      </c>
      <c r="G1010" s="1">
        <v>8475.2999999999993</v>
      </c>
      <c r="H1010" s="1">
        <v>1012.23</v>
      </c>
      <c r="I1010" s="1">
        <v>2033.82</v>
      </c>
      <c r="J1010" s="1">
        <v>17648.95</v>
      </c>
    </row>
    <row r="1011" spans="1:10">
      <c r="A1011" s="2">
        <v>44957</v>
      </c>
      <c r="B1011" s="1">
        <v>1069.58</v>
      </c>
      <c r="C1011" s="1">
        <v>3030.95</v>
      </c>
      <c r="D1011" s="1">
        <v>759</v>
      </c>
      <c r="E1011" s="1">
        <v>1376.85</v>
      </c>
      <c r="F1011" s="1">
        <v>291.02999999999997</v>
      </c>
      <c r="G1011" s="1">
        <v>8550.56</v>
      </c>
      <c r="H1011" s="1">
        <v>995.68</v>
      </c>
      <c r="I1011" s="1">
        <v>2044.89</v>
      </c>
      <c r="J1011" s="1">
        <v>17662.150000000001</v>
      </c>
    </row>
    <row r="1012" spans="1:10">
      <c r="A1012" s="2">
        <v>44958</v>
      </c>
      <c r="B1012" s="1">
        <v>1063.24</v>
      </c>
      <c r="C1012" s="1">
        <v>3075.76</v>
      </c>
      <c r="D1012" s="1">
        <v>770.38</v>
      </c>
      <c r="E1012" s="1">
        <v>1392.43</v>
      </c>
      <c r="F1012" s="1">
        <v>298.5</v>
      </c>
      <c r="G1012" s="1">
        <v>8429.01</v>
      </c>
      <c r="H1012" s="1">
        <v>976.81</v>
      </c>
      <c r="I1012" s="1">
        <v>2065.25</v>
      </c>
      <c r="J1012" s="1">
        <v>17616.3</v>
      </c>
    </row>
    <row r="1013" spans="1:10">
      <c r="A1013" s="2">
        <v>44959</v>
      </c>
      <c r="B1013" s="1">
        <v>1057.3599999999999</v>
      </c>
      <c r="C1013" s="1">
        <v>3122.73</v>
      </c>
      <c r="D1013" s="1">
        <v>758.93</v>
      </c>
      <c r="E1013" s="1">
        <v>1421.73</v>
      </c>
      <c r="F1013" s="1">
        <v>312.70999999999998</v>
      </c>
      <c r="G1013" s="1">
        <v>8526.39</v>
      </c>
      <c r="H1013" s="1">
        <v>969.79</v>
      </c>
      <c r="I1013" s="1">
        <v>2064.62</v>
      </c>
      <c r="J1013" s="1">
        <v>17610.400000000001</v>
      </c>
    </row>
    <row r="1014" spans="1:10">
      <c r="A1014" s="2">
        <v>44960</v>
      </c>
      <c r="B1014" s="1">
        <v>1058.29</v>
      </c>
      <c r="C1014" s="1">
        <v>3142.49</v>
      </c>
      <c r="D1014" s="1">
        <v>785.17</v>
      </c>
      <c r="E1014" s="1">
        <v>1435.78</v>
      </c>
      <c r="F1014" s="1">
        <v>314.39999999999998</v>
      </c>
      <c r="G1014" s="1">
        <v>8595.74</v>
      </c>
      <c r="H1014" s="1">
        <v>989.57</v>
      </c>
      <c r="I1014" s="1">
        <v>2085.46</v>
      </c>
      <c r="J1014" s="1">
        <v>17854.05</v>
      </c>
    </row>
    <row r="1015" spans="1:10">
      <c r="A1015" s="2">
        <v>44963</v>
      </c>
      <c r="B1015" s="1">
        <v>1050.31</v>
      </c>
      <c r="C1015" s="1">
        <v>3122.32</v>
      </c>
      <c r="D1015" s="1">
        <v>781.84</v>
      </c>
      <c r="E1015" s="1">
        <v>1409.26</v>
      </c>
      <c r="F1015" s="1">
        <v>316.67</v>
      </c>
      <c r="G1015" s="1">
        <v>8562.77</v>
      </c>
      <c r="H1015" s="1">
        <v>984.95</v>
      </c>
      <c r="I1015" s="1">
        <v>2075.4</v>
      </c>
      <c r="J1015" s="1">
        <v>17764.599999999999</v>
      </c>
    </row>
    <row r="1016" spans="1:10">
      <c r="A1016" s="2">
        <v>44964</v>
      </c>
      <c r="B1016" s="1">
        <v>1047.79</v>
      </c>
      <c r="C1016" s="1">
        <v>3133.7</v>
      </c>
      <c r="D1016" s="1">
        <v>783</v>
      </c>
      <c r="E1016" s="1">
        <v>1402.57</v>
      </c>
      <c r="F1016" s="1">
        <v>308.29000000000002</v>
      </c>
      <c r="G1016" s="1">
        <v>8422.86</v>
      </c>
      <c r="H1016" s="1">
        <v>968.63</v>
      </c>
      <c r="I1016" s="1">
        <v>2084.2600000000002</v>
      </c>
      <c r="J1016" s="1">
        <v>17721.5</v>
      </c>
    </row>
    <row r="1017" spans="1:10">
      <c r="A1017" s="2">
        <v>44965</v>
      </c>
      <c r="B1017" s="1">
        <v>1068.72</v>
      </c>
      <c r="C1017" s="1">
        <v>3176.61</v>
      </c>
      <c r="D1017" s="1">
        <v>782.9</v>
      </c>
      <c r="E1017" s="1">
        <v>1427.79</v>
      </c>
      <c r="F1017" s="1">
        <v>310.19</v>
      </c>
      <c r="G1017" s="1">
        <v>8492.31</v>
      </c>
      <c r="H1017" s="1">
        <v>982.31</v>
      </c>
      <c r="I1017" s="1">
        <v>2051.1</v>
      </c>
      <c r="J1017" s="1">
        <v>17871.7</v>
      </c>
    </row>
    <row r="1018" spans="1:10">
      <c r="A1018" s="2">
        <v>44966</v>
      </c>
      <c r="B1018" s="1">
        <v>1070.58</v>
      </c>
      <c r="C1018" s="1">
        <v>3195.33</v>
      </c>
      <c r="D1018" s="1">
        <v>781.27</v>
      </c>
      <c r="E1018" s="1">
        <v>1451.58</v>
      </c>
      <c r="F1018" s="1">
        <v>309.12</v>
      </c>
      <c r="G1018" s="1">
        <v>8460.11</v>
      </c>
      <c r="H1018" s="1">
        <v>976.29</v>
      </c>
      <c r="I1018" s="1">
        <v>2067.0300000000002</v>
      </c>
      <c r="J1018" s="1">
        <v>17893.45</v>
      </c>
    </row>
    <row r="1019" spans="1:10">
      <c r="A1019" s="2">
        <v>44967</v>
      </c>
      <c r="B1019" s="1">
        <v>1061.76</v>
      </c>
      <c r="C1019" s="1">
        <v>3192.35</v>
      </c>
      <c r="D1019" s="1">
        <v>784.37</v>
      </c>
      <c r="E1019" s="1">
        <v>1444</v>
      </c>
      <c r="F1019" s="1">
        <v>306.72000000000003</v>
      </c>
      <c r="G1019" s="1">
        <v>8469.8700000000008</v>
      </c>
      <c r="H1019" s="1">
        <v>976.1</v>
      </c>
      <c r="I1019" s="1">
        <v>2082.86</v>
      </c>
      <c r="J1019" s="1">
        <v>17856.5</v>
      </c>
    </row>
    <row r="1020" spans="1:10">
      <c r="A1020" s="2">
        <v>44970</v>
      </c>
      <c r="B1020" s="1">
        <v>1055.72</v>
      </c>
      <c r="C1020" s="1">
        <v>3142.58</v>
      </c>
      <c r="D1020" s="1">
        <v>784.96</v>
      </c>
      <c r="E1020" s="1">
        <v>1407.1</v>
      </c>
      <c r="F1020" s="1">
        <v>309.07</v>
      </c>
      <c r="G1020" s="1">
        <v>8468.0400000000009</v>
      </c>
      <c r="H1020" s="1">
        <v>984.49</v>
      </c>
      <c r="I1020" s="1">
        <v>2120.83</v>
      </c>
      <c r="J1020" s="1">
        <v>17770.900000000001</v>
      </c>
    </row>
    <row r="1021" spans="1:10">
      <c r="A1021" s="2">
        <v>44971</v>
      </c>
      <c r="B1021" s="1">
        <v>1080.5999999999999</v>
      </c>
      <c r="C1021" s="1">
        <v>3158.56</v>
      </c>
      <c r="D1021" s="1">
        <v>792.23</v>
      </c>
      <c r="E1021" s="1">
        <v>1430.26</v>
      </c>
      <c r="F1021" s="1">
        <v>319.19</v>
      </c>
      <c r="G1021" s="1">
        <v>8434.4</v>
      </c>
      <c r="H1021" s="1">
        <v>976.25</v>
      </c>
      <c r="I1021" s="1">
        <v>2109.62</v>
      </c>
      <c r="J1021" s="1">
        <v>17929.849999999999</v>
      </c>
    </row>
    <row r="1022" spans="1:10">
      <c r="A1022" s="2">
        <v>44972</v>
      </c>
      <c r="B1022" s="1">
        <v>1105.07</v>
      </c>
      <c r="C1022" s="1">
        <v>3177.1</v>
      </c>
      <c r="D1022" s="1">
        <v>790.62</v>
      </c>
      <c r="E1022" s="1">
        <v>1433.67</v>
      </c>
      <c r="F1022" s="1">
        <v>320.86</v>
      </c>
      <c r="G1022" s="1">
        <v>8502.5499999999993</v>
      </c>
      <c r="H1022" s="1">
        <v>965.24</v>
      </c>
      <c r="I1022" s="1">
        <v>2093.64</v>
      </c>
      <c r="J1022" s="1">
        <v>18015.849999999999</v>
      </c>
    </row>
    <row r="1023" spans="1:10">
      <c r="A1023" s="2">
        <v>44973</v>
      </c>
      <c r="B1023" s="1">
        <v>1104.2</v>
      </c>
      <c r="C1023" s="1">
        <v>3210.85</v>
      </c>
      <c r="D1023" s="1">
        <v>787.75</v>
      </c>
      <c r="E1023" s="1">
        <v>1437.94</v>
      </c>
      <c r="F1023" s="1">
        <v>321.14999999999998</v>
      </c>
      <c r="G1023" s="1">
        <v>8463.86</v>
      </c>
      <c r="H1023" s="1">
        <v>965</v>
      </c>
      <c r="I1023" s="1">
        <v>2096.77</v>
      </c>
      <c r="J1023" s="1">
        <v>18035.849999999999</v>
      </c>
    </row>
    <row r="1024" spans="1:10">
      <c r="A1024" s="2">
        <v>44974</v>
      </c>
      <c r="B1024" s="1">
        <v>1108.82</v>
      </c>
      <c r="C1024" s="1">
        <v>3159.5</v>
      </c>
      <c r="D1024" s="1">
        <v>783.8</v>
      </c>
      <c r="E1024" s="1">
        <v>1421.78</v>
      </c>
      <c r="F1024" s="1">
        <v>321.86</v>
      </c>
      <c r="G1024" s="1">
        <v>8466.41</v>
      </c>
      <c r="H1024" s="1">
        <v>954.67</v>
      </c>
      <c r="I1024" s="1">
        <v>2143.02</v>
      </c>
      <c r="J1024" s="1">
        <v>17944.2</v>
      </c>
    </row>
    <row r="1025" spans="1:10">
      <c r="A1025" s="2">
        <v>44977</v>
      </c>
      <c r="B1025" s="1">
        <v>1097.0899999999999</v>
      </c>
      <c r="C1025" s="1">
        <v>3147.01</v>
      </c>
      <c r="D1025" s="1">
        <v>776.44</v>
      </c>
      <c r="E1025" s="1">
        <v>1429.55</v>
      </c>
      <c r="F1025" s="1">
        <v>322.41000000000003</v>
      </c>
      <c r="G1025" s="1">
        <v>8356.73</v>
      </c>
      <c r="H1025" s="1">
        <v>954.57</v>
      </c>
      <c r="I1025" s="1">
        <v>2142.1999999999998</v>
      </c>
      <c r="J1025" s="1">
        <v>17844.599999999999</v>
      </c>
    </row>
    <row r="1026" spans="1:10">
      <c r="A1026" s="2">
        <v>44978</v>
      </c>
      <c r="B1026" s="1">
        <v>1106.04</v>
      </c>
      <c r="C1026" s="1">
        <v>3114.25</v>
      </c>
      <c r="D1026" s="1">
        <v>779.35</v>
      </c>
      <c r="E1026" s="1">
        <v>1417.92</v>
      </c>
      <c r="F1026" s="1">
        <v>320.89999999999998</v>
      </c>
      <c r="G1026" s="1">
        <v>8333.85</v>
      </c>
      <c r="H1026" s="1">
        <v>942.16</v>
      </c>
      <c r="I1026" s="1">
        <v>2146</v>
      </c>
      <c r="J1026" s="1">
        <v>17826.7</v>
      </c>
    </row>
    <row r="1027" spans="1:10">
      <c r="A1027" s="2">
        <v>44979</v>
      </c>
      <c r="B1027" s="1">
        <v>1080.96</v>
      </c>
      <c r="C1027" s="1">
        <v>3069.62</v>
      </c>
      <c r="D1027" s="1">
        <v>764.06</v>
      </c>
      <c r="E1027" s="1">
        <v>1402.03</v>
      </c>
      <c r="F1027" s="1">
        <v>322.24</v>
      </c>
      <c r="G1027" s="1">
        <v>8323.3799999999992</v>
      </c>
      <c r="H1027" s="1">
        <v>939.2</v>
      </c>
      <c r="I1027" s="1">
        <v>2112.6</v>
      </c>
      <c r="J1027" s="1">
        <v>17554.3</v>
      </c>
    </row>
    <row r="1028" spans="1:10">
      <c r="A1028" s="2">
        <v>44980</v>
      </c>
      <c r="B1028" s="1">
        <v>1075.78</v>
      </c>
      <c r="C1028" s="1">
        <v>3080.68</v>
      </c>
      <c r="D1028" s="1">
        <v>758.88</v>
      </c>
      <c r="E1028" s="1">
        <v>1392.07</v>
      </c>
      <c r="F1028" s="1">
        <v>325.39</v>
      </c>
      <c r="G1028" s="1">
        <v>8359.23</v>
      </c>
      <c r="H1028" s="1">
        <v>943.03</v>
      </c>
      <c r="I1028" s="1">
        <v>2078.34</v>
      </c>
      <c r="J1028" s="1">
        <v>17511.25</v>
      </c>
    </row>
    <row r="1029" spans="1:10">
      <c r="A1029" s="2">
        <v>44981</v>
      </c>
      <c r="B1029" s="1">
        <v>1083.1400000000001</v>
      </c>
      <c r="C1029" s="1">
        <v>3068.63</v>
      </c>
      <c r="D1029" s="1">
        <v>752.11</v>
      </c>
      <c r="E1029" s="1">
        <v>1392.02</v>
      </c>
      <c r="F1029" s="1">
        <v>323.29000000000002</v>
      </c>
      <c r="G1029" s="1">
        <v>8324.86</v>
      </c>
      <c r="H1029" s="1">
        <v>941.09</v>
      </c>
      <c r="I1029" s="1">
        <v>2054.1799999999998</v>
      </c>
      <c r="J1029" s="1">
        <v>17465.8</v>
      </c>
    </row>
    <row r="1030" spans="1:10">
      <c r="A1030" s="2">
        <v>44984</v>
      </c>
      <c r="B1030" s="1">
        <v>1075.94</v>
      </c>
      <c r="C1030" s="1">
        <v>3006.72</v>
      </c>
      <c r="D1030" s="1">
        <v>753.98</v>
      </c>
      <c r="E1030" s="1">
        <v>1354.9</v>
      </c>
      <c r="F1030" s="1">
        <v>320.86</v>
      </c>
      <c r="G1030" s="1">
        <v>8297.66</v>
      </c>
      <c r="H1030" s="1">
        <v>935.81</v>
      </c>
      <c r="I1030" s="1">
        <v>2034.59</v>
      </c>
      <c r="J1030" s="1">
        <v>17392.7</v>
      </c>
    </row>
    <row r="1031" spans="1:10">
      <c r="A1031" s="2">
        <v>44985</v>
      </c>
      <c r="B1031" s="1">
        <v>1055.3599999999999</v>
      </c>
      <c r="C1031" s="1">
        <v>2989.58</v>
      </c>
      <c r="D1031" s="1">
        <v>757.15</v>
      </c>
      <c r="E1031" s="1">
        <v>1335.38</v>
      </c>
      <c r="F1031" s="1">
        <v>316.24</v>
      </c>
      <c r="G1031" s="1">
        <v>8290.1200000000008</v>
      </c>
      <c r="H1031" s="1">
        <v>927.62</v>
      </c>
      <c r="I1031" s="1">
        <v>2030.21</v>
      </c>
      <c r="J1031" s="1">
        <v>17303.95</v>
      </c>
    </row>
    <row r="1032" spans="1:10">
      <c r="A1032" s="2">
        <v>44986</v>
      </c>
      <c r="B1032" s="1">
        <v>1065.06</v>
      </c>
      <c r="C1032" s="1">
        <v>3055.32</v>
      </c>
      <c r="D1032" s="1">
        <v>756.42</v>
      </c>
      <c r="E1032" s="1">
        <v>1343.01</v>
      </c>
      <c r="F1032" s="1">
        <v>317.92</v>
      </c>
      <c r="G1032" s="1">
        <v>8424.5</v>
      </c>
      <c r="H1032" s="1">
        <v>930.23</v>
      </c>
      <c r="I1032" s="1">
        <v>2036.13</v>
      </c>
      <c r="J1032" s="1">
        <v>17450.900000000001</v>
      </c>
    </row>
    <row r="1033" spans="1:10">
      <c r="A1033" s="2">
        <v>44987</v>
      </c>
      <c r="B1033" s="1">
        <v>1056.95</v>
      </c>
      <c r="C1033" s="1">
        <v>2997.34</v>
      </c>
      <c r="D1033" s="1">
        <v>749.98</v>
      </c>
      <c r="E1033" s="1">
        <v>1321.55</v>
      </c>
      <c r="F1033" s="1">
        <v>315.27</v>
      </c>
      <c r="G1033" s="1">
        <v>8217.4500000000007</v>
      </c>
      <c r="H1033" s="1">
        <v>936.05</v>
      </c>
      <c r="I1033" s="1">
        <v>2042.19</v>
      </c>
      <c r="J1033" s="1">
        <v>17321.900000000001</v>
      </c>
    </row>
    <row r="1034" spans="1:10">
      <c r="A1034" s="2">
        <v>44988</v>
      </c>
      <c r="B1034" s="1">
        <v>1083.92</v>
      </c>
      <c r="C1034" s="1">
        <v>3016.02</v>
      </c>
      <c r="D1034" s="1">
        <v>764.87</v>
      </c>
      <c r="E1034" s="1">
        <v>1327.97</v>
      </c>
      <c r="F1034" s="1">
        <v>323.16000000000003</v>
      </c>
      <c r="G1034" s="1">
        <v>8267.91</v>
      </c>
      <c r="H1034" s="1">
        <v>937.6</v>
      </c>
      <c r="I1034" s="1">
        <v>2071.5</v>
      </c>
      <c r="J1034" s="1">
        <v>17594.349999999999</v>
      </c>
    </row>
    <row r="1035" spans="1:10">
      <c r="A1035" s="2">
        <v>44991</v>
      </c>
      <c r="B1035" s="1">
        <v>1094.5</v>
      </c>
      <c r="C1035" s="1">
        <v>3042.82</v>
      </c>
      <c r="D1035" s="1">
        <v>770.26</v>
      </c>
      <c r="E1035" s="1">
        <v>1353.24</v>
      </c>
      <c r="F1035" s="1">
        <v>325.85000000000002</v>
      </c>
      <c r="G1035" s="1">
        <v>8296.94</v>
      </c>
      <c r="H1035" s="1">
        <v>936</v>
      </c>
      <c r="I1035" s="1">
        <v>2061.0100000000002</v>
      </c>
      <c r="J1035" s="1">
        <v>17711.45</v>
      </c>
    </row>
    <row r="1036" spans="1:10">
      <c r="A1036" s="2">
        <v>44993</v>
      </c>
      <c r="B1036" s="1">
        <v>1098.43</v>
      </c>
      <c r="C1036" s="1">
        <v>3059.56</v>
      </c>
      <c r="D1036" s="1">
        <v>771.8</v>
      </c>
      <c r="E1036" s="1">
        <v>1340</v>
      </c>
      <c r="F1036" s="1">
        <v>329.42</v>
      </c>
      <c r="G1036" s="1">
        <v>8356.9699999999993</v>
      </c>
      <c r="H1036" s="1">
        <v>928.49</v>
      </c>
      <c r="I1036" s="1">
        <v>2089.5500000000002</v>
      </c>
      <c r="J1036" s="1">
        <v>17754.400000000001</v>
      </c>
    </row>
    <row r="1037" spans="1:10">
      <c r="A1037" s="2">
        <v>44994</v>
      </c>
      <c r="B1037" s="1">
        <v>1072.03</v>
      </c>
      <c r="C1037" s="1">
        <v>3011.24</v>
      </c>
      <c r="D1037" s="1">
        <v>771.87</v>
      </c>
      <c r="E1037" s="1">
        <v>1328.96</v>
      </c>
      <c r="F1037" s="1">
        <v>325.31</v>
      </c>
      <c r="G1037" s="1">
        <v>8210.91</v>
      </c>
      <c r="H1037" s="1">
        <v>923.83</v>
      </c>
      <c r="I1037" s="1">
        <v>2111.11</v>
      </c>
      <c r="J1037" s="1">
        <v>17589.599999999999</v>
      </c>
    </row>
    <row r="1038" spans="1:10">
      <c r="A1038" s="2">
        <v>44995</v>
      </c>
      <c r="B1038" s="1">
        <v>1055.42</v>
      </c>
      <c r="C1038" s="1">
        <v>3005.96</v>
      </c>
      <c r="D1038" s="1">
        <v>751.97</v>
      </c>
      <c r="E1038" s="1">
        <v>1321.01</v>
      </c>
      <c r="F1038" s="1">
        <v>325.73</v>
      </c>
      <c r="G1038" s="1">
        <v>8268.2000000000007</v>
      </c>
      <c r="H1038" s="1">
        <v>926.6</v>
      </c>
      <c r="I1038" s="1">
        <v>2077.08</v>
      </c>
      <c r="J1038" s="1">
        <v>17412.900000000001</v>
      </c>
    </row>
    <row r="1039" spans="1:10">
      <c r="A1039" s="2">
        <v>44998</v>
      </c>
      <c r="B1039" s="1">
        <v>1038.07</v>
      </c>
      <c r="C1039" s="1">
        <v>2961.69</v>
      </c>
      <c r="D1039" s="1">
        <v>742.46</v>
      </c>
      <c r="E1039" s="1">
        <v>1288.29</v>
      </c>
      <c r="F1039" s="1">
        <v>322.07</v>
      </c>
      <c r="G1039" s="1">
        <v>8188.27</v>
      </c>
      <c r="H1039" s="1">
        <v>925.19</v>
      </c>
      <c r="I1039" s="1">
        <v>2053.98</v>
      </c>
      <c r="J1039" s="1">
        <v>17154.3</v>
      </c>
    </row>
    <row r="1040" spans="1:10">
      <c r="A1040" s="2">
        <v>44999</v>
      </c>
      <c r="B1040" s="1">
        <v>1034.18</v>
      </c>
      <c r="C1040" s="1">
        <v>2901.23</v>
      </c>
      <c r="D1040" s="1">
        <v>740.47</v>
      </c>
      <c r="E1040" s="1">
        <v>1274.74</v>
      </c>
      <c r="F1040" s="1">
        <v>318.76</v>
      </c>
      <c r="G1040" s="1">
        <v>8182.26</v>
      </c>
      <c r="H1040" s="1">
        <v>928.2</v>
      </c>
      <c r="I1040" s="1">
        <v>2063.9499999999998</v>
      </c>
      <c r="J1040" s="1">
        <v>17043.3</v>
      </c>
    </row>
    <row r="1041" spans="1:10">
      <c r="A1041" s="2">
        <v>45000</v>
      </c>
      <c r="B1041" s="1">
        <v>1016.51</v>
      </c>
      <c r="C1041" s="1">
        <v>2886.75</v>
      </c>
      <c r="D1041" s="1">
        <v>729.84</v>
      </c>
      <c r="E1041" s="1">
        <v>1274.42</v>
      </c>
      <c r="F1041" s="1">
        <v>318.51</v>
      </c>
      <c r="G1041" s="1">
        <v>8146.51</v>
      </c>
      <c r="H1041" s="1">
        <v>922.57</v>
      </c>
      <c r="I1041" s="1">
        <v>2095.1799999999998</v>
      </c>
      <c r="J1041" s="1">
        <v>16972.150000000001</v>
      </c>
    </row>
    <row r="1042" spans="1:10">
      <c r="A1042" s="2">
        <v>45001</v>
      </c>
      <c r="B1042" s="1">
        <v>1011.44</v>
      </c>
      <c r="C1042" s="1">
        <v>2874.2</v>
      </c>
      <c r="D1042" s="1">
        <v>734.57</v>
      </c>
      <c r="E1042" s="1">
        <v>1260.46</v>
      </c>
      <c r="F1042" s="1">
        <v>320.23</v>
      </c>
      <c r="G1042" s="1">
        <v>8110.46</v>
      </c>
      <c r="H1042" s="1">
        <v>938.09</v>
      </c>
      <c r="I1042" s="1">
        <v>2092.25</v>
      </c>
      <c r="J1042" s="1">
        <v>16985.599999999999</v>
      </c>
    </row>
    <row r="1043" spans="1:10">
      <c r="A1043" s="2">
        <v>45002</v>
      </c>
      <c r="B1043" s="1">
        <v>1010.17</v>
      </c>
      <c r="C1043" s="1">
        <v>2869.06</v>
      </c>
      <c r="D1043" s="1">
        <v>744.4</v>
      </c>
      <c r="E1043" s="1">
        <v>1275.3599999999999</v>
      </c>
      <c r="F1043" s="1">
        <v>315.27</v>
      </c>
      <c r="G1043" s="1">
        <v>7994.53</v>
      </c>
      <c r="H1043" s="1">
        <v>928.68</v>
      </c>
      <c r="I1043" s="1">
        <v>2113.5700000000002</v>
      </c>
      <c r="J1043" s="1">
        <v>17100.05</v>
      </c>
    </row>
    <row r="1044" spans="1:10">
      <c r="A1044" s="2">
        <v>45005</v>
      </c>
      <c r="B1044" s="1">
        <v>1000.24</v>
      </c>
      <c r="C1044" s="1">
        <v>2836.57</v>
      </c>
      <c r="D1044" s="1">
        <v>739.24</v>
      </c>
      <c r="E1044" s="1">
        <v>1260.06</v>
      </c>
      <c r="F1044" s="1">
        <v>318</v>
      </c>
      <c r="G1044" s="1">
        <v>7901.05</v>
      </c>
      <c r="H1044" s="1">
        <v>932.08</v>
      </c>
      <c r="I1044" s="1">
        <v>2096.0500000000002</v>
      </c>
      <c r="J1044" s="1">
        <v>16988.400000000001</v>
      </c>
    </row>
    <row r="1045" spans="1:10">
      <c r="A1045" s="2">
        <v>45006</v>
      </c>
      <c r="B1045" s="1">
        <v>1031.3399999999999</v>
      </c>
      <c r="C1045" s="1">
        <v>2803</v>
      </c>
      <c r="D1045" s="1">
        <v>747.62</v>
      </c>
      <c r="E1045" s="1">
        <v>1248.43</v>
      </c>
      <c r="F1045" s="1">
        <v>316.45</v>
      </c>
      <c r="G1045" s="1">
        <v>7909.51</v>
      </c>
      <c r="H1045" s="1">
        <v>927.23</v>
      </c>
      <c r="I1045" s="1">
        <v>2125.79</v>
      </c>
      <c r="J1045" s="1">
        <v>17107.5</v>
      </c>
    </row>
    <row r="1046" spans="1:10">
      <c r="A1046" s="2">
        <v>45007</v>
      </c>
      <c r="B1046" s="1">
        <v>1034.48</v>
      </c>
      <c r="C1046" s="1">
        <v>2825.29</v>
      </c>
      <c r="D1046" s="1">
        <v>745.89</v>
      </c>
      <c r="E1046" s="1">
        <v>1247.1300000000001</v>
      </c>
      <c r="F1046" s="1">
        <v>317.12</v>
      </c>
      <c r="G1046" s="1">
        <v>7932.58</v>
      </c>
      <c r="H1046" s="1">
        <v>942.6</v>
      </c>
      <c r="I1046" s="1">
        <v>2131.08</v>
      </c>
      <c r="J1046" s="1">
        <v>17151.900000000001</v>
      </c>
    </row>
    <row r="1047" spans="1:10">
      <c r="A1047" s="2">
        <v>45008</v>
      </c>
      <c r="B1047" s="1">
        <v>1021.39</v>
      </c>
      <c r="C1047" s="1">
        <v>2819.74</v>
      </c>
      <c r="D1047" s="1">
        <v>739.9</v>
      </c>
      <c r="E1047" s="1">
        <v>1233.94</v>
      </c>
      <c r="F1047" s="1">
        <v>319.55</v>
      </c>
      <c r="G1047" s="1">
        <v>8029.47</v>
      </c>
      <c r="H1047" s="1">
        <v>948.03</v>
      </c>
      <c r="I1047" s="1">
        <v>2124.06</v>
      </c>
      <c r="J1047" s="1">
        <v>17076.900000000001</v>
      </c>
    </row>
    <row r="1048" spans="1:10">
      <c r="A1048" s="2">
        <v>45009</v>
      </c>
      <c r="B1048" s="1">
        <v>1001.17</v>
      </c>
      <c r="C1048" s="1">
        <v>2816</v>
      </c>
      <c r="D1048" s="1">
        <v>738.72</v>
      </c>
      <c r="E1048" s="1">
        <v>1239.4100000000001</v>
      </c>
      <c r="F1048" s="1">
        <v>317.92</v>
      </c>
      <c r="G1048" s="1">
        <v>7923.45</v>
      </c>
      <c r="H1048" s="1">
        <v>943.37</v>
      </c>
      <c r="I1048" s="1">
        <v>2085.0700000000002</v>
      </c>
      <c r="J1048" s="1">
        <v>16945.05</v>
      </c>
    </row>
    <row r="1049" spans="1:10">
      <c r="A1049" s="2">
        <v>45012</v>
      </c>
      <c r="B1049" s="1">
        <v>1016.73</v>
      </c>
      <c r="C1049" s="1">
        <v>2817.62</v>
      </c>
      <c r="D1049" s="1">
        <v>741.94</v>
      </c>
      <c r="E1049" s="1">
        <v>1246.8599999999999</v>
      </c>
      <c r="F1049" s="1">
        <v>319.18</v>
      </c>
      <c r="G1049" s="1">
        <v>7957.52</v>
      </c>
      <c r="H1049" s="1">
        <v>953.65</v>
      </c>
      <c r="I1049" s="1">
        <v>2073.38</v>
      </c>
      <c r="J1049" s="1">
        <v>16985.7</v>
      </c>
    </row>
    <row r="1050" spans="1:10">
      <c r="A1050" s="2">
        <v>45013</v>
      </c>
      <c r="B1050" s="1">
        <v>1021.48</v>
      </c>
      <c r="C1050" s="1">
        <v>2811.85</v>
      </c>
      <c r="D1050" s="1">
        <v>747.97</v>
      </c>
      <c r="E1050" s="1">
        <v>1236.67</v>
      </c>
      <c r="F1050" s="1">
        <v>318.8</v>
      </c>
      <c r="G1050" s="1">
        <v>7890.67</v>
      </c>
      <c r="H1050" s="1">
        <v>954.38</v>
      </c>
      <c r="I1050" s="1">
        <v>2053.7399999999998</v>
      </c>
      <c r="J1050" s="1">
        <v>16951.7</v>
      </c>
    </row>
    <row r="1051" spans="1:10">
      <c r="A1051" s="2">
        <v>45014</v>
      </c>
      <c r="B1051" s="1">
        <v>1015.44</v>
      </c>
      <c r="C1051" s="1">
        <v>2832.6</v>
      </c>
      <c r="D1051" s="1">
        <v>751.57</v>
      </c>
      <c r="E1051" s="1">
        <v>1242.02</v>
      </c>
      <c r="F1051" s="1">
        <v>321.32</v>
      </c>
      <c r="G1051" s="1">
        <v>7973.82</v>
      </c>
      <c r="H1051" s="1">
        <v>961.85</v>
      </c>
      <c r="I1051" s="1">
        <v>2067.0700000000002</v>
      </c>
      <c r="J1051" s="1">
        <v>17080.7</v>
      </c>
    </row>
    <row r="1052" spans="1:10">
      <c r="A1052" s="2">
        <v>45016</v>
      </c>
      <c r="B1052" s="1">
        <v>1059.22</v>
      </c>
      <c r="C1052" s="1">
        <v>2893.06</v>
      </c>
      <c r="D1052" s="1">
        <v>761.86</v>
      </c>
      <c r="E1052" s="1">
        <v>1281.8699999999999</v>
      </c>
      <c r="F1052" s="1">
        <v>321.95</v>
      </c>
      <c r="G1052" s="1">
        <v>7970.79</v>
      </c>
      <c r="H1052" s="1">
        <v>953.31</v>
      </c>
      <c r="I1052" s="1">
        <v>2083.1999999999998</v>
      </c>
      <c r="J1052" s="1">
        <v>17359.75</v>
      </c>
    </row>
    <row r="1053" spans="1:10">
      <c r="A1053" s="2">
        <v>45019</v>
      </c>
      <c r="B1053" s="1">
        <v>1059.4000000000001</v>
      </c>
      <c r="C1053" s="1">
        <v>2887.74</v>
      </c>
      <c r="D1053" s="1">
        <v>762.34</v>
      </c>
      <c r="E1053" s="1">
        <v>1266.52</v>
      </c>
      <c r="F1053" s="1">
        <v>318.08999999999997</v>
      </c>
      <c r="G1053" s="1">
        <v>8173.52</v>
      </c>
      <c r="H1053" s="1">
        <v>949.39</v>
      </c>
      <c r="I1053" s="1">
        <v>2088.92</v>
      </c>
      <c r="J1053" s="1">
        <v>17398.05</v>
      </c>
    </row>
    <row r="1054" spans="1:10">
      <c r="A1054" s="2">
        <v>45021</v>
      </c>
      <c r="B1054" s="1">
        <v>1056.8599999999999</v>
      </c>
      <c r="C1054" s="1">
        <v>2923.66</v>
      </c>
      <c r="D1054" s="1">
        <v>782.78</v>
      </c>
      <c r="E1054" s="1">
        <v>1277.92</v>
      </c>
      <c r="F1054" s="1">
        <v>324.38</v>
      </c>
      <c r="G1054" s="1">
        <v>8119.69</v>
      </c>
      <c r="H1054" s="1">
        <v>966.94</v>
      </c>
      <c r="I1054" s="1">
        <v>2173.25</v>
      </c>
      <c r="J1054" s="1">
        <v>17557.05</v>
      </c>
    </row>
    <row r="1055" spans="1:10">
      <c r="A1055" s="2">
        <v>45022</v>
      </c>
      <c r="B1055" s="1">
        <v>1063.94</v>
      </c>
      <c r="C1055" s="1">
        <v>2906.42</v>
      </c>
      <c r="D1055" s="1">
        <v>788.75</v>
      </c>
      <c r="E1055" s="1">
        <v>1276.44</v>
      </c>
      <c r="F1055" s="1">
        <v>325.18</v>
      </c>
      <c r="G1055" s="1">
        <v>8186.59</v>
      </c>
      <c r="H1055" s="1">
        <v>981.43</v>
      </c>
      <c r="I1055" s="1">
        <v>2189.13</v>
      </c>
      <c r="J1055" s="1">
        <v>17599.150000000001</v>
      </c>
    </row>
    <row r="1056" spans="1:10">
      <c r="A1056" s="2">
        <v>45026</v>
      </c>
      <c r="B1056" s="1">
        <v>1056.4000000000001</v>
      </c>
      <c r="C1056" s="1">
        <v>2944.95</v>
      </c>
      <c r="D1056" s="1">
        <v>785.01</v>
      </c>
      <c r="E1056" s="1">
        <v>1281.56</v>
      </c>
      <c r="F1056" s="1">
        <v>326.19</v>
      </c>
      <c r="G1056" s="1">
        <v>8204.3700000000008</v>
      </c>
      <c r="H1056" s="1">
        <v>978.04</v>
      </c>
      <c r="I1056" s="1">
        <v>2223.25</v>
      </c>
      <c r="J1056" s="1">
        <v>17624.05</v>
      </c>
    </row>
    <row r="1057" spans="1:10">
      <c r="A1057" s="2">
        <v>45027</v>
      </c>
      <c r="B1057" s="1">
        <v>1061.6300000000001</v>
      </c>
      <c r="C1057" s="1">
        <v>2900.19</v>
      </c>
      <c r="D1057" s="1">
        <v>787.3</v>
      </c>
      <c r="E1057" s="1">
        <v>1262.3</v>
      </c>
      <c r="F1057" s="1">
        <v>332.44</v>
      </c>
      <c r="G1057" s="1">
        <v>8323.9500000000007</v>
      </c>
      <c r="H1057" s="1">
        <v>978.67</v>
      </c>
      <c r="I1057" s="1">
        <v>2215.36</v>
      </c>
      <c r="J1057" s="1">
        <v>17722.3</v>
      </c>
    </row>
    <row r="1058" spans="1:10">
      <c r="A1058" s="2">
        <v>45028</v>
      </c>
      <c r="B1058" s="1">
        <v>1066.31</v>
      </c>
      <c r="C1058" s="1">
        <v>2925.33</v>
      </c>
      <c r="D1058" s="1">
        <v>797.53</v>
      </c>
      <c r="E1058" s="1">
        <v>1282.19</v>
      </c>
      <c r="F1058" s="1">
        <v>330.38</v>
      </c>
      <c r="G1058" s="1">
        <v>8286.94</v>
      </c>
      <c r="H1058" s="1">
        <v>985.89</v>
      </c>
      <c r="I1058" s="1">
        <v>2202.84</v>
      </c>
      <c r="J1058" s="1">
        <v>17812.400000000001</v>
      </c>
    </row>
    <row r="1059" spans="1:10">
      <c r="A1059" s="2">
        <v>45029</v>
      </c>
      <c r="B1059" s="1">
        <v>1070.33</v>
      </c>
      <c r="C1059" s="1">
        <v>2877.68</v>
      </c>
      <c r="D1059" s="1">
        <v>801.1</v>
      </c>
      <c r="E1059" s="1">
        <v>1247.0899999999999</v>
      </c>
      <c r="F1059" s="1">
        <v>332.11</v>
      </c>
      <c r="G1059" s="1">
        <v>8334.77</v>
      </c>
      <c r="H1059" s="1">
        <v>973.09</v>
      </c>
      <c r="I1059" s="1">
        <v>2174.21</v>
      </c>
      <c r="J1059" s="1">
        <v>17828</v>
      </c>
    </row>
    <row r="1060" spans="1:10">
      <c r="A1060" s="2">
        <v>45033</v>
      </c>
      <c r="B1060" s="1">
        <v>1075.76</v>
      </c>
      <c r="C1060" s="1">
        <v>2833.14</v>
      </c>
      <c r="D1060" s="1">
        <v>788.89</v>
      </c>
      <c r="E1060" s="1">
        <v>1129.58</v>
      </c>
      <c r="F1060" s="1">
        <v>335.92</v>
      </c>
      <c r="G1060" s="1">
        <v>8338.4699999999993</v>
      </c>
      <c r="H1060" s="1">
        <v>968.44</v>
      </c>
      <c r="I1060" s="1">
        <v>2131.13</v>
      </c>
      <c r="J1060" s="1">
        <v>17706.849999999999</v>
      </c>
    </row>
    <row r="1061" spans="1:10">
      <c r="A1061" s="2">
        <v>45034</v>
      </c>
      <c r="B1061" s="1">
        <v>1063.44</v>
      </c>
      <c r="C1061" s="1">
        <v>2825.25</v>
      </c>
      <c r="D1061" s="1">
        <v>785.55</v>
      </c>
      <c r="E1061" s="1">
        <v>1130.52</v>
      </c>
      <c r="F1061" s="1">
        <v>334.54</v>
      </c>
      <c r="G1061" s="1">
        <v>8394.2199999999993</v>
      </c>
      <c r="H1061" s="1">
        <v>974.35</v>
      </c>
      <c r="I1061" s="1">
        <v>2133.64</v>
      </c>
      <c r="J1061" s="1">
        <v>17660.150000000001</v>
      </c>
    </row>
    <row r="1062" spans="1:10">
      <c r="A1062" s="2">
        <v>45035</v>
      </c>
      <c r="B1062" s="1">
        <v>1068.74</v>
      </c>
      <c r="C1062" s="1">
        <v>2788.11</v>
      </c>
      <c r="D1062" s="1">
        <v>788.44</v>
      </c>
      <c r="E1062" s="1">
        <v>1106.1500000000001</v>
      </c>
      <c r="F1062" s="1">
        <v>334.75</v>
      </c>
      <c r="G1062" s="1">
        <v>8343.56</v>
      </c>
      <c r="H1062" s="1">
        <v>965.34</v>
      </c>
      <c r="I1062" s="1">
        <v>2136.52</v>
      </c>
      <c r="J1062" s="1">
        <v>17618.75</v>
      </c>
    </row>
    <row r="1063" spans="1:10">
      <c r="A1063" s="2">
        <v>45036</v>
      </c>
      <c r="B1063" s="1">
        <v>1066.03</v>
      </c>
      <c r="C1063" s="1">
        <v>2801.83</v>
      </c>
      <c r="D1063" s="1">
        <v>791.38</v>
      </c>
      <c r="E1063" s="1">
        <v>1098.25</v>
      </c>
      <c r="F1063" s="1">
        <v>336.05</v>
      </c>
      <c r="G1063" s="1">
        <v>8376.92</v>
      </c>
      <c r="H1063" s="1">
        <v>957.82</v>
      </c>
      <c r="I1063" s="1">
        <v>2149.1799999999998</v>
      </c>
      <c r="J1063" s="1">
        <v>17624.45</v>
      </c>
    </row>
    <row r="1064" spans="1:10">
      <c r="A1064" s="2">
        <v>45037</v>
      </c>
      <c r="B1064" s="1">
        <v>1067.3800000000001</v>
      </c>
      <c r="C1064" s="1">
        <v>2852.41</v>
      </c>
      <c r="D1064" s="1">
        <v>792.65</v>
      </c>
      <c r="E1064" s="1">
        <v>1101.79</v>
      </c>
      <c r="F1064" s="1">
        <v>342.72</v>
      </c>
      <c r="G1064" s="1">
        <v>8226.77</v>
      </c>
      <c r="H1064" s="1">
        <v>959.47</v>
      </c>
      <c r="I1064" s="1">
        <v>2132.29</v>
      </c>
      <c r="J1064" s="1">
        <v>17624.05</v>
      </c>
    </row>
    <row r="1065" spans="1:10">
      <c r="A1065" s="2">
        <v>45040</v>
      </c>
      <c r="B1065" s="1">
        <v>1071.47</v>
      </c>
      <c r="C1065" s="1">
        <v>2865</v>
      </c>
      <c r="D1065" s="1">
        <v>799.07</v>
      </c>
      <c r="E1065" s="1">
        <v>1100.8499999999999</v>
      </c>
      <c r="F1065" s="1">
        <v>343.1</v>
      </c>
      <c r="G1065" s="1">
        <v>8138.05</v>
      </c>
      <c r="H1065" s="1">
        <v>949.48</v>
      </c>
      <c r="I1065" s="1">
        <v>2145.48</v>
      </c>
      <c r="J1065" s="1">
        <v>17743.400000000001</v>
      </c>
    </row>
    <row r="1066" spans="1:10">
      <c r="A1066" s="2">
        <v>45041</v>
      </c>
      <c r="B1066" s="1">
        <v>1079.67</v>
      </c>
      <c r="C1066" s="1">
        <v>2866.08</v>
      </c>
      <c r="D1066" s="1">
        <v>787.71</v>
      </c>
      <c r="E1066" s="1">
        <v>1099.5899999999999</v>
      </c>
      <c r="F1066" s="1">
        <v>345.5</v>
      </c>
      <c r="G1066" s="1">
        <v>8140.69</v>
      </c>
      <c r="H1066" s="1">
        <v>943.03</v>
      </c>
      <c r="I1066" s="1">
        <v>2163.81</v>
      </c>
      <c r="J1066" s="1">
        <v>17769.25</v>
      </c>
    </row>
    <row r="1067" spans="1:10">
      <c r="A1067" s="2">
        <v>45042</v>
      </c>
      <c r="B1067" s="1">
        <v>1073.33</v>
      </c>
      <c r="C1067" s="1">
        <v>2886.07</v>
      </c>
      <c r="D1067" s="1">
        <v>791.33</v>
      </c>
      <c r="E1067" s="1">
        <v>1101.97</v>
      </c>
      <c r="F1067" s="1">
        <v>346.08</v>
      </c>
      <c r="G1067" s="1">
        <v>8177.22</v>
      </c>
      <c r="H1067" s="1">
        <v>941.82</v>
      </c>
      <c r="I1067" s="1">
        <v>2190.96</v>
      </c>
      <c r="J1067" s="1">
        <v>17813.599999999999</v>
      </c>
    </row>
    <row r="1068" spans="1:10">
      <c r="A1068" s="2">
        <v>45043</v>
      </c>
      <c r="B1068" s="1">
        <v>1080.1199999999999</v>
      </c>
      <c r="C1068" s="1">
        <v>2876.87</v>
      </c>
      <c r="D1068" s="1">
        <v>795.68</v>
      </c>
      <c r="E1068" s="1">
        <v>1118.76</v>
      </c>
      <c r="F1068" s="1">
        <v>349.23</v>
      </c>
      <c r="G1068" s="1">
        <v>8211.8700000000008</v>
      </c>
      <c r="H1068" s="1">
        <v>949.05</v>
      </c>
      <c r="I1068" s="1">
        <v>2219.3000000000002</v>
      </c>
      <c r="J1068" s="1">
        <v>17915.05</v>
      </c>
    </row>
    <row r="1069" spans="1:10">
      <c r="A1069" s="2">
        <v>45044</v>
      </c>
      <c r="B1069" s="1">
        <v>1099.8599999999999</v>
      </c>
      <c r="C1069" s="1">
        <v>2905.11</v>
      </c>
      <c r="D1069" s="1">
        <v>798.81</v>
      </c>
      <c r="E1069" s="1">
        <v>1124.5999999999999</v>
      </c>
      <c r="F1069" s="1">
        <v>357.25</v>
      </c>
      <c r="G1069" s="1">
        <v>8256.66</v>
      </c>
      <c r="H1069" s="1">
        <v>957.72</v>
      </c>
      <c r="I1069" s="1">
        <v>2275.9</v>
      </c>
      <c r="J1069" s="1">
        <v>18065</v>
      </c>
    </row>
    <row r="1070" spans="1:10">
      <c r="A1070" s="2">
        <v>45048</v>
      </c>
      <c r="B1070" s="1">
        <v>1109.2</v>
      </c>
      <c r="C1070" s="1">
        <v>2905.25</v>
      </c>
      <c r="D1070" s="1">
        <v>798.64</v>
      </c>
      <c r="E1070" s="1">
        <v>1146.77</v>
      </c>
      <c r="F1070" s="1">
        <v>356.32</v>
      </c>
      <c r="G1070" s="1">
        <v>8436.7099999999991</v>
      </c>
      <c r="H1070" s="1">
        <v>943.57</v>
      </c>
      <c r="I1070" s="1">
        <v>2295.1999999999998</v>
      </c>
      <c r="J1070" s="1">
        <v>18147.650000000001</v>
      </c>
    </row>
    <row r="1071" spans="1:10">
      <c r="A1071" s="2">
        <v>45049</v>
      </c>
      <c r="B1071" s="1">
        <v>1099.68</v>
      </c>
      <c r="C1071" s="1">
        <v>2869.6</v>
      </c>
      <c r="D1071" s="1">
        <v>801.43</v>
      </c>
      <c r="E1071" s="1">
        <v>1139.32</v>
      </c>
      <c r="F1071" s="1">
        <v>358.59</v>
      </c>
      <c r="G1071" s="1">
        <v>8456.36</v>
      </c>
      <c r="H1071" s="1">
        <v>934.4</v>
      </c>
      <c r="I1071" s="1">
        <v>2268.11</v>
      </c>
      <c r="J1071" s="1">
        <v>18089.849999999999</v>
      </c>
    </row>
    <row r="1072" spans="1:10">
      <c r="A1072" s="2">
        <v>45050</v>
      </c>
      <c r="B1072" s="1">
        <v>1112.3599999999999</v>
      </c>
      <c r="C1072" s="1">
        <v>2906.42</v>
      </c>
      <c r="D1072" s="1">
        <v>817.84</v>
      </c>
      <c r="E1072" s="1">
        <v>1143.27</v>
      </c>
      <c r="F1072" s="1">
        <v>356.45</v>
      </c>
      <c r="G1072" s="1">
        <v>8459.5300000000007</v>
      </c>
      <c r="H1072" s="1">
        <v>944.49</v>
      </c>
      <c r="I1072" s="1">
        <v>2268.6799999999998</v>
      </c>
      <c r="J1072" s="1">
        <v>18255.8</v>
      </c>
    </row>
    <row r="1073" spans="1:10">
      <c r="A1073" s="2">
        <v>45051</v>
      </c>
      <c r="B1073" s="1">
        <v>1109.52</v>
      </c>
      <c r="C1073" s="1">
        <v>2915.45</v>
      </c>
      <c r="D1073" s="1">
        <v>769.48</v>
      </c>
      <c r="E1073" s="1">
        <v>1130.3</v>
      </c>
      <c r="F1073" s="1">
        <v>359.93</v>
      </c>
      <c r="G1073" s="1">
        <v>8601.85</v>
      </c>
      <c r="H1073" s="1">
        <v>941.05</v>
      </c>
      <c r="I1073" s="1">
        <v>2288.5100000000002</v>
      </c>
      <c r="J1073" s="1">
        <v>18069</v>
      </c>
    </row>
    <row r="1074" spans="1:10">
      <c r="A1074" s="2">
        <v>45054</v>
      </c>
      <c r="B1074" s="1">
        <v>1123.22</v>
      </c>
      <c r="C1074" s="1">
        <v>2933.4</v>
      </c>
      <c r="D1074" s="1">
        <v>778.38</v>
      </c>
      <c r="E1074" s="1">
        <v>1136.1300000000001</v>
      </c>
      <c r="F1074" s="1">
        <v>362.2</v>
      </c>
      <c r="G1074" s="1">
        <v>8724.5</v>
      </c>
      <c r="H1074" s="1">
        <v>932.71</v>
      </c>
      <c r="I1074" s="1">
        <v>2276.87</v>
      </c>
      <c r="J1074" s="1">
        <v>18264.400000000001</v>
      </c>
    </row>
    <row r="1075" spans="1:10">
      <c r="A1075" s="2">
        <v>45055</v>
      </c>
      <c r="B1075" s="1">
        <v>1126.7</v>
      </c>
      <c r="C1075" s="1">
        <v>2962.87</v>
      </c>
      <c r="D1075" s="1">
        <v>778.41</v>
      </c>
      <c r="E1075" s="1">
        <v>1140.71</v>
      </c>
      <c r="F1075" s="1">
        <v>355.78</v>
      </c>
      <c r="G1075" s="1">
        <v>8758.43</v>
      </c>
      <c r="H1075" s="1">
        <v>928.44</v>
      </c>
      <c r="I1075" s="1">
        <v>2285.48</v>
      </c>
      <c r="J1075" s="1">
        <v>18265.95</v>
      </c>
    </row>
    <row r="1076" spans="1:10">
      <c r="A1076" s="2">
        <v>45056</v>
      </c>
      <c r="B1076" s="1">
        <v>1134.44</v>
      </c>
      <c r="C1076" s="1">
        <v>2966.07</v>
      </c>
      <c r="D1076" s="1">
        <v>782</v>
      </c>
      <c r="E1076" s="1">
        <v>1134.02</v>
      </c>
      <c r="F1076" s="1">
        <v>357.08</v>
      </c>
      <c r="G1076" s="1">
        <v>8812.84</v>
      </c>
      <c r="H1076" s="1">
        <v>924.9</v>
      </c>
      <c r="I1076" s="1">
        <v>2275.9499999999998</v>
      </c>
      <c r="J1076" s="1">
        <v>18315.099999999999</v>
      </c>
    </row>
    <row r="1077" spans="1:10">
      <c r="A1077" s="2">
        <v>45057</v>
      </c>
      <c r="B1077" s="1">
        <v>1127.04</v>
      </c>
      <c r="C1077" s="1">
        <v>2961.87</v>
      </c>
      <c r="D1077" s="1">
        <v>782.52</v>
      </c>
      <c r="E1077" s="1">
        <v>1127.5999999999999</v>
      </c>
      <c r="F1077" s="1">
        <v>352.92</v>
      </c>
      <c r="G1077" s="1">
        <v>8902</v>
      </c>
      <c r="H1077" s="1">
        <v>931.93</v>
      </c>
      <c r="I1077" s="1">
        <v>2158.23</v>
      </c>
      <c r="J1077" s="1">
        <v>18297</v>
      </c>
    </row>
    <row r="1078" spans="1:10">
      <c r="A1078" s="2">
        <v>45058</v>
      </c>
      <c r="B1078" s="1">
        <v>1128.8800000000001</v>
      </c>
      <c r="C1078" s="1">
        <v>2954.79</v>
      </c>
      <c r="D1078" s="1">
        <v>789.43</v>
      </c>
      <c r="E1078" s="1">
        <v>1117.82</v>
      </c>
      <c r="F1078" s="1">
        <v>352.97</v>
      </c>
      <c r="G1078" s="1">
        <v>8935.16</v>
      </c>
      <c r="H1078" s="1">
        <v>927.03</v>
      </c>
      <c r="I1078" s="1">
        <v>2137.9699999999998</v>
      </c>
      <c r="J1078" s="1">
        <v>18314.8</v>
      </c>
    </row>
    <row r="1079" spans="1:10">
      <c r="A1079" s="2">
        <v>45061</v>
      </c>
      <c r="B1079" s="1">
        <v>1131.0999999999999</v>
      </c>
      <c r="C1079" s="1">
        <v>2937.42</v>
      </c>
      <c r="D1079" s="1">
        <v>793.22</v>
      </c>
      <c r="E1079" s="1">
        <v>1129.6199999999999</v>
      </c>
      <c r="F1079" s="1">
        <v>359.14</v>
      </c>
      <c r="G1079" s="1">
        <v>8850.4699999999993</v>
      </c>
      <c r="H1079" s="1">
        <v>924.12</v>
      </c>
      <c r="I1079" s="1">
        <v>2162.75</v>
      </c>
      <c r="J1079" s="1">
        <v>18398.849999999999</v>
      </c>
    </row>
    <row r="1080" spans="1:10">
      <c r="A1080" s="2">
        <v>45062</v>
      </c>
      <c r="B1080" s="1">
        <v>1115</v>
      </c>
      <c r="C1080" s="1">
        <v>2940.22</v>
      </c>
      <c r="D1080" s="1">
        <v>788.67</v>
      </c>
      <c r="E1080" s="1">
        <v>1134.96</v>
      </c>
      <c r="F1080" s="1">
        <v>355.9</v>
      </c>
      <c r="G1080" s="1">
        <v>8719.7900000000009</v>
      </c>
      <c r="H1080" s="1">
        <v>912.44</v>
      </c>
      <c r="I1080" s="1">
        <v>2143.84</v>
      </c>
      <c r="J1080" s="1">
        <v>18286.5</v>
      </c>
    </row>
    <row r="1081" spans="1:10">
      <c r="A1081" s="2">
        <v>45063</v>
      </c>
      <c r="B1081" s="1">
        <v>1108.4100000000001</v>
      </c>
      <c r="C1081" s="1">
        <v>2895.59</v>
      </c>
      <c r="D1081" s="1">
        <v>784.44</v>
      </c>
      <c r="E1081" s="1">
        <v>1119.3399999999999</v>
      </c>
      <c r="F1081" s="1">
        <v>358.97</v>
      </c>
      <c r="G1081" s="1">
        <v>8765.98</v>
      </c>
      <c r="H1081" s="1">
        <v>907.59</v>
      </c>
      <c r="I1081" s="1">
        <v>2136.52</v>
      </c>
      <c r="J1081" s="1">
        <v>18181.75</v>
      </c>
    </row>
    <row r="1082" spans="1:10">
      <c r="A1082" s="2">
        <v>45064</v>
      </c>
      <c r="B1082" s="1">
        <v>1106.02</v>
      </c>
      <c r="C1082" s="1">
        <v>2887.61</v>
      </c>
      <c r="D1082" s="1">
        <v>787.57</v>
      </c>
      <c r="E1082" s="1">
        <v>1118.54</v>
      </c>
      <c r="F1082" s="1">
        <v>352.34</v>
      </c>
      <c r="G1082" s="1">
        <v>8702.44</v>
      </c>
      <c r="H1082" s="1">
        <v>901.48</v>
      </c>
      <c r="I1082" s="1">
        <v>2106.3000000000002</v>
      </c>
      <c r="J1082" s="1">
        <v>18129.95</v>
      </c>
    </row>
    <row r="1083" spans="1:10">
      <c r="A1083" s="2">
        <v>45065</v>
      </c>
      <c r="B1083" s="1">
        <v>1109.6099999999999</v>
      </c>
      <c r="C1083" s="1">
        <v>2908.36</v>
      </c>
      <c r="D1083" s="1">
        <v>788.48</v>
      </c>
      <c r="E1083" s="1">
        <v>1139.0899999999999</v>
      </c>
      <c r="F1083" s="1">
        <v>352.46</v>
      </c>
      <c r="G1083" s="1">
        <v>8753.0499999999993</v>
      </c>
      <c r="H1083" s="1">
        <v>897.8</v>
      </c>
      <c r="I1083" s="1">
        <v>2108.08</v>
      </c>
      <c r="J1083" s="1">
        <v>18203.400000000001</v>
      </c>
    </row>
    <row r="1084" spans="1:10">
      <c r="A1084" s="2">
        <v>45068</v>
      </c>
      <c r="B1084" s="1">
        <v>1115.54</v>
      </c>
      <c r="C1084" s="1">
        <v>2976.81</v>
      </c>
      <c r="D1084" s="1">
        <v>785.68</v>
      </c>
      <c r="E1084" s="1">
        <v>1160.55</v>
      </c>
      <c r="F1084" s="1">
        <v>356.58</v>
      </c>
      <c r="G1084" s="1">
        <v>8801.7900000000009</v>
      </c>
      <c r="H1084" s="1">
        <v>909.05</v>
      </c>
      <c r="I1084" s="1">
        <v>2133.64</v>
      </c>
      <c r="J1084" s="1">
        <v>18314.400000000001</v>
      </c>
    </row>
    <row r="1085" spans="1:10">
      <c r="A1085" s="2">
        <v>45069</v>
      </c>
      <c r="B1085" s="1">
        <v>1115.3399999999999</v>
      </c>
      <c r="C1085" s="1">
        <v>2975.32</v>
      </c>
      <c r="D1085" s="1">
        <v>783.84</v>
      </c>
      <c r="E1085" s="1">
        <v>1167.06</v>
      </c>
      <c r="F1085" s="1">
        <v>360.27</v>
      </c>
      <c r="G1085" s="1">
        <v>8844.1299999999992</v>
      </c>
      <c r="H1085" s="1">
        <v>903.37</v>
      </c>
      <c r="I1085" s="1">
        <v>2115.39</v>
      </c>
      <c r="J1085" s="1">
        <v>18348</v>
      </c>
    </row>
    <row r="1086" spans="1:10">
      <c r="A1086" s="2">
        <v>45070</v>
      </c>
      <c r="B1086" s="1">
        <v>1108.8399999999999</v>
      </c>
      <c r="C1086" s="1">
        <v>2981.01</v>
      </c>
      <c r="D1086" s="1">
        <v>773.59</v>
      </c>
      <c r="E1086" s="1">
        <v>1165.8</v>
      </c>
      <c r="F1086" s="1">
        <v>363.92</v>
      </c>
      <c r="G1086" s="1">
        <v>8911.4599999999991</v>
      </c>
      <c r="H1086" s="1">
        <v>923.3</v>
      </c>
      <c r="I1086" s="1">
        <v>2103.36</v>
      </c>
      <c r="J1086" s="1">
        <v>18285.400000000001</v>
      </c>
    </row>
    <row r="1087" spans="1:10">
      <c r="A1087" s="2">
        <v>45071</v>
      </c>
      <c r="B1087" s="1">
        <v>1108.7</v>
      </c>
      <c r="C1087" s="1">
        <v>2972.12</v>
      </c>
      <c r="D1087" s="1">
        <v>770.62</v>
      </c>
      <c r="E1087" s="1">
        <v>1170.92</v>
      </c>
      <c r="F1087" s="1">
        <v>370.34</v>
      </c>
      <c r="G1087" s="1">
        <v>8922.1299999999992</v>
      </c>
      <c r="H1087" s="1">
        <v>916.37</v>
      </c>
      <c r="I1087" s="1">
        <v>2122.1799999999998</v>
      </c>
      <c r="J1087" s="1">
        <v>18321.150000000001</v>
      </c>
    </row>
    <row r="1088" spans="1:10">
      <c r="A1088" s="2">
        <v>45072</v>
      </c>
      <c r="B1088" s="1">
        <v>1138.94</v>
      </c>
      <c r="C1088" s="1">
        <v>3004.06</v>
      </c>
      <c r="D1088" s="1">
        <v>773.59</v>
      </c>
      <c r="E1088" s="1">
        <v>1182.68</v>
      </c>
      <c r="F1088" s="1">
        <v>372.4</v>
      </c>
      <c r="G1088" s="1">
        <v>9035.66</v>
      </c>
      <c r="H1088" s="1">
        <v>940.51</v>
      </c>
      <c r="I1088" s="1">
        <v>2135.42</v>
      </c>
      <c r="J1088" s="1">
        <v>18499.349999999999</v>
      </c>
    </row>
    <row r="1089" spans="1:10">
      <c r="A1089" s="2">
        <v>45075</v>
      </c>
      <c r="B1089" s="1">
        <v>1145.3499999999999</v>
      </c>
      <c r="C1089" s="1">
        <v>2996.35</v>
      </c>
      <c r="D1089" s="1">
        <v>783.02</v>
      </c>
      <c r="E1089" s="1">
        <v>1179.94</v>
      </c>
      <c r="F1089" s="1">
        <v>377.02</v>
      </c>
      <c r="G1089" s="1">
        <v>8971.7800000000007</v>
      </c>
      <c r="H1089" s="1">
        <v>939.11</v>
      </c>
      <c r="I1089" s="1">
        <v>2141.29</v>
      </c>
      <c r="J1089" s="1">
        <v>18598.650000000001</v>
      </c>
    </row>
    <row r="1090" spans="1:10">
      <c r="A1090" s="2">
        <v>45076</v>
      </c>
      <c r="B1090" s="1">
        <v>1145.05</v>
      </c>
      <c r="C1090" s="1">
        <v>2992.6</v>
      </c>
      <c r="D1090" s="1">
        <v>783.62</v>
      </c>
      <c r="E1090" s="1">
        <v>1188.42</v>
      </c>
      <c r="F1090" s="1">
        <v>386.17</v>
      </c>
      <c r="G1090" s="1">
        <v>9019.7000000000007</v>
      </c>
      <c r="H1090" s="1">
        <v>930.52</v>
      </c>
      <c r="I1090" s="1">
        <v>2128.0500000000002</v>
      </c>
      <c r="J1090" s="1">
        <v>18633.849999999999</v>
      </c>
    </row>
    <row r="1091" spans="1:10">
      <c r="A1091" s="2">
        <v>45077</v>
      </c>
      <c r="B1091" s="1">
        <v>1122.31</v>
      </c>
      <c r="C1091" s="1">
        <v>2968.51</v>
      </c>
      <c r="D1091" s="1">
        <v>771.22</v>
      </c>
      <c r="E1091" s="1">
        <v>1183.44</v>
      </c>
      <c r="F1091" s="1">
        <v>382.4</v>
      </c>
      <c r="G1091" s="1">
        <v>9004.66</v>
      </c>
      <c r="H1091" s="1">
        <v>945.8</v>
      </c>
      <c r="I1091" s="1">
        <v>2123.1</v>
      </c>
      <c r="J1091" s="1">
        <v>18534.400000000001</v>
      </c>
    </row>
    <row r="1092" spans="1:10">
      <c r="A1092" s="2">
        <v>45078</v>
      </c>
      <c r="B1092" s="1">
        <v>1119.29</v>
      </c>
      <c r="C1092" s="1">
        <v>2999.64</v>
      </c>
      <c r="D1092" s="1">
        <v>767.94</v>
      </c>
      <c r="E1092" s="1">
        <v>1184.52</v>
      </c>
      <c r="F1092" s="1">
        <v>377.42</v>
      </c>
      <c r="G1092" s="1">
        <v>8966.7800000000007</v>
      </c>
      <c r="H1092" s="1">
        <v>957.77</v>
      </c>
      <c r="I1092" s="1">
        <v>2125.17</v>
      </c>
      <c r="J1092" s="1">
        <v>18487.75</v>
      </c>
    </row>
    <row r="1093" spans="1:10">
      <c r="A1093" s="2">
        <v>45079</v>
      </c>
      <c r="B1093" s="1">
        <v>1115.6300000000001</v>
      </c>
      <c r="C1093" s="1">
        <v>2983.04</v>
      </c>
      <c r="D1093" s="1">
        <v>769.14</v>
      </c>
      <c r="E1093" s="1">
        <v>1181.79</v>
      </c>
      <c r="F1093" s="1">
        <v>380.59</v>
      </c>
      <c r="G1093" s="1">
        <v>9117.75</v>
      </c>
      <c r="H1093" s="1">
        <v>969.31</v>
      </c>
      <c r="I1093" s="1">
        <v>2150.91</v>
      </c>
      <c r="J1093" s="1">
        <v>18534.099999999999</v>
      </c>
    </row>
    <row r="1094" spans="1:10">
      <c r="A1094" s="2">
        <v>45082</v>
      </c>
      <c r="B1094" s="1">
        <v>1125.6500000000001</v>
      </c>
      <c r="C1094" s="1">
        <v>2967.97</v>
      </c>
      <c r="D1094" s="1">
        <v>768.13</v>
      </c>
      <c r="E1094" s="1">
        <v>1186.79</v>
      </c>
      <c r="F1094" s="1">
        <v>378.23</v>
      </c>
      <c r="G1094" s="1">
        <v>9210.75</v>
      </c>
      <c r="H1094" s="1">
        <v>978.19</v>
      </c>
      <c r="I1094" s="1">
        <v>2183.4</v>
      </c>
      <c r="J1094" s="1">
        <v>18593.849999999999</v>
      </c>
    </row>
    <row r="1095" spans="1:10">
      <c r="A1095" s="2">
        <v>45083</v>
      </c>
      <c r="B1095" s="1">
        <v>1126.6099999999999</v>
      </c>
      <c r="C1095" s="1">
        <v>2916.89</v>
      </c>
      <c r="D1095" s="1">
        <v>765.74</v>
      </c>
      <c r="E1095" s="1">
        <v>1163.5899999999999</v>
      </c>
      <c r="F1095" s="1">
        <v>380.08</v>
      </c>
      <c r="G1095" s="1">
        <v>9358.8799999999992</v>
      </c>
      <c r="H1095" s="1">
        <v>983.08</v>
      </c>
      <c r="I1095" s="1">
        <v>2192.69</v>
      </c>
      <c r="J1095" s="1">
        <v>18599</v>
      </c>
    </row>
    <row r="1096" spans="1:10">
      <c r="A1096" s="2">
        <v>45084</v>
      </c>
      <c r="B1096" s="1">
        <v>1135.1500000000001</v>
      </c>
      <c r="C1096" s="1">
        <v>2955.33</v>
      </c>
      <c r="D1096" s="1">
        <v>769.71</v>
      </c>
      <c r="E1096" s="1">
        <v>1172.6400000000001</v>
      </c>
      <c r="F1096" s="1">
        <v>381.07</v>
      </c>
      <c r="G1096" s="1">
        <v>9331.2900000000009</v>
      </c>
      <c r="H1096" s="1">
        <v>983.86</v>
      </c>
      <c r="I1096" s="1">
        <v>2228.83</v>
      </c>
      <c r="J1096" s="1">
        <v>18726.400000000001</v>
      </c>
    </row>
    <row r="1097" spans="1:10">
      <c r="A1097" s="2">
        <v>45085</v>
      </c>
      <c r="B1097" s="1">
        <v>1135.83</v>
      </c>
      <c r="C1097" s="1">
        <v>2920.63</v>
      </c>
      <c r="D1097" s="1">
        <v>770.19</v>
      </c>
      <c r="E1097" s="1">
        <v>1167.05</v>
      </c>
      <c r="F1097" s="1">
        <v>380.16</v>
      </c>
      <c r="G1097" s="1">
        <v>9284.2800000000007</v>
      </c>
      <c r="H1097" s="1">
        <v>957.09</v>
      </c>
      <c r="I1097" s="1">
        <v>2252.71</v>
      </c>
      <c r="J1097" s="1">
        <v>18634.55</v>
      </c>
    </row>
    <row r="1098" spans="1:10">
      <c r="A1098" s="2">
        <v>45086</v>
      </c>
      <c r="B1098" s="1">
        <v>1127.79</v>
      </c>
      <c r="C1098" s="1">
        <v>2896.13</v>
      </c>
      <c r="D1098" s="1">
        <v>771.1</v>
      </c>
      <c r="E1098" s="1">
        <v>1151.72</v>
      </c>
      <c r="F1098" s="1">
        <v>376.35</v>
      </c>
      <c r="G1098" s="1">
        <v>9254.68</v>
      </c>
      <c r="H1098" s="1">
        <v>954.14</v>
      </c>
      <c r="I1098" s="1">
        <v>2274.56</v>
      </c>
      <c r="J1098" s="1">
        <v>18563.400000000001</v>
      </c>
    </row>
    <row r="1099" spans="1:10">
      <c r="A1099" s="2">
        <v>45089</v>
      </c>
      <c r="B1099" s="1">
        <v>1128.79</v>
      </c>
      <c r="C1099" s="1">
        <v>2930.06</v>
      </c>
      <c r="D1099" s="1">
        <v>766.41</v>
      </c>
      <c r="E1099" s="1">
        <v>1175.3699999999999</v>
      </c>
      <c r="F1099" s="1">
        <v>375.06</v>
      </c>
      <c r="G1099" s="1">
        <v>9180.33</v>
      </c>
      <c r="H1099" s="1">
        <v>955.59</v>
      </c>
      <c r="I1099" s="1">
        <v>2252.37</v>
      </c>
      <c r="J1099" s="1">
        <v>18601.5</v>
      </c>
    </row>
    <row r="1100" spans="1:10">
      <c r="A1100" s="2">
        <v>45090</v>
      </c>
      <c r="B1100" s="1">
        <v>1145.46</v>
      </c>
      <c r="C1100" s="1">
        <v>2927.18</v>
      </c>
      <c r="D1100" s="1">
        <v>767.7</v>
      </c>
      <c r="E1100" s="1">
        <v>1187.1099999999999</v>
      </c>
      <c r="F1100" s="1">
        <v>382.31</v>
      </c>
      <c r="G1100" s="1">
        <v>9148.65</v>
      </c>
      <c r="H1100" s="1">
        <v>958.16</v>
      </c>
      <c r="I1100" s="1">
        <v>2266.2800000000002</v>
      </c>
      <c r="J1100" s="1">
        <v>18716.150000000001</v>
      </c>
    </row>
    <row r="1101" spans="1:10">
      <c r="A1101" s="2">
        <v>45091</v>
      </c>
      <c r="B1101" s="1">
        <v>1159.55</v>
      </c>
      <c r="C1101" s="1">
        <v>2933.81</v>
      </c>
      <c r="D1101" s="1">
        <v>766.87</v>
      </c>
      <c r="E1101" s="1">
        <v>1183.06</v>
      </c>
      <c r="F1101" s="1">
        <v>381.54</v>
      </c>
      <c r="G1101" s="1">
        <v>9163.07</v>
      </c>
      <c r="H1101" s="1">
        <v>956.8</v>
      </c>
      <c r="I1101" s="1">
        <v>2266.9</v>
      </c>
      <c r="J1101" s="1">
        <v>18755.900000000001</v>
      </c>
    </row>
    <row r="1102" spans="1:10">
      <c r="A1102" s="2">
        <v>45092</v>
      </c>
      <c r="B1102" s="1">
        <v>1159.8699999999999</v>
      </c>
      <c r="C1102" s="1">
        <v>2924.04</v>
      </c>
      <c r="D1102" s="1">
        <v>757.43</v>
      </c>
      <c r="E1102" s="1">
        <v>1170.69</v>
      </c>
      <c r="F1102" s="1">
        <v>384.63</v>
      </c>
      <c r="G1102" s="1">
        <v>9223</v>
      </c>
      <c r="H1102" s="1">
        <v>958.45</v>
      </c>
      <c r="I1102" s="1">
        <v>2272.92</v>
      </c>
      <c r="J1102" s="1">
        <v>18688.099999999999</v>
      </c>
    </row>
    <row r="1103" spans="1:10">
      <c r="A1103" s="2">
        <v>45093</v>
      </c>
      <c r="B1103" s="1">
        <v>1171.1600000000001</v>
      </c>
      <c r="C1103" s="1">
        <v>2886.4</v>
      </c>
      <c r="D1103" s="1">
        <v>767.34</v>
      </c>
      <c r="E1103" s="1">
        <v>1175.0999999999999</v>
      </c>
      <c r="F1103" s="1">
        <v>388.92</v>
      </c>
      <c r="G1103" s="1">
        <v>9231.51</v>
      </c>
      <c r="H1103" s="1">
        <v>961.94</v>
      </c>
      <c r="I1103" s="1">
        <v>2278.21</v>
      </c>
      <c r="J1103" s="1">
        <v>18826</v>
      </c>
    </row>
    <row r="1104" spans="1:10">
      <c r="A1104" s="2">
        <v>45096</v>
      </c>
      <c r="B1104" s="1">
        <v>1159.53</v>
      </c>
      <c r="C1104" s="1">
        <v>2918.67</v>
      </c>
      <c r="D1104" s="1">
        <v>768.01</v>
      </c>
      <c r="E1104" s="1">
        <v>1177.24</v>
      </c>
      <c r="F1104" s="1">
        <v>389.35</v>
      </c>
      <c r="G1104" s="1">
        <v>9162.59</v>
      </c>
      <c r="H1104" s="1">
        <v>971.45</v>
      </c>
      <c r="I1104" s="1">
        <v>2277.7800000000002</v>
      </c>
      <c r="J1104" s="1">
        <v>18755.45</v>
      </c>
    </row>
    <row r="1105" spans="1:10">
      <c r="A1105" s="2">
        <v>45097</v>
      </c>
      <c r="B1105" s="1">
        <v>1161.94</v>
      </c>
      <c r="C1105" s="1">
        <v>2934.4</v>
      </c>
      <c r="D1105" s="1">
        <v>769.62</v>
      </c>
      <c r="E1105" s="1">
        <v>1185.79</v>
      </c>
      <c r="F1105" s="1">
        <v>388.71</v>
      </c>
      <c r="G1105" s="1">
        <v>9124.24</v>
      </c>
      <c r="H1105" s="1">
        <v>961.89</v>
      </c>
      <c r="I1105" s="1">
        <v>2292.85</v>
      </c>
      <c r="J1105" s="1">
        <v>18816.7</v>
      </c>
    </row>
    <row r="1106" spans="1:10">
      <c r="A1106" s="2">
        <v>45098</v>
      </c>
      <c r="B1106" s="1">
        <v>1165.21</v>
      </c>
      <c r="C1106" s="1">
        <v>2962.13</v>
      </c>
      <c r="D1106" s="1">
        <v>783.07</v>
      </c>
      <c r="E1106" s="1">
        <v>1182.1099999999999</v>
      </c>
      <c r="F1106" s="1">
        <v>383.73</v>
      </c>
      <c r="G1106" s="1">
        <v>9074.9699999999993</v>
      </c>
      <c r="H1106" s="1">
        <v>961.85</v>
      </c>
      <c r="I1106" s="1">
        <v>2304.83</v>
      </c>
      <c r="J1106" s="1">
        <v>18856.849999999999</v>
      </c>
    </row>
    <row r="1107" spans="1:10">
      <c r="A1107" s="2">
        <v>45099</v>
      </c>
      <c r="B1107" s="1">
        <v>1152.1199999999999</v>
      </c>
      <c r="C1107" s="1">
        <v>2944.22</v>
      </c>
      <c r="D1107" s="1">
        <v>786.9</v>
      </c>
      <c r="E1107" s="1">
        <v>1165.9100000000001</v>
      </c>
      <c r="F1107" s="1">
        <v>384.24</v>
      </c>
      <c r="G1107" s="1">
        <v>9038.64</v>
      </c>
      <c r="H1107" s="1">
        <v>960.29</v>
      </c>
      <c r="I1107" s="1">
        <v>2325.81</v>
      </c>
      <c r="J1107" s="1">
        <v>18771.25</v>
      </c>
    </row>
    <row r="1108" spans="1:10">
      <c r="A1108" s="2">
        <v>45100</v>
      </c>
      <c r="B1108" s="1">
        <v>1142.69</v>
      </c>
      <c r="C1108" s="1">
        <v>2924.08</v>
      </c>
      <c r="D1108" s="1">
        <v>786.85</v>
      </c>
      <c r="E1108" s="1">
        <v>1150.8599999999999</v>
      </c>
      <c r="F1108" s="1">
        <v>381.75</v>
      </c>
      <c r="G1108" s="1">
        <v>8965.82</v>
      </c>
      <c r="H1108" s="1">
        <v>961.41</v>
      </c>
      <c r="I1108" s="1">
        <v>2300.11</v>
      </c>
      <c r="J1108" s="1">
        <v>18665.5</v>
      </c>
    </row>
    <row r="1109" spans="1:10">
      <c r="A1109" s="2">
        <v>45103</v>
      </c>
      <c r="B1109" s="1">
        <v>1133.97</v>
      </c>
      <c r="C1109" s="1">
        <v>2899.81</v>
      </c>
      <c r="D1109" s="1">
        <v>783.05</v>
      </c>
      <c r="E1109" s="1">
        <v>1155.72</v>
      </c>
      <c r="F1109" s="1">
        <v>382.57</v>
      </c>
      <c r="G1109" s="1">
        <v>9103.19</v>
      </c>
      <c r="H1109" s="1">
        <v>964.8</v>
      </c>
      <c r="I1109" s="1">
        <v>2288.56</v>
      </c>
      <c r="J1109" s="1">
        <v>18691.2</v>
      </c>
    </row>
    <row r="1110" spans="1:10">
      <c r="A1110" s="2">
        <v>45104</v>
      </c>
      <c r="B1110" s="1">
        <v>1134.3800000000001</v>
      </c>
      <c r="C1110" s="1">
        <v>2906.81</v>
      </c>
      <c r="D1110" s="1">
        <v>794.08</v>
      </c>
      <c r="E1110" s="1">
        <v>1163.73</v>
      </c>
      <c r="F1110" s="1">
        <v>382.05</v>
      </c>
      <c r="G1110" s="1">
        <v>9094.34</v>
      </c>
      <c r="H1110" s="1">
        <v>971.45</v>
      </c>
      <c r="I1110" s="1">
        <v>2298.67</v>
      </c>
      <c r="J1110" s="1">
        <v>18817.400000000001</v>
      </c>
    </row>
    <row r="1111" spans="1:10">
      <c r="A1111" s="2">
        <v>45105</v>
      </c>
      <c r="B1111" s="1">
        <v>1149.3900000000001</v>
      </c>
      <c r="C1111" s="1">
        <v>2923.26</v>
      </c>
      <c r="D1111" s="1">
        <v>802.49</v>
      </c>
      <c r="E1111" s="1">
        <v>1176.6500000000001</v>
      </c>
      <c r="F1111" s="1">
        <v>385.7</v>
      </c>
      <c r="G1111" s="1">
        <v>9170.91</v>
      </c>
      <c r="H1111" s="1">
        <v>990.84</v>
      </c>
      <c r="I1111" s="1">
        <v>2330.8200000000002</v>
      </c>
      <c r="J1111" s="1">
        <v>18972.099999999999</v>
      </c>
    </row>
    <row r="1112" spans="1:10">
      <c r="A1112" s="2">
        <v>45107</v>
      </c>
      <c r="B1112" s="1">
        <v>1158.82</v>
      </c>
      <c r="C1112" s="1">
        <v>3002.18</v>
      </c>
      <c r="D1112" s="1">
        <v>814.57</v>
      </c>
      <c r="E1112" s="1">
        <v>1214.99</v>
      </c>
      <c r="F1112" s="1">
        <v>387.63</v>
      </c>
      <c r="G1112" s="1">
        <v>9409.68</v>
      </c>
      <c r="H1112" s="1">
        <v>1019.74</v>
      </c>
      <c r="I1112" s="1">
        <v>2382.89</v>
      </c>
      <c r="J1112" s="1">
        <v>19189.05</v>
      </c>
    </row>
    <row r="1113" spans="1:10">
      <c r="A1113" s="2">
        <v>45110</v>
      </c>
      <c r="B1113" s="1">
        <v>1188.56</v>
      </c>
      <c r="C1113" s="1">
        <v>2974.95</v>
      </c>
      <c r="D1113" s="1">
        <v>823.38</v>
      </c>
      <c r="E1113" s="1">
        <v>1213.3599999999999</v>
      </c>
      <c r="F1113" s="1">
        <v>397.63</v>
      </c>
      <c r="G1113" s="1">
        <v>9298.1299999999992</v>
      </c>
      <c r="H1113" s="1">
        <v>1001.41</v>
      </c>
      <c r="I1113" s="1">
        <v>2362.1999999999998</v>
      </c>
      <c r="J1113" s="1">
        <v>19322.55</v>
      </c>
    </row>
    <row r="1114" spans="1:10">
      <c r="A1114" s="2">
        <v>45111</v>
      </c>
      <c r="B1114" s="1">
        <v>1176.32</v>
      </c>
      <c r="C1114" s="1">
        <v>3008.18</v>
      </c>
      <c r="D1114" s="1">
        <v>827.41</v>
      </c>
      <c r="E1114" s="1">
        <v>1223.77</v>
      </c>
      <c r="F1114" s="1">
        <v>400.29</v>
      </c>
      <c r="G1114" s="1">
        <v>9273.52</v>
      </c>
      <c r="H1114" s="1">
        <v>1017.02</v>
      </c>
      <c r="I1114" s="1">
        <v>2369.71</v>
      </c>
      <c r="J1114" s="1">
        <v>19389</v>
      </c>
    </row>
    <row r="1115" spans="1:10">
      <c r="A1115" s="2">
        <v>45112</v>
      </c>
      <c r="B1115" s="1">
        <v>1174.3900000000001</v>
      </c>
      <c r="C1115" s="1">
        <v>3018.27</v>
      </c>
      <c r="D1115" s="1">
        <v>801.12</v>
      </c>
      <c r="E1115" s="1">
        <v>1225.73</v>
      </c>
      <c r="F1115" s="1">
        <v>407.8</v>
      </c>
      <c r="G1115" s="1">
        <v>9605.0499999999993</v>
      </c>
      <c r="H1115" s="1">
        <v>1013.05</v>
      </c>
      <c r="I1115" s="1">
        <v>2378.3200000000002</v>
      </c>
      <c r="J1115" s="1">
        <v>19398.5</v>
      </c>
    </row>
    <row r="1116" spans="1:10">
      <c r="A1116" s="2">
        <v>45113</v>
      </c>
      <c r="B1116" s="1">
        <v>1199.04</v>
      </c>
      <c r="C1116" s="1">
        <v>3020.95</v>
      </c>
      <c r="D1116" s="1">
        <v>801.93</v>
      </c>
      <c r="E1116" s="1">
        <v>1222.6400000000001</v>
      </c>
      <c r="F1116" s="1">
        <v>406.77</v>
      </c>
      <c r="G1116" s="1">
        <v>9477.2999999999993</v>
      </c>
      <c r="H1116" s="1">
        <v>1010.91</v>
      </c>
      <c r="I1116" s="1">
        <v>2395.46</v>
      </c>
      <c r="J1116" s="1">
        <v>19497.3</v>
      </c>
    </row>
    <row r="1117" spans="1:10">
      <c r="A1117" s="2">
        <v>45114</v>
      </c>
      <c r="B1117" s="1">
        <v>1196.7</v>
      </c>
      <c r="C1117" s="1">
        <v>3026.72</v>
      </c>
      <c r="D1117" s="1">
        <v>794.95</v>
      </c>
      <c r="E1117" s="1">
        <v>1210.17</v>
      </c>
      <c r="F1117" s="1">
        <v>402.05</v>
      </c>
      <c r="G1117" s="1">
        <v>9468.5</v>
      </c>
      <c r="H1117" s="1">
        <v>1004.32</v>
      </c>
      <c r="I1117" s="1">
        <v>2357.67</v>
      </c>
      <c r="J1117" s="1">
        <v>19331.8</v>
      </c>
    </row>
    <row r="1118" spans="1:10">
      <c r="A1118" s="2">
        <v>45117</v>
      </c>
      <c r="B1118" s="1">
        <v>1242.79</v>
      </c>
      <c r="C1118" s="1">
        <v>2974.63</v>
      </c>
      <c r="D1118" s="1">
        <v>793.05</v>
      </c>
      <c r="E1118" s="1">
        <v>1209.22</v>
      </c>
      <c r="F1118" s="1">
        <v>399.86</v>
      </c>
      <c r="G1118" s="1">
        <v>9358.9699999999993</v>
      </c>
      <c r="H1118" s="1">
        <v>1013.34</v>
      </c>
      <c r="I1118" s="1">
        <v>2347.4699999999998</v>
      </c>
      <c r="J1118" s="1">
        <v>19355.900000000001</v>
      </c>
    </row>
    <row r="1119" spans="1:10">
      <c r="A1119" s="2">
        <v>45118</v>
      </c>
      <c r="B1119" s="1">
        <v>1256.27</v>
      </c>
      <c r="C1119" s="1">
        <v>2975.04</v>
      </c>
      <c r="D1119" s="1">
        <v>789.2</v>
      </c>
      <c r="E1119" s="1">
        <v>1226.9100000000001</v>
      </c>
      <c r="F1119" s="1">
        <v>406.13</v>
      </c>
      <c r="G1119" s="1">
        <v>9516.4699999999993</v>
      </c>
      <c r="H1119" s="1">
        <v>1039.76</v>
      </c>
      <c r="I1119" s="1">
        <v>2381.9299999999998</v>
      </c>
      <c r="J1119" s="1">
        <v>19439.400000000001</v>
      </c>
    </row>
    <row r="1120" spans="1:10">
      <c r="A1120" s="2">
        <v>45119</v>
      </c>
      <c r="B1120" s="1">
        <v>1257.6500000000001</v>
      </c>
      <c r="C1120" s="1">
        <v>2963.67</v>
      </c>
      <c r="D1120" s="1">
        <v>781.8</v>
      </c>
      <c r="E1120" s="1">
        <v>1212.99</v>
      </c>
      <c r="F1120" s="1">
        <v>405.4</v>
      </c>
      <c r="G1120" s="1">
        <v>9454.6200000000008</v>
      </c>
      <c r="H1120" s="1">
        <v>1046.06</v>
      </c>
      <c r="I1120" s="1">
        <v>2363.06</v>
      </c>
      <c r="J1120" s="1">
        <v>19384.3</v>
      </c>
    </row>
    <row r="1121" spans="1:10">
      <c r="A1121" s="2">
        <v>45120</v>
      </c>
      <c r="B1121" s="1">
        <v>1246.4100000000001</v>
      </c>
      <c r="C1121" s="1">
        <v>3037</v>
      </c>
      <c r="D1121" s="1">
        <v>785.7</v>
      </c>
      <c r="E1121" s="1">
        <v>1241.92</v>
      </c>
      <c r="F1121" s="1">
        <v>405.14</v>
      </c>
      <c r="G1121" s="1">
        <v>9273.66</v>
      </c>
      <c r="H1121" s="1">
        <v>1043.06</v>
      </c>
      <c r="I1121" s="1">
        <v>2358.44</v>
      </c>
      <c r="J1121" s="1">
        <v>19413.75</v>
      </c>
    </row>
    <row r="1122" spans="1:10">
      <c r="A1122" s="2">
        <v>45121</v>
      </c>
      <c r="B1122" s="1">
        <v>1245.3599999999999</v>
      </c>
      <c r="C1122" s="1">
        <v>3195.28</v>
      </c>
      <c r="D1122" s="1">
        <v>787.33</v>
      </c>
      <c r="E1122" s="1">
        <v>1297.28</v>
      </c>
      <c r="F1122" s="1">
        <v>405.92</v>
      </c>
      <c r="G1122" s="1">
        <v>9231.4599999999991</v>
      </c>
      <c r="H1122" s="1">
        <v>1040.44</v>
      </c>
      <c r="I1122" s="1">
        <v>2379.7199999999998</v>
      </c>
      <c r="J1122" s="1">
        <v>19564.5</v>
      </c>
    </row>
    <row r="1123" spans="1:10">
      <c r="A1123" s="2">
        <v>45124</v>
      </c>
      <c r="B1123" s="1">
        <v>1270.81</v>
      </c>
      <c r="C1123" s="1">
        <v>3174.41</v>
      </c>
      <c r="D1123" s="1">
        <v>803.8</v>
      </c>
      <c r="E1123" s="1">
        <v>1294.55</v>
      </c>
      <c r="F1123" s="1">
        <v>405.44</v>
      </c>
      <c r="G1123" s="1">
        <v>9314.0300000000007</v>
      </c>
      <c r="H1123" s="1">
        <v>1044.95</v>
      </c>
      <c r="I1123" s="1">
        <v>2376.4</v>
      </c>
      <c r="J1123" s="1">
        <v>19711.45</v>
      </c>
    </row>
    <row r="1124" spans="1:10">
      <c r="A1124" s="2">
        <v>45125</v>
      </c>
      <c r="B1124" s="1">
        <v>1281.5999999999999</v>
      </c>
      <c r="C1124" s="1">
        <v>3179.09</v>
      </c>
      <c r="D1124" s="1">
        <v>803.13</v>
      </c>
      <c r="E1124" s="1">
        <v>1342.09</v>
      </c>
      <c r="F1124" s="1">
        <v>405.57</v>
      </c>
      <c r="G1124" s="1">
        <v>9291.06</v>
      </c>
      <c r="H1124" s="1">
        <v>1034.82</v>
      </c>
      <c r="I1124" s="1">
        <v>2382.08</v>
      </c>
      <c r="J1124" s="1">
        <v>19749.25</v>
      </c>
    </row>
    <row r="1125" spans="1:10">
      <c r="A1125" s="2">
        <v>45126</v>
      </c>
      <c r="B1125" s="1">
        <v>1291.32</v>
      </c>
      <c r="C1125" s="1">
        <v>3154.73</v>
      </c>
      <c r="D1125" s="1">
        <v>806.77</v>
      </c>
      <c r="E1125" s="1">
        <v>1341.86</v>
      </c>
      <c r="F1125" s="1">
        <v>411.02</v>
      </c>
      <c r="G1125" s="1">
        <v>9235.2099999999991</v>
      </c>
      <c r="H1125" s="1">
        <v>1049.07</v>
      </c>
      <c r="I1125" s="1">
        <v>2400.8000000000002</v>
      </c>
      <c r="J1125" s="1">
        <v>19833.150000000001</v>
      </c>
    </row>
    <row r="1126" spans="1:10">
      <c r="A1126" s="2">
        <v>45127</v>
      </c>
      <c r="B1126" s="1">
        <v>1289.76</v>
      </c>
      <c r="C1126" s="1">
        <v>3156.78</v>
      </c>
      <c r="D1126" s="1">
        <v>808.52</v>
      </c>
      <c r="E1126" s="1">
        <v>1318.71</v>
      </c>
      <c r="F1126" s="1">
        <v>422.44</v>
      </c>
      <c r="G1126" s="1">
        <v>9393.77</v>
      </c>
      <c r="H1126" s="1">
        <v>1064.3900000000001</v>
      </c>
      <c r="I1126" s="1">
        <v>2396.5100000000002</v>
      </c>
      <c r="J1126" s="1">
        <v>19979.150000000001</v>
      </c>
    </row>
    <row r="1127" spans="1:10">
      <c r="A1127" s="2">
        <v>45128</v>
      </c>
      <c r="B1127" s="1">
        <v>1249.83</v>
      </c>
      <c r="C1127" s="1">
        <v>3070.19</v>
      </c>
      <c r="D1127" s="1">
        <v>802.29</v>
      </c>
      <c r="E1127" s="1">
        <v>1211.45</v>
      </c>
      <c r="F1127" s="1">
        <v>420.98</v>
      </c>
      <c r="G1127" s="1">
        <v>9391.41</v>
      </c>
      <c r="H1127" s="1">
        <v>1063.9100000000001</v>
      </c>
      <c r="I1127" s="1">
        <v>2489.4499999999998</v>
      </c>
      <c r="J1127" s="1">
        <v>19745</v>
      </c>
    </row>
    <row r="1128" spans="1:10">
      <c r="A1128" s="2">
        <v>45131</v>
      </c>
      <c r="B1128" s="1">
        <v>1224.55</v>
      </c>
      <c r="C1128" s="1">
        <v>3094.3</v>
      </c>
      <c r="D1128" s="1">
        <v>803.56</v>
      </c>
      <c r="E1128" s="1">
        <v>1216</v>
      </c>
      <c r="F1128" s="1">
        <v>404.59</v>
      </c>
      <c r="G1128" s="1">
        <v>9319.08</v>
      </c>
      <c r="H1128" s="1">
        <v>1067.06</v>
      </c>
      <c r="I1128" s="1">
        <v>2507.7399999999998</v>
      </c>
      <c r="J1128" s="1">
        <v>19672.349999999999</v>
      </c>
    </row>
    <row r="1129" spans="1:10">
      <c r="A1129" s="2">
        <v>45132</v>
      </c>
      <c r="B1129" s="1">
        <v>1223.77</v>
      </c>
      <c r="C1129" s="1">
        <v>3098.31</v>
      </c>
      <c r="D1129" s="1">
        <v>812.28</v>
      </c>
      <c r="E1129" s="1">
        <v>1214.18</v>
      </c>
      <c r="F1129" s="1">
        <v>396.82</v>
      </c>
      <c r="G1129" s="1">
        <v>9380.41</v>
      </c>
      <c r="H1129" s="1">
        <v>1061.8699999999999</v>
      </c>
      <c r="I1129" s="1">
        <v>2465.0500000000002</v>
      </c>
      <c r="J1129" s="1">
        <v>19680.599999999999</v>
      </c>
    </row>
    <row r="1130" spans="1:10">
      <c r="A1130" s="2">
        <v>45133</v>
      </c>
      <c r="B1130" s="1">
        <v>1243.6600000000001</v>
      </c>
      <c r="C1130" s="1">
        <v>3088.42</v>
      </c>
      <c r="D1130" s="1">
        <v>809.45</v>
      </c>
      <c r="E1130" s="1">
        <v>1227.1400000000001</v>
      </c>
      <c r="F1130" s="1">
        <v>405.36</v>
      </c>
      <c r="G1130" s="1">
        <v>9378.24</v>
      </c>
      <c r="H1130" s="1">
        <v>1078.31</v>
      </c>
      <c r="I1130" s="1">
        <v>2547.1999999999998</v>
      </c>
      <c r="J1130" s="1">
        <v>19778.3</v>
      </c>
    </row>
    <row r="1131" spans="1:10">
      <c r="A1131" s="2">
        <v>45134</v>
      </c>
      <c r="B1131" s="1">
        <v>1232.0899999999999</v>
      </c>
      <c r="C1131" s="1">
        <v>3096.26</v>
      </c>
      <c r="D1131" s="1">
        <v>801.05</v>
      </c>
      <c r="E1131" s="1">
        <v>1231.05</v>
      </c>
      <c r="F1131" s="1">
        <v>399.18</v>
      </c>
      <c r="G1131" s="1">
        <v>9375.6</v>
      </c>
      <c r="H1131" s="1">
        <v>1100.56</v>
      </c>
      <c r="I1131" s="1">
        <v>2560.63</v>
      </c>
      <c r="J1131" s="1">
        <v>19659.900000000001</v>
      </c>
    </row>
    <row r="1132" spans="1:10">
      <c r="A1132" s="2">
        <v>45135</v>
      </c>
      <c r="B1132" s="1">
        <v>1244.47</v>
      </c>
      <c r="C1132" s="1">
        <v>3058.43</v>
      </c>
      <c r="D1132" s="1">
        <v>786.85</v>
      </c>
      <c r="E1132" s="1">
        <v>1219.54</v>
      </c>
      <c r="F1132" s="1">
        <v>402.1</v>
      </c>
      <c r="G1132" s="1">
        <v>9295.5300000000007</v>
      </c>
      <c r="H1132" s="1">
        <v>1107.96</v>
      </c>
      <c r="I1132" s="1">
        <v>2550.38</v>
      </c>
      <c r="J1132" s="1">
        <v>19646.05</v>
      </c>
    </row>
    <row r="1133" spans="1:10">
      <c r="A1133" s="2">
        <v>45138</v>
      </c>
      <c r="B1133" s="1">
        <v>1255</v>
      </c>
      <c r="C1133" s="1">
        <v>3118.63</v>
      </c>
      <c r="D1133" s="1">
        <v>790.54</v>
      </c>
      <c r="E1133" s="1">
        <v>1233.3699999999999</v>
      </c>
      <c r="F1133" s="1">
        <v>399.74</v>
      </c>
      <c r="G1133" s="1">
        <v>9440.15</v>
      </c>
      <c r="H1133" s="1">
        <v>1112.68</v>
      </c>
      <c r="I1133" s="1">
        <v>2580.9899999999998</v>
      </c>
      <c r="J1133" s="1">
        <v>19753.8</v>
      </c>
    </row>
    <row r="1134" spans="1:10">
      <c r="A1134" s="2">
        <v>45139</v>
      </c>
      <c r="B1134" s="1">
        <v>1237.26</v>
      </c>
      <c r="C1134" s="1">
        <v>3146.52</v>
      </c>
      <c r="D1134" s="1">
        <v>795.83</v>
      </c>
      <c r="E1134" s="1">
        <v>1242.01</v>
      </c>
      <c r="F1134" s="1">
        <v>398.96</v>
      </c>
      <c r="G1134" s="1">
        <v>9340.18</v>
      </c>
      <c r="H1134" s="1">
        <v>1112.73</v>
      </c>
      <c r="I1134" s="1">
        <v>2566.84</v>
      </c>
      <c r="J1134" s="1">
        <v>19733.55</v>
      </c>
    </row>
    <row r="1135" spans="1:10">
      <c r="A1135" s="2">
        <v>45140</v>
      </c>
      <c r="B1135" s="1">
        <v>1224.04</v>
      </c>
      <c r="C1135" s="1">
        <v>3136.13</v>
      </c>
      <c r="D1135" s="1">
        <v>785.42</v>
      </c>
      <c r="E1135" s="1">
        <v>1234.42</v>
      </c>
      <c r="F1135" s="1">
        <v>394.93</v>
      </c>
      <c r="G1135" s="1">
        <v>9279.67</v>
      </c>
      <c r="H1135" s="1">
        <v>1104.75</v>
      </c>
      <c r="I1135" s="1">
        <v>2552.7199999999998</v>
      </c>
      <c r="J1135" s="1">
        <v>19526.55</v>
      </c>
    </row>
    <row r="1136" spans="1:10">
      <c r="A1136" s="2">
        <v>45141</v>
      </c>
      <c r="B1136" s="1">
        <v>1218.8900000000001</v>
      </c>
      <c r="C1136" s="1">
        <v>3099.04</v>
      </c>
      <c r="D1136" s="1">
        <v>779.74</v>
      </c>
      <c r="E1136" s="1">
        <v>1241.2</v>
      </c>
      <c r="F1136" s="1">
        <v>391.45</v>
      </c>
      <c r="G1136" s="1">
        <v>9260.17</v>
      </c>
      <c r="H1136" s="1">
        <v>1110.3399999999999</v>
      </c>
      <c r="I1136" s="1">
        <v>2529.31</v>
      </c>
      <c r="J1136" s="1">
        <v>19381.650000000001</v>
      </c>
    </row>
    <row r="1137" spans="1:10">
      <c r="A1137" s="2">
        <v>45142</v>
      </c>
      <c r="B1137" s="1">
        <v>1235.46</v>
      </c>
      <c r="C1137" s="1">
        <v>3138.78</v>
      </c>
      <c r="D1137" s="1">
        <v>791.02</v>
      </c>
      <c r="E1137" s="1">
        <v>1253.98</v>
      </c>
      <c r="F1137" s="1">
        <v>390.51</v>
      </c>
      <c r="G1137" s="1">
        <v>9189.0400000000009</v>
      </c>
      <c r="H1137" s="1">
        <v>1108.3499999999999</v>
      </c>
      <c r="I1137" s="1">
        <v>2557.35</v>
      </c>
      <c r="J1137" s="1">
        <v>19517</v>
      </c>
    </row>
    <row r="1138" spans="1:10">
      <c r="A1138" s="2">
        <v>45145</v>
      </c>
      <c r="B1138" s="1">
        <v>1242.5</v>
      </c>
      <c r="C1138" s="1">
        <v>3175.69</v>
      </c>
      <c r="D1138" s="1">
        <v>790.56</v>
      </c>
      <c r="E1138" s="1">
        <v>1267.31</v>
      </c>
      <c r="F1138" s="1">
        <v>390.47</v>
      </c>
      <c r="G1138" s="1">
        <v>9240.86</v>
      </c>
      <c r="H1138" s="1">
        <v>1129.6099999999999</v>
      </c>
      <c r="I1138" s="1">
        <v>2566.11</v>
      </c>
      <c r="J1138" s="1">
        <v>19597.3</v>
      </c>
    </row>
    <row r="1139" spans="1:10">
      <c r="A1139" s="2">
        <v>45146</v>
      </c>
      <c r="B1139" s="1">
        <v>1235.02</v>
      </c>
      <c r="C1139" s="1">
        <v>3163.43</v>
      </c>
      <c r="D1139" s="1">
        <v>789.92</v>
      </c>
      <c r="E1139" s="1">
        <v>1264.76</v>
      </c>
      <c r="F1139" s="1">
        <v>388.28</v>
      </c>
      <c r="G1139" s="1">
        <v>9259.0499999999993</v>
      </c>
      <c r="H1139" s="1">
        <v>1117.79</v>
      </c>
      <c r="I1139" s="1">
        <v>2562.5100000000002</v>
      </c>
      <c r="J1139" s="1">
        <v>19570.849999999999</v>
      </c>
    </row>
    <row r="1140" spans="1:10">
      <c r="A1140" s="2">
        <v>45147</v>
      </c>
      <c r="B1140" s="1">
        <v>1243.1600000000001</v>
      </c>
      <c r="C1140" s="1">
        <v>3156.05</v>
      </c>
      <c r="D1140" s="1">
        <v>790.21</v>
      </c>
      <c r="E1140" s="1">
        <v>1268.58</v>
      </c>
      <c r="F1140" s="1">
        <v>393.68</v>
      </c>
      <c r="G1140" s="1">
        <v>9181.9599999999991</v>
      </c>
      <c r="H1140" s="1">
        <v>1121.82</v>
      </c>
      <c r="I1140" s="1">
        <v>2581.4</v>
      </c>
      <c r="J1140" s="1">
        <v>19632.55</v>
      </c>
    </row>
    <row r="1141" spans="1:10">
      <c r="A1141" s="2">
        <v>45148</v>
      </c>
      <c r="B1141" s="1">
        <v>1248.7</v>
      </c>
      <c r="C1141" s="1">
        <v>3137.46</v>
      </c>
      <c r="D1141" s="1">
        <v>783.19</v>
      </c>
      <c r="E1141" s="1">
        <v>1263.76</v>
      </c>
      <c r="F1141" s="1">
        <v>387.76</v>
      </c>
      <c r="G1141" s="1">
        <v>9118.41</v>
      </c>
      <c r="H1141" s="1">
        <v>1119.3900000000001</v>
      </c>
      <c r="I1141" s="1">
        <v>2573.5100000000002</v>
      </c>
      <c r="J1141" s="1">
        <v>19543.099999999999</v>
      </c>
    </row>
    <row r="1142" spans="1:10">
      <c r="A1142" s="2">
        <v>45149</v>
      </c>
      <c r="B1142" s="1">
        <v>1253.97</v>
      </c>
      <c r="C1142" s="1">
        <v>3143.56</v>
      </c>
      <c r="D1142" s="1">
        <v>775.03</v>
      </c>
      <c r="E1142" s="1">
        <v>1248.06</v>
      </c>
      <c r="F1142" s="1">
        <v>385.19</v>
      </c>
      <c r="G1142" s="1">
        <v>9078.8700000000008</v>
      </c>
      <c r="H1142" s="1">
        <v>1101.92</v>
      </c>
      <c r="I1142" s="1">
        <v>2568.64</v>
      </c>
      <c r="J1142" s="1">
        <v>19428.3</v>
      </c>
    </row>
    <row r="1143" spans="1:10">
      <c r="A1143" s="2">
        <v>45152</v>
      </c>
      <c r="B1143" s="1">
        <v>1268.79</v>
      </c>
      <c r="C1143" s="1">
        <v>3144.52</v>
      </c>
      <c r="D1143" s="1">
        <v>771.25</v>
      </c>
      <c r="E1143" s="1">
        <v>1267.81</v>
      </c>
      <c r="F1143" s="1">
        <v>385.57</v>
      </c>
      <c r="G1143" s="1">
        <v>9044.7099999999991</v>
      </c>
      <c r="H1143" s="1">
        <v>1103.77</v>
      </c>
      <c r="I1143" s="1">
        <v>2589.48</v>
      </c>
      <c r="J1143" s="1">
        <v>19434.55</v>
      </c>
    </row>
    <row r="1144" spans="1:10">
      <c r="A1144" s="2">
        <v>45154</v>
      </c>
      <c r="B1144" s="1">
        <v>1267.75</v>
      </c>
      <c r="C1144" s="1">
        <v>3152.31</v>
      </c>
      <c r="D1144" s="1">
        <v>769</v>
      </c>
      <c r="E1144" s="1">
        <v>1290.51</v>
      </c>
      <c r="F1144" s="1">
        <v>386.47</v>
      </c>
      <c r="G1144" s="1">
        <v>9139.7099999999991</v>
      </c>
      <c r="H1144" s="1">
        <v>1112.92</v>
      </c>
      <c r="I1144" s="1">
        <v>2619.8000000000002</v>
      </c>
      <c r="J1144" s="1">
        <v>19465</v>
      </c>
    </row>
    <row r="1145" spans="1:10">
      <c r="A1145" s="2">
        <v>45155</v>
      </c>
      <c r="B1145" s="1">
        <v>1249.47</v>
      </c>
      <c r="C1145" s="1">
        <v>3131.67</v>
      </c>
      <c r="D1145" s="1">
        <v>764.73</v>
      </c>
      <c r="E1145" s="1">
        <v>1284.18</v>
      </c>
      <c r="F1145" s="1">
        <v>378.53</v>
      </c>
      <c r="G1145" s="1">
        <v>9096.77</v>
      </c>
      <c r="H1145" s="1">
        <v>1114.04</v>
      </c>
      <c r="I1145" s="1">
        <v>2582.27</v>
      </c>
      <c r="J1145" s="1">
        <v>19365.25</v>
      </c>
    </row>
    <row r="1146" spans="1:10">
      <c r="A1146" s="2">
        <v>45156</v>
      </c>
      <c r="B1146" s="1">
        <v>1258.72</v>
      </c>
      <c r="C1146" s="1">
        <v>3069.09</v>
      </c>
      <c r="D1146" s="1">
        <v>761.6</v>
      </c>
      <c r="E1146" s="1">
        <v>1263.49</v>
      </c>
      <c r="F1146" s="1">
        <v>379.09</v>
      </c>
      <c r="G1146" s="1">
        <v>9175.1200000000008</v>
      </c>
      <c r="H1146" s="1">
        <v>1104.4100000000001</v>
      </c>
      <c r="I1146" s="1">
        <v>2572</v>
      </c>
      <c r="J1146" s="1">
        <v>19310.150000000001</v>
      </c>
    </row>
    <row r="1147" spans="1:10">
      <c r="A1147" s="2">
        <v>45159</v>
      </c>
      <c r="B1147" s="1">
        <v>1244.99</v>
      </c>
      <c r="C1147" s="1">
        <v>3100.58</v>
      </c>
      <c r="D1147" s="1">
        <v>761</v>
      </c>
      <c r="E1147" s="1">
        <v>1278.5899999999999</v>
      </c>
      <c r="F1147" s="1">
        <v>384.37</v>
      </c>
      <c r="G1147" s="1">
        <v>9158.3799999999992</v>
      </c>
      <c r="H1147" s="1">
        <v>1106.8399999999999</v>
      </c>
      <c r="I1147" s="1">
        <v>2591.7600000000002</v>
      </c>
      <c r="J1147" s="1">
        <v>19393.599999999999</v>
      </c>
    </row>
    <row r="1148" spans="1:10">
      <c r="A1148" s="2">
        <v>45160</v>
      </c>
      <c r="B1148" s="1">
        <v>1244.69</v>
      </c>
      <c r="C1148" s="1">
        <v>3082.81</v>
      </c>
      <c r="D1148" s="1">
        <v>757.74</v>
      </c>
      <c r="E1148" s="1">
        <v>1277.0899999999999</v>
      </c>
      <c r="F1148" s="1">
        <v>389.91</v>
      </c>
      <c r="G1148" s="1">
        <v>9209.91</v>
      </c>
      <c r="H1148" s="1">
        <v>1106.98</v>
      </c>
      <c r="I1148" s="1">
        <v>2607.88</v>
      </c>
      <c r="J1148" s="1">
        <v>19396.45</v>
      </c>
    </row>
    <row r="1149" spans="1:10">
      <c r="A1149" s="2">
        <v>45161</v>
      </c>
      <c r="B1149" s="1">
        <v>1246.07</v>
      </c>
      <c r="C1149" s="1">
        <v>3097.49</v>
      </c>
      <c r="D1149" s="1">
        <v>759.61</v>
      </c>
      <c r="E1149" s="1">
        <v>1280.9100000000001</v>
      </c>
      <c r="F1149" s="1">
        <v>386.65</v>
      </c>
      <c r="G1149" s="1">
        <v>9315.7199999999993</v>
      </c>
      <c r="H1149" s="1">
        <v>1093.51</v>
      </c>
      <c r="I1149" s="1">
        <v>2645.65</v>
      </c>
      <c r="J1149" s="1">
        <v>19444</v>
      </c>
    </row>
    <row r="1150" spans="1:10">
      <c r="A1150" s="2">
        <v>45162</v>
      </c>
      <c r="B1150" s="1">
        <v>1225.1300000000001</v>
      </c>
      <c r="C1150" s="1">
        <v>3087.92</v>
      </c>
      <c r="D1150" s="1">
        <v>756.12</v>
      </c>
      <c r="E1150" s="1">
        <v>1295.1500000000001</v>
      </c>
      <c r="F1150" s="1">
        <v>387.03</v>
      </c>
      <c r="G1150" s="1">
        <v>9289.2800000000007</v>
      </c>
      <c r="H1150" s="1">
        <v>1088.25</v>
      </c>
      <c r="I1150" s="1">
        <v>2616.98</v>
      </c>
      <c r="J1150" s="1">
        <v>19386.7</v>
      </c>
    </row>
    <row r="1151" spans="1:10">
      <c r="A1151" s="2">
        <v>45163</v>
      </c>
      <c r="B1151" s="1">
        <v>1219.47</v>
      </c>
      <c r="C1151" s="1">
        <v>3082.04</v>
      </c>
      <c r="D1151" s="1">
        <v>747.59</v>
      </c>
      <c r="E1151" s="1">
        <v>1291.96</v>
      </c>
      <c r="F1151" s="1">
        <v>380.55</v>
      </c>
      <c r="G1151" s="1">
        <v>9223.2999999999993</v>
      </c>
      <c r="H1151" s="1">
        <v>1076.57</v>
      </c>
      <c r="I1151" s="1">
        <v>2568.54</v>
      </c>
      <c r="J1151" s="1">
        <v>19265.8</v>
      </c>
    </row>
    <row r="1152" spans="1:10">
      <c r="A1152" s="2">
        <v>45166</v>
      </c>
      <c r="B1152" s="1">
        <v>1207.32</v>
      </c>
      <c r="C1152" s="1">
        <v>3076.79</v>
      </c>
      <c r="D1152" s="1">
        <v>755.37</v>
      </c>
      <c r="E1152" s="1">
        <v>1287.9100000000001</v>
      </c>
      <c r="F1152" s="1">
        <v>378.88</v>
      </c>
      <c r="G1152" s="1">
        <v>9312.56</v>
      </c>
      <c r="H1152" s="1">
        <v>1086.99</v>
      </c>
      <c r="I1152" s="1">
        <v>2623.99</v>
      </c>
      <c r="J1152" s="1">
        <v>19306.05</v>
      </c>
    </row>
    <row r="1153" spans="1:10">
      <c r="A1153" s="2">
        <v>45167</v>
      </c>
      <c r="B1153" s="1">
        <v>1195.76</v>
      </c>
      <c r="C1153" s="1">
        <v>3077.34</v>
      </c>
      <c r="D1153" s="1">
        <v>761.38</v>
      </c>
      <c r="E1153" s="1">
        <v>1289.73</v>
      </c>
      <c r="F1153" s="1">
        <v>377.76</v>
      </c>
      <c r="G1153" s="1">
        <v>9335.41</v>
      </c>
      <c r="H1153" s="1">
        <v>1081.73</v>
      </c>
      <c r="I1153" s="1">
        <v>2646.96</v>
      </c>
      <c r="J1153" s="1">
        <v>19342.650000000001</v>
      </c>
    </row>
    <row r="1154" spans="1:10">
      <c r="A1154" s="2">
        <v>45168</v>
      </c>
      <c r="B1154" s="1">
        <v>1194.6199999999999</v>
      </c>
      <c r="C1154" s="1">
        <v>3090.83</v>
      </c>
      <c r="D1154" s="1">
        <v>755.83</v>
      </c>
      <c r="E1154" s="1">
        <v>1305.6500000000001</v>
      </c>
      <c r="F1154" s="1">
        <v>380.08</v>
      </c>
      <c r="G1154" s="1">
        <v>9505.36</v>
      </c>
      <c r="H1154" s="1">
        <v>1084.94</v>
      </c>
      <c r="I1154" s="1">
        <v>2637.28</v>
      </c>
      <c r="J1154" s="1">
        <v>19347.45</v>
      </c>
    </row>
    <row r="1155" spans="1:10">
      <c r="A1155" s="2">
        <v>45169</v>
      </c>
      <c r="B1155" s="1">
        <v>1189.1600000000001</v>
      </c>
      <c r="C1155" s="1">
        <v>3059.7</v>
      </c>
      <c r="D1155" s="1">
        <v>752.36</v>
      </c>
      <c r="E1155" s="1">
        <v>1305.93</v>
      </c>
      <c r="F1155" s="1">
        <v>377.42</v>
      </c>
      <c r="G1155" s="1">
        <v>9706.6</v>
      </c>
      <c r="H1155" s="1">
        <v>1081.73</v>
      </c>
      <c r="I1155" s="1">
        <v>2631.14</v>
      </c>
      <c r="J1155" s="1">
        <v>19253.8</v>
      </c>
    </row>
    <row r="1156" spans="1:10">
      <c r="A1156" s="2">
        <v>45170</v>
      </c>
      <c r="B1156" s="1">
        <v>1191.95</v>
      </c>
      <c r="C1156" s="1">
        <v>3080.12</v>
      </c>
      <c r="D1156" s="1">
        <v>753.91</v>
      </c>
      <c r="E1156" s="1">
        <v>1313.57</v>
      </c>
      <c r="F1156" s="1">
        <v>378.58</v>
      </c>
      <c r="G1156" s="1">
        <v>10024.32</v>
      </c>
      <c r="H1156" s="1">
        <v>1079.2</v>
      </c>
      <c r="I1156" s="1">
        <v>2630.56</v>
      </c>
      <c r="J1156" s="1">
        <v>19435.3</v>
      </c>
    </row>
    <row r="1157" spans="1:10">
      <c r="A1157" s="2">
        <v>45173</v>
      </c>
      <c r="B1157" s="1">
        <v>1190.99</v>
      </c>
      <c r="C1157" s="1">
        <v>3115.94</v>
      </c>
      <c r="D1157" s="1">
        <v>758.63</v>
      </c>
      <c r="E1157" s="1">
        <v>1332.9</v>
      </c>
      <c r="F1157" s="1">
        <v>375.53</v>
      </c>
      <c r="G1157" s="1">
        <v>10054.59</v>
      </c>
      <c r="H1157" s="1">
        <v>1079.0999999999999</v>
      </c>
      <c r="I1157" s="1">
        <v>2639.32</v>
      </c>
      <c r="J1157" s="1">
        <v>19528.8</v>
      </c>
    </row>
    <row r="1158" spans="1:10">
      <c r="A1158" s="2">
        <v>45174</v>
      </c>
      <c r="B1158" s="1">
        <v>1197.3599999999999</v>
      </c>
      <c r="C1158" s="1">
        <v>3125.83</v>
      </c>
      <c r="D1158" s="1">
        <v>754.01</v>
      </c>
      <c r="E1158" s="1">
        <v>1345.46</v>
      </c>
      <c r="F1158" s="1">
        <v>380.34</v>
      </c>
      <c r="G1158" s="1">
        <v>9957.2199999999993</v>
      </c>
      <c r="H1158" s="1">
        <v>1101.49</v>
      </c>
      <c r="I1158" s="1">
        <v>2660.59</v>
      </c>
      <c r="J1158" s="1">
        <v>19574.900000000001</v>
      </c>
    </row>
    <row r="1159" spans="1:10">
      <c r="A1159" s="2">
        <v>45175</v>
      </c>
      <c r="B1159" s="1">
        <v>1199.8800000000001</v>
      </c>
      <c r="C1159" s="1">
        <v>3126.33</v>
      </c>
      <c r="D1159" s="1">
        <v>763.87</v>
      </c>
      <c r="E1159" s="1">
        <v>1344.14</v>
      </c>
      <c r="F1159" s="1">
        <v>384.07</v>
      </c>
      <c r="G1159" s="1">
        <v>9876.4500000000007</v>
      </c>
      <c r="H1159" s="1">
        <v>1111.6500000000001</v>
      </c>
      <c r="I1159" s="1">
        <v>2658.16</v>
      </c>
      <c r="J1159" s="1">
        <v>19611.05</v>
      </c>
    </row>
    <row r="1160" spans="1:10">
      <c r="A1160" s="2">
        <v>45176</v>
      </c>
      <c r="B1160" s="1">
        <v>1201.51</v>
      </c>
      <c r="C1160" s="1">
        <v>3149.44</v>
      </c>
      <c r="D1160" s="1">
        <v>771.22</v>
      </c>
      <c r="E1160" s="1">
        <v>1333.9</v>
      </c>
      <c r="F1160" s="1">
        <v>382.74</v>
      </c>
      <c r="G1160" s="1">
        <v>9975.32</v>
      </c>
      <c r="H1160" s="1">
        <v>1102.5999999999999</v>
      </c>
      <c r="I1160" s="1">
        <v>2771.04</v>
      </c>
      <c r="J1160" s="1">
        <v>19727.05</v>
      </c>
    </row>
    <row r="1161" spans="1:10">
      <c r="A1161" s="2">
        <v>45177</v>
      </c>
      <c r="B1161" s="1">
        <v>1209.51</v>
      </c>
      <c r="C1161" s="1">
        <v>3137.27</v>
      </c>
      <c r="D1161" s="1">
        <v>777.23</v>
      </c>
      <c r="E1161" s="1">
        <v>1336.99</v>
      </c>
      <c r="F1161" s="1">
        <v>379.95</v>
      </c>
      <c r="G1161" s="1">
        <v>10025.049999999999</v>
      </c>
      <c r="H1161" s="1">
        <v>1100.07</v>
      </c>
      <c r="I1161" s="1">
        <v>2824.78</v>
      </c>
      <c r="J1161" s="1">
        <v>19819.95</v>
      </c>
    </row>
    <row r="1162" spans="1:10">
      <c r="A1162" s="2">
        <v>45180</v>
      </c>
      <c r="B1162" s="1">
        <v>1222.56</v>
      </c>
      <c r="C1162" s="1">
        <v>3172.59</v>
      </c>
      <c r="D1162" s="1">
        <v>781.25</v>
      </c>
      <c r="E1162" s="1">
        <v>1343.23</v>
      </c>
      <c r="F1162" s="1">
        <v>383.86</v>
      </c>
      <c r="G1162" s="1">
        <v>10220.9</v>
      </c>
      <c r="H1162" s="1">
        <v>1106.3499999999999</v>
      </c>
      <c r="I1162" s="1">
        <v>2817.57</v>
      </c>
      <c r="J1162" s="1">
        <v>19996.349999999999</v>
      </c>
    </row>
    <row r="1163" spans="1:10">
      <c r="A1163" s="2">
        <v>45181</v>
      </c>
      <c r="B1163" s="1">
        <v>1204.8900000000001</v>
      </c>
      <c r="C1163" s="1">
        <v>3263.88</v>
      </c>
      <c r="D1163" s="1">
        <v>783.69</v>
      </c>
      <c r="E1163" s="1">
        <v>1365.65</v>
      </c>
      <c r="F1163" s="1">
        <v>387.25</v>
      </c>
      <c r="G1163" s="1">
        <v>10191.549999999999</v>
      </c>
      <c r="H1163" s="1">
        <v>1114.48</v>
      </c>
      <c r="I1163" s="1">
        <v>2866.15</v>
      </c>
      <c r="J1163" s="1">
        <v>19993.2</v>
      </c>
    </row>
    <row r="1164" spans="1:10">
      <c r="A1164" s="2">
        <v>45182</v>
      </c>
      <c r="B1164" s="1">
        <v>1210.92</v>
      </c>
      <c r="C1164" s="1">
        <v>3252.08</v>
      </c>
      <c r="D1164" s="1">
        <v>787.05</v>
      </c>
      <c r="E1164" s="1">
        <v>1363.15</v>
      </c>
      <c r="F1164" s="1">
        <v>389.26</v>
      </c>
      <c r="G1164" s="1">
        <v>10162.25</v>
      </c>
      <c r="H1164" s="1">
        <v>1117.8800000000001</v>
      </c>
      <c r="I1164" s="1">
        <v>2829.79</v>
      </c>
      <c r="J1164" s="1">
        <v>20070</v>
      </c>
    </row>
    <row r="1165" spans="1:10">
      <c r="A1165" s="2">
        <v>45183</v>
      </c>
      <c r="B1165" s="1">
        <v>1212.03</v>
      </c>
      <c r="C1165" s="1">
        <v>3244.97</v>
      </c>
      <c r="D1165" s="1">
        <v>786.57</v>
      </c>
      <c r="E1165" s="1">
        <v>1370.97</v>
      </c>
      <c r="F1165" s="1">
        <v>386.22</v>
      </c>
      <c r="G1165" s="1">
        <v>10176.56</v>
      </c>
      <c r="H1165" s="1">
        <v>1113.07</v>
      </c>
      <c r="I1165" s="1">
        <v>2841.33</v>
      </c>
      <c r="J1165" s="1">
        <v>20103.099999999999</v>
      </c>
    </row>
    <row r="1166" spans="1:10">
      <c r="A1166" s="2">
        <v>45184</v>
      </c>
      <c r="B1166" s="1">
        <v>1214.28</v>
      </c>
      <c r="C1166" s="1">
        <v>3279.83</v>
      </c>
      <c r="D1166" s="1">
        <v>795.59</v>
      </c>
      <c r="E1166" s="1">
        <v>1375.2</v>
      </c>
      <c r="F1166" s="1">
        <v>384.84</v>
      </c>
      <c r="G1166" s="1">
        <v>10212.56</v>
      </c>
      <c r="H1166" s="1">
        <v>1118.9000000000001</v>
      </c>
      <c r="I1166" s="1">
        <v>2831.54</v>
      </c>
      <c r="J1166" s="1">
        <v>20192.349999999999</v>
      </c>
    </row>
    <row r="1167" spans="1:10">
      <c r="A1167" s="2">
        <v>45187</v>
      </c>
      <c r="B1167" s="1">
        <v>1203.71</v>
      </c>
      <c r="C1167" s="1">
        <v>3286.99</v>
      </c>
      <c r="D1167" s="1">
        <v>779.94</v>
      </c>
      <c r="E1167" s="1">
        <v>1357.19</v>
      </c>
      <c r="F1167" s="1">
        <v>388.02</v>
      </c>
      <c r="G1167" s="1">
        <v>10209.5</v>
      </c>
      <c r="H1167" s="1">
        <v>1116.81</v>
      </c>
      <c r="I1167" s="1">
        <v>2842.54</v>
      </c>
      <c r="J1167" s="1">
        <v>20133.3</v>
      </c>
    </row>
    <row r="1168" spans="1:10">
      <c r="A1168" s="2">
        <v>45189</v>
      </c>
      <c r="B1168" s="1">
        <v>1176.8800000000001</v>
      </c>
      <c r="C1168" s="1">
        <v>3286.89</v>
      </c>
      <c r="D1168" s="1">
        <v>748.65</v>
      </c>
      <c r="E1168" s="1">
        <v>1355.78</v>
      </c>
      <c r="F1168" s="1">
        <v>388.79</v>
      </c>
      <c r="G1168" s="1">
        <v>10039.36</v>
      </c>
      <c r="H1168" s="1">
        <v>1122.1600000000001</v>
      </c>
      <c r="I1168" s="1">
        <v>2813.48</v>
      </c>
      <c r="J1168" s="1">
        <v>19901.400000000001</v>
      </c>
    </row>
    <row r="1169" spans="1:10">
      <c r="A1169" s="2">
        <v>45190</v>
      </c>
      <c r="B1169" s="1">
        <v>1168.31</v>
      </c>
      <c r="C1169" s="1">
        <v>3267.98</v>
      </c>
      <c r="D1169" s="1">
        <v>743.69</v>
      </c>
      <c r="E1169" s="1">
        <v>1366.24</v>
      </c>
      <c r="F1169" s="1">
        <v>384.11</v>
      </c>
      <c r="G1169" s="1">
        <v>9978.76</v>
      </c>
      <c r="H1169" s="1">
        <v>1115.3499999999999</v>
      </c>
      <c r="I1169" s="1">
        <v>2822.59</v>
      </c>
      <c r="J1169" s="1">
        <v>19742.349999999999</v>
      </c>
    </row>
    <row r="1170" spans="1:10">
      <c r="A1170" s="2">
        <v>45191</v>
      </c>
      <c r="B1170" s="1">
        <v>1163.44</v>
      </c>
      <c r="C1170" s="1">
        <v>3284.71</v>
      </c>
      <c r="D1170" s="1">
        <v>732.35</v>
      </c>
      <c r="E1170" s="1">
        <v>1361.15</v>
      </c>
      <c r="F1170" s="1">
        <v>380.34</v>
      </c>
      <c r="G1170" s="1">
        <v>10222.16</v>
      </c>
      <c r="H1170" s="1">
        <v>1101.92</v>
      </c>
      <c r="I1170" s="1">
        <v>2841.23</v>
      </c>
      <c r="J1170" s="1">
        <v>19674.25</v>
      </c>
    </row>
    <row r="1171" spans="1:10">
      <c r="A1171" s="2">
        <v>45194</v>
      </c>
      <c r="B1171" s="1">
        <v>1156.28</v>
      </c>
      <c r="C1171" s="1">
        <v>3260.55</v>
      </c>
      <c r="D1171" s="1">
        <v>732.99</v>
      </c>
      <c r="E1171" s="1">
        <v>1341.13</v>
      </c>
      <c r="F1171" s="1">
        <v>379.91</v>
      </c>
      <c r="G1171" s="1">
        <v>10273.64</v>
      </c>
      <c r="H1171" s="1">
        <v>1093.8499999999999</v>
      </c>
      <c r="I1171" s="1">
        <v>2825.65</v>
      </c>
      <c r="J1171" s="1">
        <v>19674.55</v>
      </c>
    </row>
    <row r="1172" spans="1:10">
      <c r="A1172" s="2">
        <v>45195</v>
      </c>
      <c r="B1172" s="1">
        <v>1157.29</v>
      </c>
      <c r="C1172" s="1">
        <v>3268.35</v>
      </c>
      <c r="D1172" s="1">
        <v>736.18</v>
      </c>
      <c r="E1172" s="1">
        <v>1328.85</v>
      </c>
      <c r="F1172" s="1">
        <v>379.78</v>
      </c>
      <c r="G1172" s="1">
        <v>10243.02</v>
      </c>
      <c r="H1172" s="1">
        <v>1095.5999999999999</v>
      </c>
      <c r="I1172" s="1">
        <v>2835.44</v>
      </c>
      <c r="J1172" s="1">
        <v>19664.7</v>
      </c>
    </row>
    <row r="1173" spans="1:10">
      <c r="A1173" s="2">
        <v>45196</v>
      </c>
      <c r="B1173" s="1">
        <v>1170.3399999999999</v>
      </c>
      <c r="C1173" s="1">
        <v>3271.63</v>
      </c>
      <c r="D1173" s="1">
        <v>731.01</v>
      </c>
      <c r="E1173" s="1">
        <v>1334.63</v>
      </c>
      <c r="F1173" s="1">
        <v>385.53</v>
      </c>
      <c r="G1173" s="1">
        <v>10363.44</v>
      </c>
      <c r="H1173" s="1">
        <v>1109.32</v>
      </c>
      <c r="I1173" s="1">
        <v>2886.55</v>
      </c>
      <c r="J1173" s="1">
        <v>19716.45</v>
      </c>
    </row>
    <row r="1174" spans="1:10">
      <c r="A1174" s="2">
        <v>45197</v>
      </c>
      <c r="B1174" s="1">
        <v>1153.1400000000001</v>
      </c>
      <c r="C1174" s="1">
        <v>3223.73</v>
      </c>
      <c r="D1174" s="1">
        <v>729.5</v>
      </c>
      <c r="E1174" s="1">
        <v>1309.57</v>
      </c>
      <c r="F1174" s="1">
        <v>378.32</v>
      </c>
      <c r="G1174" s="1">
        <v>10251.459999999999</v>
      </c>
      <c r="H1174" s="1">
        <v>1101.8800000000001</v>
      </c>
      <c r="I1174" s="1">
        <v>2930.31</v>
      </c>
      <c r="J1174" s="1">
        <v>19523.55</v>
      </c>
    </row>
    <row r="1175" spans="1:10">
      <c r="A1175" s="2">
        <v>45198</v>
      </c>
      <c r="B1175" s="1">
        <v>1158.53</v>
      </c>
      <c r="C1175" s="1">
        <v>3216.3</v>
      </c>
      <c r="D1175" s="1">
        <v>730.74</v>
      </c>
      <c r="E1175" s="1">
        <v>1305.93</v>
      </c>
      <c r="F1175" s="1">
        <v>381.45</v>
      </c>
      <c r="G1175" s="1">
        <v>10295.370000000001</v>
      </c>
      <c r="H1175" s="1">
        <v>1127.52</v>
      </c>
      <c r="I1175" s="1">
        <v>2943.5</v>
      </c>
      <c r="J1175" s="1">
        <v>19638.3</v>
      </c>
    </row>
    <row r="1176" spans="1:10">
      <c r="A1176" s="2">
        <v>45202</v>
      </c>
      <c r="B1176" s="1">
        <v>1145.26</v>
      </c>
      <c r="C1176" s="1">
        <v>3202.85</v>
      </c>
      <c r="D1176" s="1">
        <v>722</v>
      </c>
      <c r="E1176" s="1">
        <v>1304.6099999999999</v>
      </c>
      <c r="F1176" s="1">
        <v>377.46</v>
      </c>
      <c r="G1176" s="1">
        <v>10039.5</v>
      </c>
      <c r="H1176" s="1">
        <v>1110.78</v>
      </c>
      <c r="I1176" s="1">
        <v>2991.88</v>
      </c>
      <c r="J1176" s="1">
        <v>19528.75</v>
      </c>
    </row>
    <row r="1177" spans="1:10">
      <c r="A1177" s="2">
        <v>45203</v>
      </c>
      <c r="B1177" s="1">
        <v>1143.29</v>
      </c>
      <c r="C1177" s="1">
        <v>3224.64</v>
      </c>
      <c r="D1177" s="1">
        <v>732.3</v>
      </c>
      <c r="E1177" s="1">
        <v>1314.02</v>
      </c>
      <c r="F1177" s="1">
        <v>374.33</v>
      </c>
      <c r="G1177" s="1">
        <v>9828.9</v>
      </c>
      <c r="H1177" s="1">
        <v>1093.5999999999999</v>
      </c>
      <c r="I1177" s="1">
        <v>2947.59</v>
      </c>
      <c r="J1177" s="1">
        <v>19436.099999999999</v>
      </c>
    </row>
    <row r="1178" spans="1:10">
      <c r="A1178" s="2">
        <v>45204</v>
      </c>
      <c r="B1178" s="1">
        <v>1143.26</v>
      </c>
      <c r="C1178" s="1">
        <v>3271.67</v>
      </c>
      <c r="D1178" s="1">
        <v>735.27</v>
      </c>
      <c r="E1178" s="1">
        <v>1331.4</v>
      </c>
      <c r="F1178" s="1">
        <v>374.29</v>
      </c>
      <c r="G1178" s="1">
        <v>9906.82</v>
      </c>
      <c r="H1178" s="1">
        <v>1089.03</v>
      </c>
      <c r="I1178" s="1">
        <v>3014.08</v>
      </c>
      <c r="J1178" s="1">
        <v>19545.75</v>
      </c>
    </row>
    <row r="1179" spans="1:10">
      <c r="A1179" s="2">
        <v>45205</v>
      </c>
      <c r="B1179" s="1">
        <v>1145.19</v>
      </c>
      <c r="C1179" s="1">
        <v>3300.89</v>
      </c>
      <c r="D1179" s="1">
        <v>734.45</v>
      </c>
      <c r="E1179" s="1">
        <v>1345.27</v>
      </c>
      <c r="F1179" s="1">
        <v>379.52</v>
      </c>
      <c r="G1179" s="1">
        <v>9995.99</v>
      </c>
      <c r="H1179" s="1">
        <v>1097.01</v>
      </c>
      <c r="I1179" s="1">
        <v>3011.79</v>
      </c>
      <c r="J1179" s="1">
        <v>19653.5</v>
      </c>
    </row>
    <row r="1180" spans="1:10">
      <c r="A1180" s="2">
        <v>45208</v>
      </c>
      <c r="B1180" s="1">
        <v>1135.43</v>
      </c>
      <c r="C1180" s="1">
        <v>3316.34</v>
      </c>
      <c r="D1180" s="1">
        <v>725.93</v>
      </c>
      <c r="E1180" s="1">
        <v>1342.32</v>
      </c>
      <c r="F1180" s="1">
        <v>378.06</v>
      </c>
      <c r="G1180" s="1">
        <v>9940.44</v>
      </c>
      <c r="H1180" s="1">
        <v>1092.8699999999999</v>
      </c>
      <c r="I1180" s="1">
        <v>2993.29</v>
      </c>
      <c r="J1180" s="1">
        <v>19512.349999999999</v>
      </c>
    </row>
    <row r="1181" spans="1:10">
      <c r="A1181" s="2">
        <v>45209</v>
      </c>
      <c r="B1181" s="1">
        <v>1140.45</v>
      </c>
      <c r="C1181" s="1">
        <v>3307.72</v>
      </c>
      <c r="D1181" s="1">
        <v>730.05</v>
      </c>
      <c r="E1181" s="1">
        <v>1360.24</v>
      </c>
      <c r="F1181" s="1">
        <v>381.45</v>
      </c>
      <c r="G1181" s="1">
        <v>10066.77</v>
      </c>
      <c r="H1181" s="1">
        <v>1096.23</v>
      </c>
      <c r="I1181" s="1">
        <v>2994.56</v>
      </c>
      <c r="J1181" s="1">
        <v>19689.849999999999</v>
      </c>
    </row>
    <row r="1182" spans="1:10">
      <c r="A1182" s="2">
        <v>45210</v>
      </c>
      <c r="B1182" s="1">
        <v>1158.55</v>
      </c>
      <c r="C1182" s="1">
        <v>3290.4</v>
      </c>
      <c r="D1182" s="1">
        <v>737.11</v>
      </c>
      <c r="E1182" s="1">
        <v>1359.56</v>
      </c>
      <c r="F1182" s="1">
        <v>384.76</v>
      </c>
      <c r="G1182" s="1">
        <v>10102.77</v>
      </c>
      <c r="H1182" s="1">
        <v>1098.42</v>
      </c>
      <c r="I1182" s="1">
        <v>3006.92</v>
      </c>
      <c r="J1182" s="1">
        <v>19811.349999999999</v>
      </c>
    </row>
    <row r="1183" spans="1:10">
      <c r="A1183" s="2">
        <v>45211</v>
      </c>
      <c r="B1183" s="1">
        <v>1160.7</v>
      </c>
      <c r="C1183" s="1">
        <v>3229.01</v>
      </c>
      <c r="D1183" s="1">
        <v>742.02</v>
      </c>
      <c r="E1183" s="1">
        <v>1333.26</v>
      </c>
      <c r="F1183" s="1">
        <v>386.86</v>
      </c>
      <c r="G1183" s="1">
        <v>10266.549999999999</v>
      </c>
      <c r="H1183" s="1">
        <v>1100.03</v>
      </c>
      <c r="I1183" s="1">
        <v>3000.16</v>
      </c>
      <c r="J1183" s="1">
        <v>19794</v>
      </c>
    </row>
    <row r="1184" spans="1:10">
      <c r="A1184" s="2">
        <v>45212</v>
      </c>
      <c r="B1184" s="1">
        <v>1160.6500000000001</v>
      </c>
      <c r="C1184" s="1">
        <v>3254.81</v>
      </c>
      <c r="D1184" s="1">
        <v>735.27</v>
      </c>
      <c r="E1184" s="1">
        <v>1302.01</v>
      </c>
      <c r="F1184" s="1">
        <v>384.84</v>
      </c>
      <c r="G1184" s="1">
        <v>10408.85</v>
      </c>
      <c r="H1184" s="1">
        <v>1114.53</v>
      </c>
      <c r="I1184" s="1">
        <v>3007.8</v>
      </c>
      <c r="J1184" s="1">
        <v>19751.05</v>
      </c>
    </row>
    <row r="1185" spans="1:10">
      <c r="A1185" s="2">
        <v>45215</v>
      </c>
      <c r="B1185" s="1">
        <v>1158.06</v>
      </c>
      <c r="C1185" s="1">
        <v>3212.15</v>
      </c>
      <c r="D1185" s="1">
        <v>732.32</v>
      </c>
      <c r="E1185" s="1">
        <v>1304.74</v>
      </c>
      <c r="F1185" s="1">
        <v>385.36</v>
      </c>
      <c r="G1185" s="1">
        <v>10386.48</v>
      </c>
      <c r="H1185" s="1">
        <v>1104.79</v>
      </c>
      <c r="I1185" s="1">
        <v>3019.77</v>
      </c>
      <c r="J1185" s="1">
        <v>19731.75</v>
      </c>
    </row>
    <row r="1186" spans="1:10">
      <c r="A1186" s="2">
        <v>45216</v>
      </c>
      <c r="B1186" s="1">
        <v>1163.5899999999999</v>
      </c>
      <c r="C1186" s="1">
        <v>3196.66</v>
      </c>
      <c r="D1186" s="1">
        <v>737.88</v>
      </c>
      <c r="E1186" s="1">
        <v>1312.29</v>
      </c>
      <c r="F1186" s="1">
        <v>389.22</v>
      </c>
      <c r="G1186" s="1">
        <v>10431.41</v>
      </c>
      <c r="H1186" s="1">
        <v>1106.25</v>
      </c>
      <c r="I1186" s="1">
        <v>2985.12</v>
      </c>
      <c r="J1186" s="1">
        <v>19811.5</v>
      </c>
    </row>
    <row r="1187" spans="1:10">
      <c r="A1187" s="2">
        <v>45217</v>
      </c>
      <c r="B1187" s="1">
        <v>1148.1500000000001</v>
      </c>
      <c r="C1187" s="1">
        <v>3178.61</v>
      </c>
      <c r="D1187" s="1">
        <v>727.61</v>
      </c>
      <c r="E1187" s="1">
        <v>1310.57</v>
      </c>
      <c r="F1187" s="1">
        <v>387.68</v>
      </c>
      <c r="G1187" s="1">
        <v>10467.94</v>
      </c>
      <c r="H1187" s="1">
        <v>1122.4100000000001</v>
      </c>
      <c r="I1187" s="1">
        <v>2964.96</v>
      </c>
      <c r="J1187" s="1">
        <v>19671.099999999999</v>
      </c>
    </row>
    <row r="1188" spans="1:10">
      <c r="A1188" s="2">
        <v>45218</v>
      </c>
      <c r="B1188" s="1">
        <v>1139.3399999999999</v>
      </c>
      <c r="C1188" s="1">
        <v>3157.96</v>
      </c>
      <c r="D1188" s="1">
        <v>725.31</v>
      </c>
      <c r="E1188" s="1">
        <v>1304.29</v>
      </c>
      <c r="F1188" s="1">
        <v>386.6</v>
      </c>
      <c r="G1188" s="1">
        <v>10451.68</v>
      </c>
      <c r="H1188" s="1">
        <v>1110.83</v>
      </c>
      <c r="I1188" s="1">
        <v>2973.53</v>
      </c>
      <c r="J1188" s="1">
        <v>19624.7</v>
      </c>
    </row>
    <row r="1189" spans="1:10">
      <c r="A1189" s="2">
        <v>45219</v>
      </c>
      <c r="B1189" s="1">
        <v>1135.8499999999999</v>
      </c>
      <c r="C1189" s="1">
        <v>3193.5</v>
      </c>
      <c r="D1189" s="1">
        <v>729.07</v>
      </c>
      <c r="E1189" s="1">
        <v>1298.47</v>
      </c>
      <c r="F1189" s="1">
        <v>376.22</v>
      </c>
      <c r="G1189" s="1">
        <v>10407</v>
      </c>
      <c r="H1189" s="1">
        <v>1111.51</v>
      </c>
      <c r="I1189" s="1">
        <v>2932.59</v>
      </c>
      <c r="J1189" s="1">
        <v>19542.650000000001</v>
      </c>
    </row>
    <row r="1190" spans="1:10">
      <c r="A1190" s="2">
        <v>45222</v>
      </c>
      <c r="B1190" s="1">
        <v>1118.1199999999999</v>
      </c>
      <c r="C1190" s="1">
        <v>3116.38</v>
      </c>
      <c r="D1190" s="1">
        <v>721.05</v>
      </c>
      <c r="E1190" s="1">
        <v>1281.54</v>
      </c>
      <c r="F1190" s="1">
        <v>374.16</v>
      </c>
      <c r="G1190" s="1">
        <v>10240.11</v>
      </c>
      <c r="H1190" s="1">
        <v>1092.29</v>
      </c>
      <c r="I1190" s="1">
        <v>2879.97</v>
      </c>
      <c r="J1190" s="1">
        <v>19281.75</v>
      </c>
    </row>
    <row r="1191" spans="1:10">
      <c r="A1191" s="2">
        <v>45224</v>
      </c>
      <c r="B1191" s="1">
        <v>1115.52</v>
      </c>
      <c r="C1191" s="1">
        <v>3098.05</v>
      </c>
      <c r="D1191" s="1">
        <v>716.48</v>
      </c>
      <c r="E1191" s="1">
        <v>1262.56</v>
      </c>
      <c r="F1191" s="1">
        <v>371.41</v>
      </c>
      <c r="G1191" s="1">
        <v>10274.27</v>
      </c>
      <c r="H1191" s="1">
        <v>1090.2</v>
      </c>
      <c r="I1191" s="1">
        <v>2838.89</v>
      </c>
      <c r="J1191" s="1">
        <v>19122.150000000001</v>
      </c>
    </row>
    <row r="1192" spans="1:10">
      <c r="A1192" s="2">
        <v>45225</v>
      </c>
      <c r="B1192" s="1">
        <v>1099.98</v>
      </c>
      <c r="C1192" s="1">
        <v>3049.3</v>
      </c>
      <c r="D1192" s="1">
        <v>700.63</v>
      </c>
      <c r="E1192" s="1">
        <v>1252.79</v>
      </c>
      <c r="F1192" s="1">
        <v>372.83</v>
      </c>
      <c r="G1192" s="1">
        <v>10114.459999999999</v>
      </c>
      <c r="H1192" s="1">
        <v>1074.04</v>
      </c>
      <c r="I1192" s="1">
        <v>2788.76</v>
      </c>
      <c r="J1192" s="1">
        <v>18857.25</v>
      </c>
    </row>
    <row r="1193" spans="1:10">
      <c r="A1193" s="2">
        <v>45226</v>
      </c>
      <c r="B1193" s="1">
        <v>1119.4000000000001</v>
      </c>
      <c r="C1193" s="1">
        <v>3062.28</v>
      </c>
      <c r="D1193" s="1">
        <v>703.38</v>
      </c>
      <c r="E1193" s="1">
        <v>1272.05</v>
      </c>
      <c r="F1193" s="1">
        <v>372.31</v>
      </c>
      <c r="G1193" s="1">
        <v>10246.950000000001</v>
      </c>
      <c r="H1193" s="1">
        <v>1081.44</v>
      </c>
      <c r="I1193" s="1">
        <v>2825.07</v>
      </c>
      <c r="J1193" s="1">
        <v>19047.25</v>
      </c>
    </row>
    <row r="1194" spans="1:10">
      <c r="A1194" s="2">
        <v>45229</v>
      </c>
      <c r="B1194" s="1">
        <v>1142.47</v>
      </c>
      <c r="C1194" s="1">
        <v>3087.5</v>
      </c>
      <c r="D1194" s="1">
        <v>711.02</v>
      </c>
      <c r="E1194" s="1">
        <v>1269.01</v>
      </c>
      <c r="F1194" s="1">
        <v>369.48</v>
      </c>
      <c r="G1194" s="1">
        <v>10088.790000000001</v>
      </c>
      <c r="H1194" s="1">
        <v>1085.23</v>
      </c>
      <c r="I1194" s="1">
        <v>2848.87</v>
      </c>
      <c r="J1194" s="1">
        <v>19140.900000000001</v>
      </c>
    </row>
    <row r="1195" spans="1:10">
      <c r="A1195" s="2">
        <v>45230</v>
      </c>
      <c r="B1195" s="1">
        <v>1130.32</v>
      </c>
      <c r="C1195" s="1">
        <v>3078.54</v>
      </c>
      <c r="D1195" s="1">
        <v>706.9</v>
      </c>
      <c r="E1195" s="1">
        <v>1261.04</v>
      </c>
      <c r="F1195" s="1">
        <v>367.72</v>
      </c>
      <c r="G1195" s="1">
        <v>10083.56</v>
      </c>
      <c r="H1195" s="1">
        <v>1059.3499999999999</v>
      </c>
      <c r="I1195" s="1">
        <v>2851.5</v>
      </c>
      <c r="J1195" s="1">
        <v>19079.599999999999</v>
      </c>
    </row>
    <row r="1196" spans="1:10">
      <c r="A1196" s="2">
        <v>45231</v>
      </c>
      <c r="B1196" s="1">
        <v>1135.01</v>
      </c>
      <c r="C1196" s="1">
        <v>3043.72</v>
      </c>
      <c r="D1196" s="1">
        <v>705.94</v>
      </c>
      <c r="E1196" s="1">
        <v>1247.9100000000001</v>
      </c>
      <c r="F1196" s="1">
        <v>367.46</v>
      </c>
      <c r="G1196" s="1">
        <v>9923.89</v>
      </c>
      <c r="H1196" s="1">
        <v>1086.21</v>
      </c>
      <c r="I1196" s="1">
        <v>2818.64</v>
      </c>
      <c r="J1196" s="1">
        <v>18989.150000000001</v>
      </c>
    </row>
    <row r="1197" spans="1:10">
      <c r="A1197" s="2">
        <v>45232</v>
      </c>
      <c r="B1197" s="1">
        <v>1146.28</v>
      </c>
      <c r="C1197" s="1">
        <v>3070.64</v>
      </c>
      <c r="D1197" s="1">
        <v>707.02</v>
      </c>
      <c r="E1197" s="1">
        <v>1262.6500000000001</v>
      </c>
      <c r="F1197" s="1">
        <v>370.08</v>
      </c>
      <c r="G1197" s="1">
        <v>9997.49</v>
      </c>
      <c r="H1197" s="1">
        <v>1102.4100000000001</v>
      </c>
      <c r="I1197" s="1">
        <v>2840.84</v>
      </c>
      <c r="J1197" s="1">
        <v>19133.25</v>
      </c>
    </row>
    <row r="1198" spans="1:10">
      <c r="A1198" s="2">
        <v>45233</v>
      </c>
      <c r="B1198" s="1">
        <v>1146.03</v>
      </c>
      <c r="C1198" s="1">
        <v>3062.23</v>
      </c>
      <c r="D1198" s="1">
        <v>710.37</v>
      </c>
      <c r="E1198" s="1">
        <v>1280.07</v>
      </c>
      <c r="F1198" s="1">
        <v>371.88</v>
      </c>
      <c r="G1198" s="1">
        <v>9971</v>
      </c>
      <c r="H1198" s="1">
        <v>1110.44</v>
      </c>
      <c r="I1198" s="1">
        <v>2834.17</v>
      </c>
      <c r="J1198" s="1">
        <v>19230.599999999999</v>
      </c>
    </row>
    <row r="1199" spans="1:10">
      <c r="A1199" s="2">
        <v>45236</v>
      </c>
      <c r="B1199" s="1">
        <v>1155.56</v>
      </c>
      <c r="C1199" s="1">
        <v>3089.05</v>
      </c>
      <c r="D1199" s="1">
        <v>715.52</v>
      </c>
      <c r="E1199" s="1">
        <v>1293.2</v>
      </c>
      <c r="F1199" s="1">
        <v>373.68</v>
      </c>
      <c r="G1199" s="1">
        <v>9979.2999999999993</v>
      </c>
      <c r="H1199" s="1">
        <v>1119.0999999999999</v>
      </c>
      <c r="I1199" s="1">
        <v>2896.67</v>
      </c>
      <c r="J1199" s="1">
        <v>19411.75</v>
      </c>
    </row>
    <row r="1200" spans="1:10">
      <c r="A1200" s="2">
        <v>45237</v>
      </c>
      <c r="B1200" s="1">
        <v>1148.06</v>
      </c>
      <c r="C1200" s="1">
        <v>3080.1</v>
      </c>
      <c r="D1200" s="1">
        <v>712.05</v>
      </c>
      <c r="E1200" s="1">
        <v>1294.1199999999999</v>
      </c>
      <c r="F1200" s="1">
        <v>371.41</v>
      </c>
      <c r="G1200" s="1">
        <v>9948.69</v>
      </c>
      <c r="H1200" s="1">
        <v>1139.49</v>
      </c>
      <c r="I1200" s="1">
        <v>2882.9</v>
      </c>
      <c r="J1200" s="1">
        <v>19406.7</v>
      </c>
    </row>
    <row r="1201" spans="1:10">
      <c r="A1201" s="2">
        <v>45238</v>
      </c>
      <c r="B1201" s="1">
        <v>1154.03</v>
      </c>
      <c r="C1201" s="1">
        <v>3090.24</v>
      </c>
      <c r="D1201" s="1">
        <v>714.11</v>
      </c>
      <c r="E1201" s="1">
        <v>1281.8699999999999</v>
      </c>
      <c r="F1201" s="1">
        <v>375.06</v>
      </c>
      <c r="G1201" s="1">
        <v>10015.629999999999</v>
      </c>
      <c r="H1201" s="1">
        <v>1145.08</v>
      </c>
      <c r="I1201" s="1">
        <v>2917.11</v>
      </c>
      <c r="J1201" s="1">
        <v>19443.5</v>
      </c>
    </row>
    <row r="1202" spans="1:10">
      <c r="A1202" s="2">
        <v>45239</v>
      </c>
      <c r="B1202" s="1">
        <v>1141.51</v>
      </c>
      <c r="C1202" s="1">
        <v>3059.08</v>
      </c>
      <c r="D1202" s="1">
        <v>711.28</v>
      </c>
      <c r="E1202" s="1">
        <v>1266.94</v>
      </c>
      <c r="F1202" s="1">
        <v>372.87</v>
      </c>
      <c r="G1202" s="1">
        <v>10091.370000000001</v>
      </c>
      <c r="H1202" s="1">
        <v>1144.5999999999999</v>
      </c>
      <c r="I1202" s="1">
        <v>2944.76</v>
      </c>
      <c r="J1202" s="1">
        <v>19395.3</v>
      </c>
    </row>
    <row r="1203" spans="1:10">
      <c r="A1203" s="2">
        <v>45240</v>
      </c>
      <c r="B1203" s="1">
        <v>1143.6600000000001</v>
      </c>
      <c r="C1203" s="1">
        <v>3046.28</v>
      </c>
      <c r="D1203" s="1">
        <v>714.08</v>
      </c>
      <c r="E1203" s="1">
        <v>1261.45</v>
      </c>
      <c r="F1203" s="1">
        <v>374.71</v>
      </c>
      <c r="G1203" s="1">
        <v>10080.16</v>
      </c>
      <c r="H1203" s="1">
        <v>1147.6600000000001</v>
      </c>
      <c r="I1203" s="1">
        <v>2952.94</v>
      </c>
      <c r="J1203" s="1">
        <v>19425.349999999999</v>
      </c>
    </row>
    <row r="1204" spans="1:10">
      <c r="A1204" s="2">
        <v>45243</v>
      </c>
      <c r="B1204" s="1">
        <v>1143.51</v>
      </c>
      <c r="C1204" s="1">
        <v>3044.55</v>
      </c>
      <c r="D1204" s="1">
        <v>712.79</v>
      </c>
      <c r="E1204" s="1">
        <v>1265.79</v>
      </c>
      <c r="F1204" s="1">
        <v>374.24</v>
      </c>
      <c r="G1204" s="1">
        <v>10089.469999999999</v>
      </c>
      <c r="H1204" s="1">
        <v>1146.1500000000001</v>
      </c>
      <c r="I1204" s="1">
        <v>2967.79</v>
      </c>
      <c r="J1204" s="1">
        <v>19443.55</v>
      </c>
    </row>
    <row r="1205" spans="1:10">
      <c r="A1205" s="2">
        <v>45245</v>
      </c>
      <c r="B1205" s="1">
        <v>1164.19</v>
      </c>
      <c r="C1205" s="1">
        <v>3111.03</v>
      </c>
      <c r="D1205" s="1">
        <v>720.26</v>
      </c>
      <c r="E1205" s="1">
        <v>1299.8399999999999</v>
      </c>
      <c r="F1205" s="1">
        <v>379.35</v>
      </c>
      <c r="G1205" s="1">
        <v>10145.41</v>
      </c>
      <c r="H1205" s="1">
        <v>1149.17</v>
      </c>
      <c r="I1205" s="1">
        <v>2983.8</v>
      </c>
      <c r="J1205" s="1">
        <v>19675.45</v>
      </c>
    </row>
    <row r="1206" spans="1:10">
      <c r="A1206" s="2">
        <v>45246</v>
      </c>
      <c r="B1206" s="1">
        <v>1166.29</v>
      </c>
      <c r="C1206" s="1">
        <v>3196.52</v>
      </c>
      <c r="D1206" s="1">
        <v>722.15</v>
      </c>
      <c r="E1206" s="1">
        <v>1331.54</v>
      </c>
      <c r="F1206" s="1">
        <v>376.52</v>
      </c>
      <c r="G1206" s="1">
        <v>10173.02</v>
      </c>
      <c r="H1206" s="1">
        <v>1157.5899999999999</v>
      </c>
      <c r="I1206" s="1">
        <v>2970.37</v>
      </c>
      <c r="J1206" s="1">
        <v>19765.2</v>
      </c>
    </row>
    <row r="1207" spans="1:10">
      <c r="A1207" s="2">
        <v>45247</v>
      </c>
      <c r="B1207" s="1">
        <v>1163.74</v>
      </c>
      <c r="C1207" s="1">
        <v>3200.72</v>
      </c>
      <c r="D1207" s="1">
        <v>720.59</v>
      </c>
      <c r="E1207" s="1">
        <v>1324.76</v>
      </c>
      <c r="F1207" s="1">
        <v>377.03</v>
      </c>
      <c r="G1207" s="1">
        <v>10210.86</v>
      </c>
      <c r="H1207" s="1">
        <v>1162.5</v>
      </c>
      <c r="I1207" s="1">
        <v>3026.68</v>
      </c>
      <c r="J1207" s="1">
        <v>19731.8</v>
      </c>
    </row>
    <row r="1208" spans="1:10">
      <c r="A1208" s="2">
        <v>45250</v>
      </c>
      <c r="B1208" s="1">
        <v>1160.68</v>
      </c>
      <c r="C1208" s="1">
        <v>3216.4</v>
      </c>
      <c r="D1208" s="1">
        <v>720.64</v>
      </c>
      <c r="E1208" s="1">
        <v>1323.89</v>
      </c>
      <c r="F1208" s="1">
        <v>374.93</v>
      </c>
      <c r="G1208" s="1">
        <v>10252.34</v>
      </c>
      <c r="H1208" s="1">
        <v>1156.08</v>
      </c>
      <c r="I1208" s="1">
        <v>3007.02</v>
      </c>
      <c r="J1208" s="1">
        <v>19694</v>
      </c>
    </row>
    <row r="1209" spans="1:10">
      <c r="A1209" s="2">
        <v>45251</v>
      </c>
      <c r="B1209" s="1">
        <v>1175.28</v>
      </c>
      <c r="C1209" s="1">
        <v>3207.81</v>
      </c>
      <c r="D1209" s="1">
        <v>726.74</v>
      </c>
      <c r="E1209" s="1">
        <v>1326.1</v>
      </c>
      <c r="F1209" s="1">
        <v>374.46</v>
      </c>
      <c r="G1209" s="1">
        <v>10222.16</v>
      </c>
      <c r="H1209" s="1">
        <v>1169.1199999999999</v>
      </c>
      <c r="I1209" s="1">
        <v>2993.44</v>
      </c>
      <c r="J1209" s="1">
        <v>19783.400000000001</v>
      </c>
    </row>
    <row r="1210" spans="1:10">
      <c r="A1210" s="2">
        <v>45252</v>
      </c>
      <c r="B1210" s="1">
        <v>1179.8699999999999</v>
      </c>
      <c r="C1210" s="1">
        <v>3226.04</v>
      </c>
      <c r="D1210" s="1">
        <v>724.16</v>
      </c>
      <c r="E1210" s="1">
        <v>1343.43</v>
      </c>
      <c r="F1210" s="1">
        <v>377.42</v>
      </c>
      <c r="G1210" s="1">
        <v>10182.77</v>
      </c>
      <c r="H1210" s="1">
        <v>1171.75</v>
      </c>
      <c r="I1210" s="1">
        <v>3000.69</v>
      </c>
      <c r="J1210" s="1">
        <v>19811.849999999999</v>
      </c>
    </row>
    <row r="1211" spans="1:10">
      <c r="A1211" s="2">
        <v>45253</v>
      </c>
      <c r="B1211" s="1">
        <v>1183.48</v>
      </c>
      <c r="C1211" s="1">
        <v>3206.02</v>
      </c>
      <c r="D1211" s="1">
        <v>728.35</v>
      </c>
      <c r="E1211" s="1">
        <v>1335.55</v>
      </c>
      <c r="F1211" s="1">
        <v>377.98</v>
      </c>
      <c r="G1211" s="1">
        <v>10176.9</v>
      </c>
      <c r="H1211" s="1">
        <v>1166.5899999999999</v>
      </c>
      <c r="I1211" s="1">
        <v>2965.01</v>
      </c>
      <c r="J1211" s="1">
        <v>19802</v>
      </c>
    </row>
    <row r="1212" spans="1:10">
      <c r="A1212" s="2">
        <v>45254</v>
      </c>
      <c r="B1212" s="1">
        <v>1182.69</v>
      </c>
      <c r="C1212" s="1">
        <v>3159.28</v>
      </c>
      <c r="D1212" s="1">
        <v>733.52</v>
      </c>
      <c r="E1212" s="1">
        <v>1324.63</v>
      </c>
      <c r="F1212" s="1">
        <v>375.79</v>
      </c>
      <c r="G1212" s="1">
        <v>10203.24</v>
      </c>
      <c r="H1212" s="1">
        <v>1163.33</v>
      </c>
      <c r="I1212" s="1">
        <v>2973.38</v>
      </c>
      <c r="J1212" s="1">
        <v>19794.7</v>
      </c>
    </row>
    <row r="1213" spans="1:10">
      <c r="A1213" s="2">
        <v>45258</v>
      </c>
      <c r="B1213" s="1">
        <v>1182.93</v>
      </c>
      <c r="C1213" s="1">
        <v>3171.21</v>
      </c>
      <c r="D1213" s="1">
        <v>731.87</v>
      </c>
      <c r="E1213" s="1">
        <v>1329.51</v>
      </c>
      <c r="F1213" s="1">
        <v>373.6</v>
      </c>
      <c r="G1213" s="1">
        <v>10224.49</v>
      </c>
      <c r="H1213" s="1">
        <v>1159.3399999999999</v>
      </c>
      <c r="I1213" s="1">
        <v>2969.25</v>
      </c>
      <c r="J1213" s="1">
        <v>19889.7</v>
      </c>
    </row>
    <row r="1214" spans="1:10">
      <c r="A1214" s="2">
        <v>45259</v>
      </c>
      <c r="B1214" s="1">
        <v>1186.05</v>
      </c>
      <c r="C1214" s="1">
        <v>3211.05</v>
      </c>
      <c r="D1214" s="1">
        <v>746.47</v>
      </c>
      <c r="E1214" s="1">
        <v>1345.08</v>
      </c>
      <c r="F1214" s="1">
        <v>375.27</v>
      </c>
      <c r="G1214" s="1">
        <v>10284.36</v>
      </c>
      <c r="H1214" s="1">
        <v>1169.9000000000001</v>
      </c>
      <c r="I1214" s="1">
        <v>3002.1</v>
      </c>
      <c r="J1214" s="1">
        <v>20096.599999999999</v>
      </c>
    </row>
    <row r="1215" spans="1:10">
      <c r="A1215" s="2">
        <v>45260</v>
      </c>
      <c r="B1215" s="1">
        <v>1174.56</v>
      </c>
      <c r="C1215" s="1">
        <v>3187.15</v>
      </c>
      <c r="D1215" s="1">
        <v>746.3</v>
      </c>
      <c r="E1215" s="1">
        <v>1340.98</v>
      </c>
      <c r="F1215" s="1">
        <v>374.07</v>
      </c>
      <c r="G1215" s="1">
        <v>10293.530000000001</v>
      </c>
      <c r="H1215" s="1">
        <v>1192.9100000000001</v>
      </c>
      <c r="I1215" s="1">
        <v>3026.88</v>
      </c>
      <c r="J1215" s="1">
        <v>20133.150000000001</v>
      </c>
    </row>
    <row r="1216" spans="1:10">
      <c r="A1216" s="2">
        <v>45261</v>
      </c>
      <c r="B1216" s="1">
        <v>1182.8900000000001</v>
      </c>
      <c r="C1216" s="1">
        <v>3209.13</v>
      </c>
      <c r="D1216" s="1">
        <v>744.67</v>
      </c>
      <c r="E1216" s="1">
        <v>1338.36</v>
      </c>
      <c r="F1216" s="1">
        <v>386.09</v>
      </c>
      <c r="G1216" s="1">
        <v>10271.209999999999</v>
      </c>
      <c r="H1216" s="1">
        <v>1198.17</v>
      </c>
      <c r="I1216" s="1">
        <v>3106.17</v>
      </c>
      <c r="J1216" s="1">
        <v>20267.900000000001</v>
      </c>
    </row>
    <row r="1217" spans="1:10">
      <c r="A1217" s="2">
        <v>45264</v>
      </c>
      <c r="B1217" s="1">
        <v>1195.68</v>
      </c>
      <c r="C1217" s="1">
        <v>3209.86</v>
      </c>
      <c r="D1217" s="1">
        <v>770.53</v>
      </c>
      <c r="E1217" s="1">
        <v>1349.46</v>
      </c>
      <c r="F1217" s="1">
        <v>389.74</v>
      </c>
      <c r="G1217" s="1">
        <v>10284.549999999999</v>
      </c>
      <c r="H1217" s="1">
        <v>1198.07</v>
      </c>
      <c r="I1217" s="1">
        <v>3225.82</v>
      </c>
      <c r="J1217" s="1">
        <v>20686.8</v>
      </c>
    </row>
    <row r="1218" spans="1:10">
      <c r="A1218" s="2">
        <v>45265</v>
      </c>
      <c r="B1218" s="1">
        <v>1204.3499999999999</v>
      </c>
      <c r="C1218" s="1">
        <v>3227.36</v>
      </c>
      <c r="D1218" s="1">
        <v>777.37</v>
      </c>
      <c r="E1218" s="1">
        <v>1339.88</v>
      </c>
      <c r="F1218" s="1">
        <v>387.76</v>
      </c>
      <c r="G1218" s="1">
        <v>10403.36</v>
      </c>
      <c r="H1218" s="1">
        <v>1206.24</v>
      </c>
      <c r="I1218" s="1">
        <v>3227.67</v>
      </c>
      <c r="J1218" s="1">
        <v>20855.099999999999</v>
      </c>
    </row>
    <row r="1219" spans="1:10">
      <c r="A1219" s="2">
        <v>45266</v>
      </c>
      <c r="B1219" s="1">
        <v>1215.8900000000001</v>
      </c>
      <c r="C1219" s="1">
        <v>3293.62</v>
      </c>
      <c r="D1219" s="1">
        <v>779.34</v>
      </c>
      <c r="E1219" s="1">
        <v>1358.63</v>
      </c>
      <c r="F1219" s="1">
        <v>397.63</v>
      </c>
      <c r="G1219" s="1">
        <v>10310.07</v>
      </c>
      <c r="H1219" s="1">
        <v>1207.02</v>
      </c>
      <c r="I1219" s="1">
        <v>3302.48</v>
      </c>
      <c r="J1219" s="1">
        <v>20937.7</v>
      </c>
    </row>
    <row r="1220" spans="1:10">
      <c r="A1220" s="2">
        <v>45267</v>
      </c>
      <c r="B1220" s="1">
        <v>1213.8900000000001</v>
      </c>
      <c r="C1220" s="1">
        <v>3303.49</v>
      </c>
      <c r="D1220" s="1">
        <v>780.61</v>
      </c>
      <c r="E1220" s="1">
        <v>1350.89</v>
      </c>
      <c r="F1220" s="1">
        <v>393.21</v>
      </c>
      <c r="G1220" s="1">
        <v>10378.86</v>
      </c>
      <c r="H1220" s="1">
        <v>1206</v>
      </c>
      <c r="I1220" s="1">
        <v>3266.76</v>
      </c>
      <c r="J1220" s="1">
        <v>20901.150000000001</v>
      </c>
    </row>
    <row r="1221" spans="1:10">
      <c r="A1221" s="2">
        <v>45268</v>
      </c>
      <c r="B1221" s="1">
        <v>1213.24</v>
      </c>
      <c r="C1221" s="1">
        <v>3314.27</v>
      </c>
      <c r="D1221" s="1">
        <v>791.5</v>
      </c>
      <c r="E1221" s="1">
        <v>1374.16</v>
      </c>
      <c r="F1221" s="1">
        <v>385.53</v>
      </c>
      <c r="G1221" s="1">
        <v>10303.08</v>
      </c>
      <c r="H1221" s="1">
        <v>1202.5899999999999</v>
      </c>
      <c r="I1221" s="1">
        <v>3289</v>
      </c>
      <c r="J1221" s="1">
        <v>20969.400000000001</v>
      </c>
    </row>
    <row r="1222" spans="1:10">
      <c r="A1222" s="2">
        <v>45271</v>
      </c>
      <c r="B1222" s="1">
        <v>1215.02</v>
      </c>
      <c r="C1222" s="1">
        <v>3329.07</v>
      </c>
      <c r="D1222" s="1">
        <v>790.44</v>
      </c>
      <c r="E1222" s="1">
        <v>1371.72</v>
      </c>
      <c r="F1222" s="1">
        <v>388.36</v>
      </c>
      <c r="G1222" s="1">
        <v>10228.57</v>
      </c>
      <c r="H1222" s="1">
        <v>1208.04</v>
      </c>
      <c r="I1222" s="1">
        <v>3296.16</v>
      </c>
      <c r="J1222" s="1">
        <v>20997.1</v>
      </c>
    </row>
    <row r="1223" spans="1:10">
      <c r="A1223" s="2">
        <v>45272</v>
      </c>
      <c r="B1223" s="1">
        <v>1197.58</v>
      </c>
      <c r="C1223" s="1">
        <v>3355.76</v>
      </c>
      <c r="D1223" s="1">
        <v>782.59</v>
      </c>
      <c r="E1223" s="1">
        <v>1360.24</v>
      </c>
      <c r="F1223" s="1">
        <v>388.92</v>
      </c>
      <c r="G1223" s="1">
        <v>10031.26</v>
      </c>
      <c r="H1223" s="1">
        <v>1185.27</v>
      </c>
      <c r="I1223" s="1">
        <v>3253.91</v>
      </c>
      <c r="J1223" s="1">
        <v>20906.400000000001</v>
      </c>
    </row>
    <row r="1224" spans="1:10">
      <c r="A1224" s="2">
        <v>45273</v>
      </c>
      <c r="B1224" s="1">
        <v>1202.47</v>
      </c>
      <c r="C1224" s="1">
        <v>3283.98</v>
      </c>
      <c r="D1224" s="1">
        <v>780.82</v>
      </c>
      <c r="E1224" s="1">
        <v>1335.32</v>
      </c>
      <c r="F1224" s="1">
        <v>391.11</v>
      </c>
      <c r="G1224" s="1">
        <v>10071.67</v>
      </c>
      <c r="H1224" s="1">
        <v>1199.97</v>
      </c>
      <c r="I1224" s="1">
        <v>3309.79</v>
      </c>
      <c r="J1224" s="1">
        <v>20926.349999999999</v>
      </c>
    </row>
    <row r="1225" spans="1:10">
      <c r="A1225" s="2">
        <v>45274</v>
      </c>
      <c r="B1225" s="1">
        <v>1217.3900000000001</v>
      </c>
      <c r="C1225" s="1">
        <v>3351.33</v>
      </c>
      <c r="D1225" s="1">
        <v>790.04</v>
      </c>
      <c r="E1225" s="1">
        <v>1383.65</v>
      </c>
      <c r="F1225" s="1">
        <v>394.93</v>
      </c>
      <c r="G1225" s="1">
        <v>10045.620000000001</v>
      </c>
      <c r="H1225" s="1">
        <v>1198.22</v>
      </c>
      <c r="I1225" s="1">
        <v>3342.2</v>
      </c>
      <c r="J1225" s="1">
        <v>21182.7</v>
      </c>
    </row>
    <row r="1226" spans="1:10">
      <c r="A1226" s="2">
        <v>45275</v>
      </c>
      <c r="B1226" s="1">
        <v>1232.93</v>
      </c>
      <c r="C1226" s="1">
        <v>3528.39</v>
      </c>
      <c r="D1226" s="1">
        <v>793.1</v>
      </c>
      <c r="E1226" s="1">
        <v>1454.56</v>
      </c>
      <c r="F1226" s="1">
        <v>393.3</v>
      </c>
      <c r="G1226" s="1">
        <v>9980.7999999999993</v>
      </c>
      <c r="H1226" s="1">
        <v>1202.55</v>
      </c>
      <c r="I1226" s="1">
        <v>3395.65</v>
      </c>
      <c r="J1226" s="1">
        <v>21456.65</v>
      </c>
    </row>
    <row r="1227" spans="1:10">
      <c r="A1227" s="2">
        <v>45278</v>
      </c>
      <c r="B1227" s="1">
        <v>1245.48</v>
      </c>
      <c r="C1227" s="1">
        <v>3526.74</v>
      </c>
      <c r="D1227" s="1">
        <v>792.69</v>
      </c>
      <c r="E1227" s="1">
        <v>1441.62</v>
      </c>
      <c r="F1227" s="1">
        <v>387.68</v>
      </c>
      <c r="G1227" s="1">
        <v>10013.01</v>
      </c>
      <c r="H1227" s="1">
        <v>1219.0899999999999</v>
      </c>
      <c r="I1227" s="1">
        <v>3399.16</v>
      </c>
      <c r="J1227" s="1">
        <v>21418.65</v>
      </c>
    </row>
    <row r="1228" spans="1:10">
      <c r="A1228" s="2">
        <v>45279</v>
      </c>
      <c r="B1228" s="1">
        <v>1263.81</v>
      </c>
      <c r="C1228" s="1">
        <v>3487.45</v>
      </c>
      <c r="D1228" s="1">
        <v>791.35</v>
      </c>
      <c r="E1228" s="1">
        <v>1436.04</v>
      </c>
      <c r="F1228" s="1">
        <v>391.5</v>
      </c>
      <c r="G1228" s="1">
        <v>9929.57</v>
      </c>
      <c r="H1228" s="1">
        <v>1211.5</v>
      </c>
      <c r="I1228" s="1">
        <v>3406.31</v>
      </c>
      <c r="J1228" s="1">
        <v>21453.1</v>
      </c>
    </row>
    <row r="1229" spans="1:10">
      <c r="A1229" s="2">
        <v>45280</v>
      </c>
      <c r="B1229" s="1">
        <v>1248.52</v>
      </c>
      <c r="C1229" s="1">
        <v>3454.41</v>
      </c>
      <c r="D1229" s="1">
        <v>793.32</v>
      </c>
      <c r="E1229" s="1">
        <v>1415.86</v>
      </c>
      <c r="F1229" s="1">
        <v>387.12</v>
      </c>
      <c r="G1229" s="1">
        <v>9781.75</v>
      </c>
      <c r="H1229" s="1">
        <v>1199.04</v>
      </c>
      <c r="I1229" s="1">
        <v>3327.99</v>
      </c>
      <c r="J1229" s="1">
        <v>21150.15</v>
      </c>
    </row>
    <row r="1230" spans="1:10">
      <c r="A1230" s="2">
        <v>45281</v>
      </c>
      <c r="B1230" s="1">
        <v>1266.01</v>
      </c>
      <c r="C1230" s="1">
        <v>3461.22</v>
      </c>
      <c r="D1230" s="1">
        <v>807.54</v>
      </c>
      <c r="E1230" s="1">
        <v>1415.49</v>
      </c>
      <c r="F1230" s="1">
        <v>387.5</v>
      </c>
      <c r="G1230" s="1">
        <v>9715.3799999999992</v>
      </c>
      <c r="H1230" s="1">
        <v>1200.3599999999999</v>
      </c>
      <c r="I1230" s="1">
        <v>3333.49</v>
      </c>
      <c r="J1230" s="1">
        <v>21255.05</v>
      </c>
    </row>
    <row r="1231" spans="1:10">
      <c r="A1231" s="2">
        <v>45282</v>
      </c>
      <c r="B1231" s="1">
        <v>1267.24</v>
      </c>
      <c r="C1231" s="1">
        <v>3494.57</v>
      </c>
      <c r="D1231" s="1">
        <v>799.95</v>
      </c>
      <c r="E1231" s="1">
        <v>1440.28</v>
      </c>
      <c r="F1231" s="1">
        <v>390.72</v>
      </c>
      <c r="G1231" s="1">
        <v>9913.61</v>
      </c>
      <c r="H1231" s="1">
        <v>1210.23</v>
      </c>
      <c r="I1231" s="1">
        <v>3385.87</v>
      </c>
      <c r="J1231" s="1">
        <v>21349.4</v>
      </c>
    </row>
    <row r="1232" spans="1:10">
      <c r="A1232" s="2">
        <v>45286</v>
      </c>
      <c r="B1232" s="1">
        <v>1273.67</v>
      </c>
      <c r="C1232" s="1">
        <v>3468.57</v>
      </c>
      <c r="D1232" s="1">
        <v>805.5</v>
      </c>
      <c r="E1232" s="1">
        <v>1422.82</v>
      </c>
      <c r="F1232" s="1">
        <v>391.8</v>
      </c>
      <c r="G1232" s="1">
        <v>9965.52</v>
      </c>
      <c r="H1232" s="1">
        <v>1213.98</v>
      </c>
      <c r="I1232" s="1">
        <v>3397.65</v>
      </c>
      <c r="J1232" s="1">
        <v>21441.35</v>
      </c>
    </row>
    <row r="1233" spans="1:10">
      <c r="A1233" s="2">
        <v>45287</v>
      </c>
      <c r="B1233" s="1">
        <v>1278.01</v>
      </c>
      <c r="C1233" s="1">
        <v>3482.88</v>
      </c>
      <c r="D1233" s="1">
        <v>815.48</v>
      </c>
      <c r="E1233" s="1">
        <v>1444.15</v>
      </c>
      <c r="F1233" s="1">
        <v>392.35</v>
      </c>
      <c r="G1233" s="1">
        <v>9982.84</v>
      </c>
      <c r="H1233" s="1">
        <v>1218.8</v>
      </c>
      <c r="I1233" s="1">
        <v>3450.17</v>
      </c>
      <c r="J1233" s="1">
        <v>21654.75</v>
      </c>
    </row>
    <row r="1234" spans="1:10">
      <c r="A1234" s="2">
        <v>45288</v>
      </c>
      <c r="B1234" s="1">
        <v>1287.25</v>
      </c>
      <c r="C1234" s="1">
        <v>3472.55</v>
      </c>
      <c r="D1234" s="1">
        <v>816.42</v>
      </c>
      <c r="E1234" s="1">
        <v>1440.05</v>
      </c>
      <c r="F1234" s="1">
        <v>398.36</v>
      </c>
      <c r="G1234" s="1">
        <v>9966.44</v>
      </c>
      <c r="H1234" s="1">
        <v>1228.24</v>
      </c>
      <c r="I1234" s="1">
        <v>3424.9</v>
      </c>
      <c r="J1234" s="1">
        <v>21778.7</v>
      </c>
    </row>
    <row r="1235" spans="1:10">
      <c r="A1235" s="2">
        <v>45289</v>
      </c>
      <c r="B1235" s="1">
        <v>1277.07</v>
      </c>
      <c r="C1235" s="1">
        <v>3466.61</v>
      </c>
      <c r="D1235" s="1">
        <v>818.33</v>
      </c>
      <c r="E1235" s="1">
        <v>1421.85</v>
      </c>
      <c r="F1235" s="1">
        <v>396.65</v>
      </c>
      <c r="G1235" s="1">
        <v>9996.2800000000007</v>
      </c>
      <c r="H1235" s="1">
        <v>1225.6099999999999</v>
      </c>
      <c r="I1235" s="1">
        <v>3432.64</v>
      </c>
      <c r="J1235" s="1">
        <v>21731.4</v>
      </c>
    </row>
    <row r="1236" spans="1:10">
      <c r="A1236" s="2">
        <v>45292</v>
      </c>
      <c r="B1236" s="1">
        <v>1279.69</v>
      </c>
      <c r="C1236" s="1">
        <v>3482.79</v>
      </c>
      <c r="D1236" s="1">
        <v>812.99</v>
      </c>
      <c r="E1236" s="1">
        <v>1429.64</v>
      </c>
      <c r="F1236" s="1">
        <v>401.75</v>
      </c>
      <c r="G1236" s="1">
        <v>9977.7900000000009</v>
      </c>
      <c r="H1236" s="1">
        <v>1226.3900000000001</v>
      </c>
      <c r="I1236" s="1">
        <v>3432.11</v>
      </c>
      <c r="J1236" s="1">
        <v>21741.9</v>
      </c>
    </row>
    <row r="1237" spans="1:10">
      <c r="A1237" s="2">
        <v>45293</v>
      </c>
      <c r="B1237" s="1">
        <v>1290.29</v>
      </c>
      <c r="C1237" s="1">
        <v>3457.29</v>
      </c>
      <c r="D1237" s="1">
        <v>813.47</v>
      </c>
      <c r="E1237" s="1">
        <v>1414.02</v>
      </c>
      <c r="F1237" s="1">
        <v>403.73</v>
      </c>
      <c r="G1237" s="1">
        <v>9894.7900000000009</v>
      </c>
      <c r="H1237" s="1">
        <v>1261.3699999999999</v>
      </c>
      <c r="I1237" s="1">
        <v>3347.07</v>
      </c>
      <c r="J1237" s="1">
        <v>21665.8</v>
      </c>
    </row>
    <row r="1238" spans="1:10">
      <c r="A1238" s="2">
        <v>45294</v>
      </c>
      <c r="B1238" s="1">
        <v>1276.26</v>
      </c>
      <c r="C1238" s="1">
        <v>3373.72</v>
      </c>
      <c r="D1238" s="1">
        <v>800.93</v>
      </c>
      <c r="E1238" s="1">
        <v>1373.1</v>
      </c>
      <c r="F1238" s="1">
        <v>409.65</v>
      </c>
      <c r="G1238" s="1">
        <v>9778.25</v>
      </c>
      <c r="H1238" s="1">
        <v>1263.71</v>
      </c>
      <c r="I1238" s="1">
        <v>3349.26</v>
      </c>
      <c r="J1238" s="1">
        <v>21517.35</v>
      </c>
    </row>
    <row r="1239" spans="1:10">
      <c r="A1239" s="2">
        <v>45295</v>
      </c>
      <c r="B1239" s="1">
        <v>1282.8499999999999</v>
      </c>
      <c r="C1239" s="1">
        <v>3350.92</v>
      </c>
      <c r="D1239" s="1">
        <v>809.52</v>
      </c>
      <c r="E1239" s="1">
        <v>1394.02</v>
      </c>
      <c r="F1239" s="1">
        <v>408.92</v>
      </c>
      <c r="G1239" s="1">
        <v>9717.76</v>
      </c>
      <c r="H1239" s="1">
        <v>1277.67</v>
      </c>
      <c r="I1239" s="1">
        <v>3367.13</v>
      </c>
      <c r="J1239" s="1">
        <v>21658.6</v>
      </c>
    </row>
    <row r="1240" spans="1:10">
      <c r="A1240" s="2">
        <v>45296</v>
      </c>
      <c r="B1240" s="1">
        <v>1288.31</v>
      </c>
      <c r="C1240" s="1">
        <v>3415.89</v>
      </c>
      <c r="D1240" s="1">
        <v>805.38</v>
      </c>
      <c r="E1240" s="1">
        <v>1412.31</v>
      </c>
      <c r="F1240" s="1">
        <v>406.82</v>
      </c>
      <c r="G1240" s="1">
        <v>9719.41</v>
      </c>
      <c r="H1240" s="1">
        <v>1265.26</v>
      </c>
      <c r="I1240" s="1">
        <v>3428.65</v>
      </c>
      <c r="J1240" s="1">
        <v>21710.799999999999</v>
      </c>
    </row>
    <row r="1241" spans="1:10">
      <c r="A1241" s="2">
        <v>45299</v>
      </c>
      <c r="B1241" s="1">
        <v>1278.26</v>
      </c>
      <c r="C1241" s="1">
        <v>3361.43</v>
      </c>
      <c r="D1241" s="1">
        <v>796.41</v>
      </c>
      <c r="E1241" s="1">
        <v>1403.33</v>
      </c>
      <c r="F1241" s="1">
        <v>399.56</v>
      </c>
      <c r="G1241" s="1">
        <v>9651.19</v>
      </c>
      <c r="H1241" s="1">
        <v>1270.23</v>
      </c>
      <c r="I1241" s="1">
        <v>3408.4</v>
      </c>
      <c r="J1241" s="1">
        <v>21513</v>
      </c>
    </row>
    <row r="1242" spans="1:10">
      <c r="A1242" s="2">
        <v>45300</v>
      </c>
      <c r="B1242" s="1">
        <v>1274.8800000000001</v>
      </c>
      <c r="C1242" s="1">
        <v>3372.03</v>
      </c>
      <c r="D1242" s="1">
        <v>790.21</v>
      </c>
      <c r="E1242" s="1">
        <v>1409.32</v>
      </c>
      <c r="F1242" s="1">
        <v>398.75</v>
      </c>
      <c r="G1242" s="1">
        <v>9726.2900000000009</v>
      </c>
      <c r="H1242" s="1">
        <v>1288.42</v>
      </c>
      <c r="I1242" s="1">
        <v>3461.8</v>
      </c>
      <c r="J1242" s="1">
        <v>21544.85</v>
      </c>
    </row>
    <row r="1243" spans="1:10">
      <c r="A1243" s="2">
        <v>45301</v>
      </c>
      <c r="B1243" s="1">
        <v>1309.26</v>
      </c>
      <c r="C1243" s="1">
        <v>3393.18</v>
      </c>
      <c r="D1243" s="1">
        <v>792.81</v>
      </c>
      <c r="E1243" s="1">
        <v>1400.65</v>
      </c>
      <c r="F1243" s="1">
        <v>397.68</v>
      </c>
      <c r="G1243" s="1">
        <v>9712.81</v>
      </c>
      <c r="H1243" s="1">
        <v>1289.25</v>
      </c>
      <c r="I1243" s="1">
        <v>3451.63</v>
      </c>
      <c r="J1243" s="1">
        <v>21618.7</v>
      </c>
    </row>
    <row r="1244" spans="1:10">
      <c r="A1244" s="2">
        <v>45302</v>
      </c>
      <c r="B1244" s="1">
        <v>1343.7</v>
      </c>
      <c r="C1244" s="1">
        <v>3413.74</v>
      </c>
      <c r="D1244" s="1">
        <v>789.49</v>
      </c>
      <c r="E1244" s="1">
        <v>1376.97</v>
      </c>
      <c r="F1244" s="1">
        <v>397.12</v>
      </c>
      <c r="G1244" s="1">
        <v>9713.68</v>
      </c>
      <c r="H1244" s="1">
        <v>1280.8800000000001</v>
      </c>
      <c r="I1244" s="1">
        <v>3412.05</v>
      </c>
      <c r="J1244" s="1">
        <v>21647.200000000001</v>
      </c>
    </row>
    <row r="1245" spans="1:10">
      <c r="A1245" s="2">
        <v>45303</v>
      </c>
      <c r="B1245" s="1">
        <v>1354.39</v>
      </c>
      <c r="C1245" s="1">
        <v>3548.31</v>
      </c>
      <c r="D1245" s="1">
        <v>785.75</v>
      </c>
      <c r="E1245" s="1">
        <v>1486.22</v>
      </c>
      <c r="F1245" s="1">
        <v>400.59</v>
      </c>
      <c r="G1245" s="1">
        <v>9669.58</v>
      </c>
      <c r="H1245" s="1">
        <v>1290.32</v>
      </c>
      <c r="I1245" s="1">
        <v>3474.31</v>
      </c>
      <c r="J1245" s="1">
        <v>21894.55</v>
      </c>
    </row>
    <row r="1246" spans="1:10">
      <c r="A1246" s="2">
        <v>45306</v>
      </c>
      <c r="B1246" s="1">
        <v>1377.51</v>
      </c>
      <c r="C1246" s="1">
        <v>3567.5</v>
      </c>
      <c r="D1246" s="1">
        <v>800.88</v>
      </c>
      <c r="E1246" s="1">
        <v>1522.48</v>
      </c>
      <c r="F1246" s="1">
        <v>401.37</v>
      </c>
      <c r="G1246" s="1">
        <v>9787.23</v>
      </c>
      <c r="H1246" s="1">
        <v>1293.6300000000001</v>
      </c>
      <c r="I1246" s="1">
        <v>3449.24</v>
      </c>
      <c r="J1246" s="1">
        <v>22097.45</v>
      </c>
    </row>
    <row r="1247" spans="1:10">
      <c r="A1247" s="2">
        <v>45307</v>
      </c>
      <c r="B1247" s="1">
        <v>1358.25</v>
      </c>
      <c r="C1247" s="1">
        <v>3528.66</v>
      </c>
      <c r="D1247" s="1">
        <v>803.92</v>
      </c>
      <c r="E1247" s="1">
        <v>1503.54</v>
      </c>
      <c r="F1247" s="1">
        <v>405.4</v>
      </c>
      <c r="G1247" s="1">
        <v>9881.01</v>
      </c>
      <c r="H1247" s="1">
        <v>1278.1600000000001</v>
      </c>
      <c r="I1247" s="1">
        <v>3478.89</v>
      </c>
      <c r="J1247" s="1">
        <v>22032.3</v>
      </c>
    </row>
    <row r="1248" spans="1:10">
      <c r="A1248" s="2">
        <v>45308</v>
      </c>
      <c r="B1248" s="1">
        <v>1345.35</v>
      </c>
      <c r="C1248" s="1">
        <v>3549.95</v>
      </c>
      <c r="D1248" s="1">
        <v>736.1</v>
      </c>
      <c r="E1248" s="1">
        <v>1511.52</v>
      </c>
      <c r="F1248" s="1">
        <v>400.51</v>
      </c>
      <c r="G1248" s="1">
        <v>9753.08</v>
      </c>
      <c r="H1248" s="1">
        <v>1264.0999999999999</v>
      </c>
      <c r="I1248" s="1">
        <v>3476.4</v>
      </c>
      <c r="J1248" s="1">
        <v>21571.95</v>
      </c>
    </row>
    <row r="1249" spans="1:10">
      <c r="A1249" s="2">
        <v>45309</v>
      </c>
      <c r="B1249" s="1">
        <v>1351.65</v>
      </c>
      <c r="C1249" s="1">
        <v>3566.4</v>
      </c>
      <c r="D1249" s="1">
        <v>711.52</v>
      </c>
      <c r="E1249" s="1">
        <v>1513.73</v>
      </c>
      <c r="F1249" s="1">
        <v>399.56</v>
      </c>
      <c r="G1249" s="1">
        <v>9629.65</v>
      </c>
      <c r="H1249" s="1">
        <v>1299.8599999999999</v>
      </c>
      <c r="I1249" s="1">
        <v>3500.79</v>
      </c>
      <c r="J1249" s="1">
        <v>21462.25</v>
      </c>
    </row>
    <row r="1250" spans="1:10">
      <c r="A1250" s="2">
        <v>45310</v>
      </c>
      <c r="B1250" s="1">
        <v>1351.16</v>
      </c>
      <c r="C1250" s="1">
        <v>3628.47</v>
      </c>
      <c r="D1250" s="1">
        <v>704.1</v>
      </c>
      <c r="E1250" s="1">
        <v>1529.02</v>
      </c>
      <c r="F1250" s="1">
        <v>404.71</v>
      </c>
      <c r="G1250" s="1">
        <v>9739.49</v>
      </c>
      <c r="H1250" s="1">
        <v>1299.71</v>
      </c>
      <c r="I1250" s="1">
        <v>3549.47</v>
      </c>
      <c r="J1250" s="1">
        <v>21622.400000000001</v>
      </c>
    </row>
    <row r="1251" spans="1:10">
      <c r="A1251" s="2">
        <v>45314</v>
      </c>
      <c r="B1251" s="1">
        <v>1312.74</v>
      </c>
      <c r="C1251" s="1">
        <v>3550.44</v>
      </c>
      <c r="D1251" s="1">
        <v>683.37</v>
      </c>
      <c r="E1251" s="1">
        <v>1513.31</v>
      </c>
      <c r="F1251" s="1">
        <v>394.24</v>
      </c>
      <c r="G1251" s="1">
        <v>9567.51</v>
      </c>
      <c r="H1251" s="1">
        <v>1341.27</v>
      </c>
      <c r="I1251" s="1">
        <v>3456.98</v>
      </c>
      <c r="J1251" s="1">
        <v>21238.799999999999</v>
      </c>
    </row>
    <row r="1252" spans="1:10">
      <c r="A1252" s="2">
        <v>45315</v>
      </c>
      <c r="B1252" s="1">
        <v>1327.86</v>
      </c>
      <c r="C1252" s="1">
        <v>3535.3</v>
      </c>
      <c r="D1252" s="1">
        <v>697.04</v>
      </c>
      <c r="E1252" s="1">
        <v>1543.95</v>
      </c>
      <c r="F1252" s="1">
        <v>397.93</v>
      </c>
      <c r="G1252" s="1">
        <v>9691.4599999999991</v>
      </c>
      <c r="H1252" s="1">
        <v>1344.96</v>
      </c>
      <c r="I1252" s="1">
        <v>3494.17</v>
      </c>
      <c r="J1252" s="1">
        <v>21453.95</v>
      </c>
    </row>
    <row r="1253" spans="1:10">
      <c r="A1253" s="2">
        <v>45316</v>
      </c>
      <c r="B1253" s="1">
        <v>1336.95</v>
      </c>
      <c r="C1253" s="1">
        <v>3506.31</v>
      </c>
      <c r="D1253" s="1">
        <v>686.98</v>
      </c>
      <c r="E1253" s="1">
        <v>1538.15</v>
      </c>
      <c r="F1253" s="1">
        <v>391.11</v>
      </c>
      <c r="G1253" s="1">
        <v>9587.4500000000007</v>
      </c>
      <c r="H1253" s="1">
        <v>1331.53</v>
      </c>
      <c r="I1253" s="1">
        <v>3498.31</v>
      </c>
      <c r="J1253" s="1">
        <v>21352.6</v>
      </c>
    </row>
    <row r="1254" spans="1:10">
      <c r="A1254" s="2">
        <v>45320</v>
      </c>
      <c r="B1254" s="1">
        <v>1430.8</v>
      </c>
      <c r="C1254" s="1">
        <v>3497.75</v>
      </c>
      <c r="D1254" s="1">
        <v>696.44</v>
      </c>
      <c r="E1254" s="1">
        <v>1526.63</v>
      </c>
      <c r="F1254" s="1">
        <v>386.09</v>
      </c>
      <c r="G1254" s="1">
        <v>9694.57</v>
      </c>
      <c r="H1254" s="1">
        <v>1363.21</v>
      </c>
      <c r="I1254" s="1">
        <v>3609.83</v>
      </c>
      <c r="J1254" s="1">
        <v>21737.599999999999</v>
      </c>
    </row>
    <row r="1255" spans="1:10">
      <c r="A1255" s="2">
        <v>45321</v>
      </c>
      <c r="B1255" s="1">
        <v>1390.85</v>
      </c>
      <c r="C1255" s="1">
        <v>3497.34</v>
      </c>
      <c r="D1255" s="1">
        <v>691.48</v>
      </c>
      <c r="E1255" s="1">
        <v>1521.88</v>
      </c>
      <c r="F1255" s="1">
        <v>376</v>
      </c>
      <c r="G1255" s="1">
        <v>9656</v>
      </c>
      <c r="H1255" s="1">
        <v>1334.89</v>
      </c>
      <c r="I1255" s="1">
        <v>3537.1</v>
      </c>
      <c r="J1255" s="1">
        <v>21522.1</v>
      </c>
    </row>
    <row r="1256" spans="1:10">
      <c r="A1256" s="2">
        <v>45322</v>
      </c>
      <c r="B1256" s="1">
        <v>1409.63</v>
      </c>
      <c r="C1256" s="1">
        <v>3511.51</v>
      </c>
      <c r="D1256" s="1">
        <v>700.22</v>
      </c>
      <c r="E1256" s="1">
        <v>1530.59</v>
      </c>
      <c r="F1256" s="1">
        <v>379.01</v>
      </c>
      <c r="G1256" s="1">
        <v>9884.26</v>
      </c>
      <c r="H1256" s="1">
        <v>1380.34</v>
      </c>
      <c r="I1256" s="1">
        <v>3387.62</v>
      </c>
      <c r="J1256" s="1">
        <v>21725.7</v>
      </c>
    </row>
    <row r="1257" spans="1:10">
      <c r="A1257" s="2">
        <v>45323</v>
      </c>
      <c r="B1257" s="1">
        <v>1409.65</v>
      </c>
      <c r="C1257" s="1">
        <v>3546.66</v>
      </c>
      <c r="D1257" s="1">
        <v>702.04</v>
      </c>
      <c r="E1257" s="1">
        <v>1527.04</v>
      </c>
      <c r="F1257" s="1">
        <v>380.16</v>
      </c>
      <c r="G1257" s="1">
        <v>10321.91</v>
      </c>
      <c r="H1257" s="1">
        <v>1370.12</v>
      </c>
      <c r="I1257" s="1">
        <v>3308.03</v>
      </c>
      <c r="J1257" s="1">
        <v>21697.45</v>
      </c>
    </row>
    <row r="1258" spans="1:10">
      <c r="A1258" s="2">
        <v>45324</v>
      </c>
      <c r="B1258" s="1">
        <v>1440.33</v>
      </c>
      <c r="C1258" s="1">
        <v>3649.87</v>
      </c>
      <c r="D1258" s="1">
        <v>692.37</v>
      </c>
      <c r="E1258" s="1">
        <v>1560.5</v>
      </c>
      <c r="F1258" s="1">
        <v>377.76</v>
      </c>
      <c r="G1258" s="1">
        <v>10338.89</v>
      </c>
      <c r="H1258" s="1">
        <v>1378.58</v>
      </c>
      <c r="I1258" s="1">
        <v>3286.66</v>
      </c>
      <c r="J1258" s="1">
        <v>21853.8</v>
      </c>
    </row>
    <row r="1259" spans="1:10">
      <c r="A1259" s="2">
        <v>45327</v>
      </c>
      <c r="B1259" s="1">
        <v>1421.88</v>
      </c>
      <c r="C1259" s="1">
        <v>3656.31</v>
      </c>
      <c r="D1259" s="1">
        <v>691.75</v>
      </c>
      <c r="E1259" s="1">
        <v>1554.83</v>
      </c>
      <c r="F1259" s="1">
        <v>376</v>
      </c>
      <c r="G1259" s="1">
        <v>10118.73</v>
      </c>
      <c r="H1259" s="1">
        <v>1424.47</v>
      </c>
      <c r="I1259" s="1">
        <v>3253.27</v>
      </c>
      <c r="J1259" s="1">
        <v>21771.7</v>
      </c>
    </row>
    <row r="1260" spans="1:10">
      <c r="A1260" s="2">
        <v>45328</v>
      </c>
      <c r="B1260" s="1">
        <v>1410.79</v>
      </c>
      <c r="C1260" s="1">
        <v>3806.03</v>
      </c>
      <c r="D1260" s="1">
        <v>691.39</v>
      </c>
      <c r="E1260" s="1">
        <v>1593.76</v>
      </c>
      <c r="F1260" s="1">
        <v>370.29</v>
      </c>
      <c r="G1260" s="1">
        <v>10522.66</v>
      </c>
      <c r="H1260" s="1">
        <v>1435.46</v>
      </c>
      <c r="I1260" s="1">
        <v>3333.59</v>
      </c>
      <c r="J1260" s="1">
        <v>21929.4</v>
      </c>
    </row>
    <row r="1261" spans="1:10">
      <c r="A1261" s="2">
        <v>45329</v>
      </c>
      <c r="B1261" s="1">
        <v>1424.97</v>
      </c>
      <c r="C1261" s="1">
        <v>3757.62</v>
      </c>
      <c r="D1261" s="1">
        <v>684.61</v>
      </c>
      <c r="E1261" s="1">
        <v>1560.86</v>
      </c>
      <c r="F1261" s="1">
        <v>370.64</v>
      </c>
      <c r="G1261" s="1">
        <v>10610.81</v>
      </c>
      <c r="H1261" s="1">
        <v>1456</v>
      </c>
      <c r="I1261" s="1">
        <v>3304.82</v>
      </c>
      <c r="J1261" s="1">
        <v>21930.5</v>
      </c>
    </row>
    <row r="1262" spans="1:10">
      <c r="A1262" s="2">
        <v>45330</v>
      </c>
      <c r="B1262" s="1">
        <v>1432.85</v>
      </c>
      <c r="C1262" s="1">
        <v>3804.28</v>
      </c>
      <c r="D1262" s="1">
        <v>671.73</v>
      </c>
      <c r="E1262" s="1">
        <v>1559.34</v>
      </c>
      <c r="F1262" s="1">
        <v>361.26</v>
      </c>
      <c r="G1262" s="1">
        <v>10424.709999999999</v>
      </c>
      <c r="H1262" s="1">
        <v>1459.31</v>
      </c>
      <c r="I1262" s="1">
        <v>3247.19</v>
      </c>
      <c r="J1262" s="1">
        <v>21717.95</v>
      </c>
    </row>
    <row r="1263" spans="1:10">
      <c r="A1263" s="2">
        <v>45331</v>
      </c>
      <c r="B1263" s="1">
        <v>1443.34</v>
      </c>
      <c r="C1263" s="1">
        <v>3803.91</v>
      </c>
      <c r="D1263" s="1">
        <v>672</v>
      </c>
      <c r="E1263" s="1">
        <v>1538.38</v>
      </c>
      <c r="F1263" s="1">
        <v>362.09</v>
      </c>
      <c r="G1263" s="1">
        <v>10413.99</v>
      </c>
      <c r="H1263" s="1">
        <v>1502.07</v>
      </c>
      <c r="I1263" s="1">
        <v>3236.53</v>
      </c>
      <c r="J1263" s="1">
        <v>21782.5</v>
      </c>
    </row>
    <row r="1264" spans="1:10">
      <c r="A1264" s="2">
        <v>45334</v>
      </c>
      <c r="B1264" s="1">
        <v>1435.04</v>
      </c>
      <c r="C1264" s="1">
        <v>3791.95</v>
      </c>
      <c r="D1264" s="1">
        <v>665.49</v>
      </c>
      <c r="E1264" s="1">
        <v>1548.28</v>
      </c>
      <c r="F1264" s="1">
        <v>354.55</v>
      </c>
      <c r="G1264" s="1">
        <v>10391.530000000001</v>
      </c>
      <c r="H1264" s="1">
        <v>1501.73</v>
      </c>
      <c r="I1264" s="1">
        <v>3212.19</v>
      </c>
      <c r="J1264" s="1">
        <v>21616.05</v>
      </c>
    </row>
    <row r="1265" spans="1:10">
      <c r="A1265" s="2">
        <v>45335</v>
      </c>
      <c r="B1265" s="1">
        <v>1447.64</v>
      </c>
      <c r="C1265" s="1">
        <v>3818.45</v>
      </c>
      <c r="D1265" s="1">
        <v>667.62</v>
      </c>
      <c r="E1265" s="1">
        <v>1552.39</v>
      </c>
      <c r="F1265" s="1">
        <v>354.46</v>
      </c>
      <c r="G1265" s="1">
        <v>10473.81</v>
      </c>
      <c r="H1265" s="1">
        <v>1509.32</v>
      </c>
      <c r="I1265" s="1">
        <v>3233.56</v>
      </c>
      <c r="J1265" s="1">
        <v>21743.25</v>
      </c>
    </row>
    <row r="1266" spans="1:10">
      <c r="A1266" s="2">
        <v>45336</v>
      </c>
      <c r="B1266" s="1">
        <v>1463.72</v>
      </c>
      <c r="C1266" s="1">
        <v>3772.99</v>
      </c>
      <c r="D1266" s="1">
        <v>662.64</v>
      </c>
      <c r="E1266" s="1">
        <v>1535.48</v>
      </c>
      <c r="F1266" s="1">
        <v>358.65</v>
      </c>
      <c r="G1266" s="1">
        <v>10700.32</v>
      </c>
      <c r="H1266" s="1">
        <v>1487.98</v>
      </c>
      <c r="I1266" s="1">
        <v>3221.39</v>
      </c>
      <c r="J1266" s="1">
        <v>21840.05</v>
      </c>
    </row>
    <row r="1267" spans="1:10">
      <c r="A1267" s="2">
        <v>45337</v>
      </c>
      <c r="B1267" s="1">
        <v>1453.08</v>
      </c>
      <c r="C1267" s="1">
        <v>3775.84</v>
      </c>
      <c r="D1267" s="1">
        <v>677</v>
      </c>
      <c r="E1267" s="1">
        <v>1544.83</v>
      </c>
      <c r="F1267" s="1">
        <v>351.98</v>
      </c>
      <c r="G1267" s="1">
        <v>10760.77</v>
      </c>
      <c r="H1267" s="1">
        <v>1477.7</v>
      </c>
      <c r="I1267" s="1">
        <v>3212.92</v>
      </c>
      <c r="J1267" s="1">
        <v>21910.75</v>
      </c>
    </row>
    <row r="1268" spans="1:10">
      <c r="A1268" s="2">
        <v>45338</v>
      </c>
      <c r="B1268" s="1">
        <v>1443.17</v>
      </c>
      <c r="C1268" s="1">
        <v>3798.94</v>
      </c>
      <c r="D1268" s="1">
        <v>679.8</v>
      </c>
      <c r="E1268" s="1">
        <v>1568.14</v>
      </c>
      <c r="F1268" s="1">
        <v>352.59</v>
      </c>
      <c r="G1268" s="1">
        <v>11042.3</v>
      </c>
      <c r="H1268" s="1">
        <v>1477.75</v>
      </c>
      <c r="I1268" s="1">
        <v>3297.08</v>
      </c>
      <c r="J1268" s="1">
        <v>22040.7</v>
      </c>
    </row>
    <row r="1269" spans="1:10">
      <c r="A1269" s="2">
        <v>45341</v>
      </c>
      <c r="B1269" s="1">
        <v>1456.44</v>
      </c>
      <c r="C1269" s="1">
        <v>3776.4</v>
      </c>
      <c r="D1269" s="1">
        <v>678.46</v>
      </c>
      <c r="E1269" s="1">
        <v>1566.39</v>
      </c>
      <c r="F1269" s="1">
        <v>356.64</v>
      </c>
      <c r="G1269" s="1">
        <v>11142.19</v>
      </c>
      <c r="H1269" s="1">
        <v>1497.47</v>
      </c>
      <c r="I1269" s="1">
        <v>3251.42</v>
      </c>
      <c r="J1269" s="1">
        <v>22122.25</v>
      </c>
    </row>
    <row r="1270" spans="1:10">
      <c r="A1270" s="2">
        <v>45342</v>
      </c>
      <c r="B1270" s="1">
        <v>1453.5</v>
      </c>
      <c r="C1270" s="1">
        <v>3709.08</v>
      </c>
      <c r="D1270" s="1">
        <v>696.27</v>
      </c>
      <c r="E1270" s="1">
        <v>1553.03</v>
      </c>
      <c r="F1270" s="1">
        <v>353.9</v>
      </c>
      <c r="G1270" s="1">
        <v>11106.39</v>
      </c>
      <c r="H1270" s="1">
        <v>1505.89</v>
      </c>
      <c r="I1270" s="1">
        <v>3267.88</v>
      </c>
      <c r="J1270" s="1">
        <v>22196.95</v>
      </c>
    </row>
    <row r="1271" spans="1:10">
      <c r="A1271" s="2">
        <v>45343</v>
      </c>
      <c r="B1271" s="1">
        <v>1450.21</v>
      </c>
      <c r="C1271" s="1">
        <v>3673.06</v>
      </c>
      <c r="D1271" s="1">
        <v>689.02</v>
      </c>
      <c r="E1271" s="1">
        <v>1525.66</v>
      </c>
      <c r="F1271" s="1">
        <v>351.5</v>
      </c>
      <c r="G1271" s="1">
        <v>11125.21</v>
      </c>
      <c r="H1271" s="1">
        <v>1510.49</v>
      </c>
      <c r="I1271" s="1">
        <v>3209.12</v>
      </c>
      <c r="J1271" s="1">
        <v>22055.05</v>
      </c>
    </row>
    <row r="1272" spans="1:10">
      <c r="A1272" s="2">
        <v>45344</v>
      </c>
      <c r="B1272" s="1">
        <v>1464.09</v>
      </c>
      <c r="C1272" s="1">
        <v>3761.03</v>
      </c>
      <c r="D1272" s="1">
        <v>679.63</v>
      </c>
      <c r="E1272" s="1">
        <v>1549.44</v>
      </c>
      <c r="F1272" s="1">
        <v>361.17</v>
      </c>
      <c r="G1272" s="1">
        <v>11311.46</v>
      </c>
      <c r="H1272" s="1">
        <v>1524.83</v>
      </c>
      <c r="I1272" s="1">
        <v>3274.69</v>
      </c>
      <c r="J1272" s="1">
        <v>22217.45</v>
      </c>
    </row>
    <row r="1273" spans="1:10">
      <c r="A1273" s="2">
        <v>45345</v>
      </c>
      <c r="B1273" s="1">
        <v>1475.83</v>
      </c>
      <c r="C1273" s="1">
        <v>3728.82</v>
      </c>
      <c r="D1273" s="1">
        <v>680.14</v>
      </c>
      <c r="E1273" s="1">
        <v>1545.29</v>
      </c>
      <c r="F1273" s="1">
        <v>358.52</v>
      </c>
      <c r="G1273" s="1">
        <v>11192.89</v>
      </c>
      <c r="H1273" s="1">
        <v>1527.96</v>
      </c>
      <c r="I1273" s="1">
        <v>3298.25</v>
      </c>
      <c r="J1273" s="1">
        <v>22212.7</v>
      </c>
    </row>
    <row r="1274" spans="1:10">
      <c r="A1274" s="2">
        <v>45348</v>
      </c>
      <c r="B1274" s="1">
        <v>1469.6</v>
      </c>
      <c r="C1274" s="1">
        <v>3681.84</v>
      </c>
      <c r="D1274" s="1">
        <v>680.95</v>
      </c>
      <c r="E1274" s="1">
        <v>1529.9</v>
      </c>
      <c r="F1274" s="1">
        <v>356.6</v>
      </c>
      <c r="G1274" s="1">
        <v>11126.33</v>
      </c>
      <c r="H1274" s="1">
        <v>1523.75</v>
      </c>
      <c r="I1274" s="1">
        <v>3378.27</v>
      </c>
      <c r="J1274" s="1">
        <v>22122.05</v>
      </c>
    </row>
    <row r="1275" spans="1:10">
      <c r="A1275" s="2">
        <v>45349</v>
      </c>
      <c r="B1275" s="1">
        <v>1467.95</v>
      </c>
      <c r="C1275" s="1">
        <v>3776.95</v>
      </c>
      <c r="D1275" s="1">
        <v>679.92</v>
      </c>
      <c r="E1275" s="1">
        <v>1533.08</v>
      </c>
      <c r="F1275" s="1">
        <v>358.3</v>
      </c>
      <c r="G1275" s="1">
        <v>11158.98</v>
      </c>
      <c r="H1275" s="1">
        <v>1549</v>
      </c>
      <c r="I1275" s="1">
        <v>3413.61</v>
      </c>
      <c r="J1275" s="1">
        <v>22198.35</v>
      </c>
    </row>
    <row r="1276" spans="1:10">
      <c r="A1276" s="2">
        <v>45350</v>
      </c>
      <c r="B1276" s="1">
        <v>1438.28</v>
      </c>
      <c r="C1276" s="1">
        <v>3790.34</v>
      </c>
      <c r="D1276" s="1">
        <v>674.77</v>
      </c>
      <c r="E1276" s="1">
        <v>1540.13</v>
      </c>
      <c r="F1276" s="1">
        <v>355.81</v>
      </c>
      <c r="G1276" s="1">
        <v>10821.46</v>
      </c>
      <c r="H1276" s="1">
        <v>1540.29</v>
      </c>
      <c r="I1276" s="1">
        <v>3378.32</v>
      </c>
      <c r="J1276" s="1">
        <v>21951.15</v>
      </c>
    </row>
    <row r="1277" spans="1:10">
      <c r="A1277" s="2">
        <v>45351</v>
      </c>
      <c r="B1277" s="1">
        <v>1443.39</v>
      </c>
      <c r="C1277" s="1">
        <v>3768.39</v>
      </c>
      <c r="D1277" s="1">
        <v>671.9</v>
      </c>
      <c r="E1277" s="1">
        <v>1542.57</v>
      </c>
      <c r="F1277" s="1">
        <v>354.07</v>
      </c>
      <c r="G1277" s="1">
        <v>10952.98</v>
      </c>
      <c r="H1277" s="1">
        <v>1544.3</v>
      </c>
      <c r="I1277" s="1">
        <v>3385.48</v>
      </c>
      <c r="J1277" s="1">
        <v>21982.799999999999</v>
      </c>
    </row>
    <row r="1278" spans="1:10">
      <c r="A1278" s="2">
        <v>45352</v>
      </c>
      <c r="B1278" s="1">
        <v>1474.35</v>
      </c>
      <c r="C1278" s="1">
        <v>3767.7</v>
      </c>
      <c r="D1278" s="1">
        <v>685</v>
      </c>
      <c r="E1278" s="1">
        <v>1524.88</v>
      </c>
      <c r="F1278" s="1">
        <v>356.86</v>
      </c>
      <c r="G1278" s="1">
        <v>11275.7</v>
      </c>
      <c r="H1278" s="1">
        <v>1526</v>
      </c>
      <c r="I1278" s="1">
        <v>3537.3</v>
      </c>
      <c r="J1278" s="1">
        <v>22338.75</v>
      </c>
    </row>
    <row r="1279" spans="1:10">
      <c r="A1279" s="2">
        <v>45355</v>
      </c>
      <c r="B1279" s="1">
        <v>1489.44</v>
      </c>
      <c r="C1279" s="1">
        <v>3755.14</v>
      </c>
      <c r="D1279" s="1">
        <v>685.93</v>
      </c>
      <c r="E1279" s="1">
        <v>1508.75</v>
      </c>
      <c r="F1279" s="1">
        <v>356.51</v>
      </c>
      <c r="G1279" s="1">
        <v>11249.7</v>
      </c>
      <c r="H1279" s="1">
        <v>1519</v>
      </c>
      <c r="I1279" s="1">
        <v>3547.96</v>
      </c>
      <c r="J1279" s="1">
        <v>22405.599999999999</v>
      </c>
    </row>
    <row r="1280" spans="1:10">
      <c r="A1280" s="2">
        <v>45356</v>
      </c>
      <c r="B1280" s="1">
        <v>1482.32</v>
      </c>
      <c r="C1280" s="1">
        <v>3692.01</v>
      </c>
      <c r="D1280" s="1">
        <v>689.83</v>
      </c>
      <c r="E1280" s="1">
        <v>1480.46</v>
      </c>
      <c r="F1280" s="1">
        <v>353.94</v>
      </c>
      <c r="G1280" s="1">
        <v>11323.88</v>
      </c>
      <c r="H1280" s="1">
        <v>1540.63</v>
      </c>
      <c r="I1280" s="1">
        <v>3516.95</v>
      </c>
      <c r="J1280" s="1">
        <v>22356.3</v>
      </c>
    </row>
    <row r="1281" spans="1:10">
      <c r="A1281" s="2">
        <v>45357</v>
      </c>
      <c r="B1281" s="1">
        <v>1485.09</v>
      </c>
      <c r="C1281" s="1">
        <v>3740.05</v>
      </c>
      <c r="D1281" s="1">
        <v>690.67</v>
      </c>
      <c r="E1281" s="1">
        <v>1490.64</v>
      </c>
      <c r="F1281" s="1">
        <v>355.42</v>
      </c>
      <c r="G1281" s="1">
        <v>11223.41</v>
      </c>
      <c r="H1281" s="1">
        <v>1569.8</v>
      </c>
      <c r="I1281" s="1">
        <v>3545.77</v>
      </c>
      <c r="J1281" s="1">
        <v>22474.05</v>
      </c>
    </row>
    <row r="1282" spans="1:10">
      <c r="A1282" s="2">
        <v>45358</v>
      </c>
      <c r="B1282" s="1">
        <v>1461.3</v>
      </c>
      <c r="C1282" s="1">
        <v>3780.81</v>
      </c>
      <c r="D1282" s="1">
        <v>692.35</v>
      </c>
      <c r="E1282" s="1">
        <v>1489.63</v>
      </c>
      <c r="F1282" s="1">
        <v>360.39</v>
      </c>
      <c r="G1282" s="1">
        <v>11168.1</v>
      </c>
      <c r="H1282" s="1">
        <v>1571.46</v>
      </c>
      <c r="I1282" s="1">
        <v>3579.6</v>
      </c>
      <c r="J1282" s="1">
        <v>22493.55</v>
      </c>
    </row>
    <row r="1283" spans="1:10">
      <c r="A1283" s="2">
        <v>45362</v>
      </c>
      <c r="B1283" s="1">
        <v>1449.12</v>
      </c>
      <c r="C1283" s="1">
        <v>3793.47</v>
      </c>
      <c r="D1283" s="1">
        <v>683.58</v>
      </c>
      <c r="E1283" s="1">
        <v>1475.02</v>
      </c>
      <c r="F1283" s="1">
        <v>356.77</v>
      </c>
      <c r="G1283" s="1">
        <v>11057</v>
      </c>
      <c r="H1283" s="1">
        <v>1559.62</v>
      </c>
      <c r="I1283" s="1">
        <v>3544.21</v>
      </c>
      <c r="J1283" s="1">
        <v>22332.65</v>
      </c>
    </row>
    <row r="1284" spans="1:10">
      <c r="A1284" s="2">
        <v>45363</v>
      </c>
      <c r="B1284" s="1">
        <v>1457.84</v>
      </c>
      <c r="C1284" s="1">
        <v>3857.79</v>
      </c>
      <c r="D1284" s="1">
        <v>698.78</v>
      </c>
      <c r="E1284" s="1">
        <v>1486.4</v>
      </c>
      <c r="F1284" s="1">
        <v>352.46</v>
      </c>
      <c r="G1284" s="1">
        <v>11167.95</v>
      </c>
      <c r="H1284" s="1">
        <v>1550.52</v>
      </c>
      <c r="I1284" s="1">
        <v>3525.76</v>
      </c>
      <c r="J1284" s="1">
        <v>22335.7</v>
      </c>
    </row>
    <row r="1285" spans="1:10">
      <c r="A1285" s="2">
        <v>45364</v>
      </c>
      <c r="B1285" s="1">
        <v>1415.11</v>
      </c>
      <c r="C1285" s="1">
        <v>3817.99</v>
      </c>
      <c r="D1285" s="1">
        <v>699.19</v>
      </c>
      <c r="E1285" s="1">
        <v>1484.97</v>
      </c>
      <c r="F1285" s="1">
        <v>368.15</v>
      </c>
      <c r="G1285" s="1">
        <v>11051.76</v>
      </c>
      <c r="H1285" s="1">
        <v>1525.37</v>
      </c>
      <c r="I1285" s="1">
        <v>3444.86</v>
      </c>
      <c r="J1285" s="1">
        <v>21997.7</v>
      </c>
    </row>
    <row r="1286" spans="1:10">
      <c r="A1286" s="2">
        <v>45365</v>
      </c>
      <c r="B1286" s="1">
        <v>1414.42</v>
      </c>
      <c r="C1286" s="1">
        <v>3871.92</v>
      </c>
      <c r="D1286" s="1">
        <v>696.82</v>
      </c>
      <c r="E1286" s="1">
        <v>1523.59</v>
      </c>
      <c r="F1286" s="1">
        <v>365.71</v>
      </c>
      <c r="G1286" s="1">
        <v>11065.78</v>
      </c>
      <c r="H1286" s="1">
        <v>1536.72</v>
      </c>
      <c r="I1286" s="1">
        <v>3512.67</v>
      </c>
      <c r="J1286" s="1">
        <v>22146.65</v>
      </c>
    </row>
    <row r="1287" spans="1:10">
      <c r="A1287" s="2">
        <v>45366</v>
      </c>
      <c r="B1287" s="1">
        <v>1401.33</v>
      </c>
      <c r="C1287" s="1">
        <v>3882.64</v>
      </c>
      <c r="D1287" s="1">
        <v>695.48</v>
      </c>
      <c r="E1287" s="1">
        <v>1505.8</v>
      </c>
      <c r="F1287" s="1">
        <v>365.23</v>
      </c>
      <c r="G1287" s="1">
        <v>11135.69</v>
      </c>
      <c r="H1287" s="1">
        <v>1515.19</v>
      </c>
      <c r="I1287" s="1">
        <v>3443.5</v>
      </c>
      <c r="J1287" s="1">
        <v>22023.35</v>
      </c>
    </row>
    <row r="1288" spans="1:10">
      <c r="A1288" s="2">
        <v>45369</v>
      </c>
      <c r="B1288" s="1">
        <v>1422.32</v>
      </c>
      <c r="C1288" s="1">
        <v>3821.21</v>
      </c>
      <c r="D1288" s="1">
        <v>692.32</v>
      </c>
      <c r="E1288" s="1">
        <v>1476.91</v>
      </c>
      <c r="F1288" s="1">
        <v>363.79</v>
      </c>
      <c r="G1288" s="1">
        <v>11290.6</v>
      </c>
      <c r="H1288" s="1">
        <v>1537.75</v>
      </c>
      <c r="I1288" s="1">
        <v>3466.91</v>
      </c>
      <c r="J1288" s="1">
        <v>22055.7</v>
      </c>
    </row>
    <row r="1289" spans="1:10">
      <c r="A1289" s="2">
        <v>45370</v>
      </c>
      <c r="B1289" s="1">
        <v>1408.27</v>
      </c>
      <c r="C1289" s="1">
        <v>3659.99</v>
      </c>
      <c r="D1289" s="1">
        <v>693.9</v>
      </c>
      <c r="E1289" s="1">
        <v>1438.94</v>
      </c>
      <c r="F1289" s="1">
        <v>356.9</v>
      </c>
      <c r="G1289" s="1">
        <v>11252.51</v>
      </c>
      <c r="H1289" s="1">
        <v>1515.43</v>
      </c>
      <c r="I1289" s="1">
        <v>3408.99</v>
      </c>
      <c r="J1289" s="1">
        <v>21817.45</v>
      </c>
    </row>
    <row r="1290" spans="1:10">
      <c r="A1290" s="2">
        <v>45371</v>
      </c>
      <c r="B1290" s="1">
        <v>1426.55</v>
      </c>
      <c r="C1290" s="1">
        <v>3654.1</v>
      </c>
      <c r="D1290" s="1">
        <v>685.14</v>
      </c>
      <c r="E1290" s="1">
        <v>1432.95</v>
      </c>
      <c r="F1290" s="1">
        <v>362.26</v>
      </c>
      <c r="G1290" s="1">
        <v>11586.39</v>
      </c>
      <c r="H1290" s="1">
        <v>1516.31</v>
      </c>
      <c r="I1290" s="1">
        <v>3416.78</v>
      </c>
      <c r="J1290" s="1">
        <v>21839.1</v>
      </c>
    </row>
    <row r="1291" spans="1:10">
      <c r="A1291" s="2">
        <v>45372</v>
      </c>
      <c r="B1291" s="1">
        <v>1433.69</v>
      </c>
      <c r="C1291" s="1">
        <v>3655.99</v>
      </c>
      <c r="D1291" s="1">
        <v>692.18</v>
      </c>
      <c r="E1291" s="1">
        <v>1432.72</v>
      </c>
      <c r="F1291" s="1">
        <v>367.1</v>
      </c>
      <c r="G1291" s="1">
        <v>11554.37</v>
      </c>
      <c r="H1291" s="1">
        <v>1531.83</v>
      </c>
      <c r="I1291" s="1">
        <v>3465.74</v>
      </c>
      <c r="J1291" s="1">
        <v>22011.95</v>
      </c>
    </row>
    <row r="1292" spans="1:10">
      <c r="A1292" s="2">
        <v>45373</v>
      </c>
      <c r="B1292" s="1">
        <v>1437.69</v>
      </c>
      <c r="C1292" s="1">
        <v>3598.89</v>
      </c>
      <c r="D1292" s="1">
        <v>690.79</v>
      </c>
      <c r="E1292" s="1">
        <v>1390.47</v>
      </c>
      <c r="F1292" s="1">
        <v>373.5</v>
      </c>
      <c r="G1292" s="1">
        <v>11971.16</v>
      </c>
      <c r="H1292" s="1">
        <v>1574.59</v>
      </c>
      <c r="I1292" s="1">
        <v>3522.01</v>
      </c>
      <c r="J1292" s="1">
        <v>22096.75</v>
      </c>
    </row>
    <row r="1293" spans="1:10">
      <c r="A1293" s="2">
        <v>45377</v>
      </c>
      <c r="B1293" s="1">
        <v>1424.4</v>
      </c>
      <c r="C1293" s="1">
        <v>3568.15</v>
      </c>
      <c r="D1293" s="1">
        <v>682.43</v>
      </c>
      <c r="E1293" s="1">
        <v>1375.54</v>
      </c>
      <c r="F1293" s="1">
        <v>372.68</v>
      </c>
      <c r="G1293" s="1">
        <v>11886.6</v>
      </c>
      <c r="H1293" s="1">
        <v>1564.02</v>
      </c>
      <c r="I1293" s="1">
        <v>3572.93</v>
      </c>
      <c r="J1293" s="1">
        <v>22004.7</v>
      </c>
    </row>
    <row r="1294" spans="1:10">
      <c r="A1294" s="2">
        <v>45378</v>
      </c>
      <c r="B1294" s="1">
        <v>1475.06</v>
      </c>
      <c r="C1294" s="1">
        <v>3534.47</v>
      </c>
      <c r="D1294" s="1">
        <v>689.76</v>
      </c>
      <c r="E1294" s="1">
        <v>1367.43</v>
      </c>
      <c r="F1294" s="1">
        <v>372.98</v>
      </c>
      <c r="G1294" s="1">
        <v>12138.68</v>
      </c>
      <c r="H1294" s="1">
        <v>1569.95</v>
      </c>
      <c r="I1294" s="1">
        <v>3608.27</v>
      </c>
      <c r="J1294" s="1">
        <v>22123.65</v>
      </c>
    </row>
    <row r="1295" spans="1:10">
      <c r="A1295" s="2">
        <v>45379</v>
      </c>
      <c r="B1295" s="1">
        <v>1468.15</v>
      </c>
      <c r="C1295" s="1">
        <v>3567.05</v>
      </c>
      <c r="D1295" s="1">
        <v>693.21</v>
      </c>
      <c r="E1295" s="1">
        <v>1380.52</v>
      </c>
      <c r="F1295" s="1">
        <v>373.29</v>
      </c>
      <c r="G1295" s="1">
        <v>12226.01</v>
      </c>
      <c r="H1295" s="1">
        <v>1586</v>
      </c>
      <c r="I1295" s="1">
        <v>3664.25</v>
      </c>
      <c r="J1295" s="1">
        <v>22326.9</v>
      </c>
    </row>
    <row r="1296" spans="1:10">
      <c r="A1296" s="2">
        <v>45383</v>
      </c>
      <c r="B1296" s="1">
        <v>1467.08</v>
      </c>
      <c r="C1296" s="1">
        <v>3604.27</v>
      </c>
      <c r="D1296" s="1">
        <v>704.03</v>
      </c>
      <c r="E1296" s="1">
        <v>1378.12</v>
      </c>
      <c r="F1296" s="1">
        <v>371.85</v>
      </c>
      <c r="G1296" s="1">
        <v>12196.17</v>
      </c>
      <c r="H1296" s="1">
        <v>1594.51</v>
      </c>
      <c r="I1296" s="1">
        <v>3736.38</v>
      </c>
      <c r="J1296" s="1">
        <v>22462</v>
      </c>
    </row>
    <row r="1297" spans="1:10">
      <c r="A1297" s="2">
        <v>45384</v>
      </c>
      <c r="B1297" s="1">
        <v>1469.23</v>
      </c>
      <c r="C1297" s="1">
        <v>3573.95</v>
      </c>
      <c r="D1297" s="1">
        <v>708.65</v>
      </c>
      <c r="E1297" s="1">
        <v>1366.51</v>
      </c>
      <c r="F1297" s="1">
        <v>371.11</v>
      </c>
      <c r="G1297" s="1">
        <v>12179.53</v>
      </c>
      <c r="H1297" s="1">
        <v>1587.66</v>
      </c>
      <c r="I1297" s="1">
        <v>3706.59</v>
      </c>
      <c r="J1297" s="1">
        <v>22453.3</v>
      </c>
    </row>
    <row r="1298" spans="1:10">
      <c r="A1298" s="2">
        <v>45385</v>
      </c>
      <c r="B1298" s="1">
        <v>1454.07</v>
      </c>
      <c r="C1298" s="1">
        <v>3632.38</v>
      </c>
      <c r="D1298" s="1">
        <v>709.68</v>
      </c>
      <c r="E1298" s="1">
        <v>1364.48</v>
      </c>
      <c r="F1298" s="1">
        <v>370.54</v>
      </c>
      <c r="G1298" s="1">
        <v>12058.63</v>
      </c>
      <c r="H1298" s="1">
        <v>1585.31</v>
      </c>
      <c r="I1298" s="1">
        <v>3682.3</v>
      </c>
      <c r="J1298" s="1">
        <v>22434.65</v>
      </c>
    </row>
    <row r="1299" spans="1:10">
      <c r="A1299" s="2">
        <v>45386</v>
      </c>
      <c r="B1299" s="1">
        <v>1445.49</v>
      </c>
      <c r="C1299" s="1">
        <v>3683.91</v>
      </c>
      <c r="D1299" s="1">
        <v>731.36</v>
      </c>
      <c r="E1299" s="1">
        <v>1370.06</v>
      </c>
      <c r="F1299" s="1">
        <v>368.41</v>
      </c>
      <c r="G1299" s="1">
        <v>12193.89</v>
      </c>
      <c r="H1299" s="1">
        <v>1584.82</v>
      </c>
      <c r="I1299" s="1">
        <v>3697.3</v>
      </c>
      <c r="J1299" s="1">
        <v>22514.65</v>
      </c>
    </row>
    <row r="1300" spans="1:10">
      <c r="A1300" s="2">
        <v>45387</v>
      </c>
      <c r="B1300" s="1">
        <v>1442.7</v>
      </c>
      <c r="C1300" s="1">
        <v>3661.78</v>
      </c>
      <c r="D1300" s="1">
        <v>741.87</v>
      </c>
      <c r="E1300" s="1">
        <v>1363.05</v>
      </c>
      <c r="F1300" s="1">
        <v>372.59</v>
      </c>
      <c r="G1300" s="1">
        <v>12052.57</v>
      </c>
      <c r="H1300" s="1">
        <v>1574.69</v>
      </c>
      <c r="I1300" s="1">
        <v>3644</v>
      </c>
      <c r="J1300" s="1">
        <v>22513.7</v>
      </c>
    </row>
    <row r="1301" spans="1:10">
      <c r="A1301" s="2">
        <v>45390</v>
      </c>
      <c r="B1301" s="1">
        <v>1468.27</v>
      </c>
      <c r="C1301" s="1">
        <v>3655.62</v>
      </c>
      <c r="D1301" s="1">
        <v>740.46</v>
      </c>
      <c r="E1301" s="1">
        <v>1360.84</v>
      </c>
      <c r="F1301" s="1">
        <v>373.94</v>
      </c>
      <c r="G1301" s="1">
        <v>12482.89</v>
      </c>
      <c r="H1301" s="1">
        <v>1565.59</v>
      </c>
      <c r="I1301" s="1">
        <v>3707.03</v>
      </c>
      <c r="J1301" s="1">
        <v>22666.3</v>
      </c>
    </row>
    <row r="1302" spans="1:10">
      <c r="A1302" s="2">
        <v>45391</v>
      </c>
      <c r="B1302" s="1">
        <v>1446.21</v>
      </c>
      <c r="C1302" s="1">
        <v>3631.69</v>
      </c>
      <c r="D1302" s="1">
        <v>741.39</v>
      </c>
      <c r="E1302" s="1">
        <v>1377.57</v>
      </c>
      <c r="F1302" s="1">
        <v>371.54</v>
      </c>
      <c r="G1302" s="1">
        <v>12505.11</v>
      </c>
      <c r="H1302" s="1">
        <v>1568.38</v>
      </c>
      <c r="I1302" s="1">
        <v>3685.03</v>
      </c>
      <c r="J1302" s="1">
        <v>22642.75</v>
      </c>
    </row>
    <row r="1303" spans="1:10">
      <c r="A1303" s="2">
        <v>45392</v>
      </c>
      <c r="B1303" s="1">
        <v>1461.95</v>
      </c>
      <c r="C1303" s="1">
        <v>3666.75</v>
      </c>
      <c r="D1303" s="1">
        <v>735.55</v>
      </c>
      <c r="E1303" s="1">
        <v>1388.58</v>
      </c>
      <c r="F1303" s="1">
        <v>380.78</v>
      </c>
      <c r="G1303" s="1">
        <v>12305.96</v>
      </c>
      <c r="H1303" s="1">
        <v>1569.85</v>
      </c>
      <c r="I1303" s="1">
        <v>3653.83</v>
      </c>
      <c r="J1303" s="1">
        <v>22753.8</v>
      </c>
    </row>
    <row r="1304" spans="1:10">
      <c r="A1304" s="2">
        <v>45394</v>
      </c>
      <c r="B1304" s="1">
        <v>1449.67</v>
      </c>
      <c r="C1304" s="1">
        <v>3682.17</v>
      </c>
      <c r="D1304" s="1">
        <v>727.22</v>
      </c>
      <c r="E1304" s="1">
        <v>1368.26</v>
      </c>
      <c r="F1304" s="1">
        <v>374.81</v>
      </c>
      <c r="G1304" s="1">
        <v>11902.12</v>
      </c>
      <c r="H1304" s="1">
        <v>1507.16</v>
      </c>
      <c r="I1304" s="1">
        <v>3581.84</v>
      </c>
      <c r="J1304" s="1">
        <v>22519.4</v>
      </c>
    </row>
    <row r="1305" spans="1:10">
      <c r="A1305" s="2">
        <v>45397</v>
      </c>
      <c r="B1305" s="1">
        <v>1447.37</v>
      </c>
      <c r="C1305" s="1">
        <v>3626.77</v>
      </c>
      <c r="D1305" s="1">
        <v>715.61</v>
      </c>
      <c r="E1305" s="1">
        <v>1352.96</v>
      </c>
      <c r="F1305" s="1">
        <v>371.15</v>
      </c>
      <c r="G1305" s="1">
        <v>12053.78</v>
      </c>
      <c r="H1305" s="1">
        <v>1507.21</v>
      </c>
      <c r="I1305" s="1">
        <v>3505.46</v>
      </c>
      <c r="J1305" s="1">
        <v>22272.5</v>
      </c>
    </row>
    <row r="1306" spans="1:10">
      <c r="A1306" s="2">
        <v>45398</v>
      </c>
      <c r="B1306" s="1">
        <v>1448.28</v>
      </c>
      <c r="C1306" s="1">
        <v>3563.83</v>
      </c>
      <c r="D1306" s="1">
        <v>722.58</v>
      </c>
      <c r="E1306" s="1">
        <v>1303.48</v>
      </c>
      <c r="F1306" s="1">
        <v>371.15</v>
      </c>
      <c r="G1306" s="1">
        <v>12131.26</v>
      </c>
      <c r="H1306" s="1">
        <v>1504.77</v>
      </c>
      <c r="I1306" s="1">
        <v>3449.63</v>
      </c>
      <c r="J1306" s="1">
        <v>22147.9</v>
      </c>
    </row>
    <row r="1307" spans="1:10">
      <c r="A1307" s="2">
        <v>45400</v>
      </c>
      <c r="B1307" s="1">
        <v>1446.88</v>
      </c>
      <c r="C1307" s="1">
        <v>3553.89</v>
      </c>
      <c r="D1307" s="1">
        <v>715.61</v>
      </c>
      <c r="E1307" s="1">
        <v>1307.9000000000001</v>
      </c>
      <c r="F1307" s="1">
        <v>365.01</v>
      </c>
      <c r="G1307" s="1">
        <v>12036.46</v>
      </c>
      <c r="H1307" s="1">
        <v>1484.07</v>
      </c>
      <c r="I1307" s="1">
        <v>3456.93</v>
      </c>
      <c r="J1307" s="1">
        <v>21995.85</v>
      </c>
    </row>
    <row r="1308" spans="1:10">
      <c r="A1308" s="2">
        <v>45401</v>
      </c>
      <c r="B1308" s="1">
        <v>1452.61</v>
      </c>
      <c r="C1308" s="1">
        <v>3520.94</v>
      </c>
      <c r="D1308" s="1">
        <v>733.14</v>
      </c>
      <c r="E1308" s="1">
        <v>1300.53</v>
      </c>
      <c r="F1308" s="1">
        <v>370.15</v>
      </c>
      <c r="G1308" s="1">
        <v>12333.32</v>
      </c>
      <c r="H1308" s="1">
        <v>1490.33</v>
      </c>
      <c r="I1308" s="1">
        <v>3425.2</v>
      </c>
      <c r="J1308" s="1">
        <v>22147</v>
      </c>
    </row>
    <row r="1309" spans="1:10">
      <c r="A1309" s="2">
        <v>45404</v>
      </c>
      <c r="B1309" s="1">
        <v>1462.22</v>
      </c>
      <c r="C1309" s="1">
        <v>3556.28</v>
      </c>
      <c r="D1309" s="1">
        <v>723.99</v>
      </c>
      <c r="E1309" s="1">
        <v>1320.34</v>
      </c>
      <c r="F1309" s="1">
        <v>370.63</v>
      </c>
      <c r="G1309" s="1">
        <v>12405.66</v>
      </c>
      <c r="H1309" s="1">
        <v>1507.26</v>
      </c>
      <c r="I1309" s="1">
        <v>3517.05</v>
      </c>
      <c r="J1309" s="1">
        <v>22336.400000000001</v>
      </c>
    </row>
    <row r="1310" spans="1:10">
      <c r="A1310" s="2">
        <v>45405</v>
      </c>
      <c r="B1310" s="1">
        <v>1441.94</v>
      </c>
      <c r="C1310" s="1">
        <v>3565.57</v>
      </c>
      <c r="D1310" s="1">
        <v>721.79</v>
      </c>
      <c r="E1310" s="1">
        <v>1329.23</v>
      </c>
      <c r="F1310" s="1">
        <v>374.03</v>
      </c>
      <c r="G1310" s="1">
        <v>12610.14</v>
      </c>
      <c r="H1310" s="1">
        <v>1452.99</v>
      </c>
      <c r="I1310" s="1">
        <v>3514.57</v>
      </c>
      <c r="J1310" s="1">
        <v>22368</v>
      </c>
    </row>
    <row r="1311" spans="1:10">
      <c r="A1311" s="2">
        <v>45406</v>
      </c>
      <c r="B1311" s="1">
        <v>1432.9</v>
      </c>
      <c r="C1311" s="1">
        <v>3525.41</v>
      </c>
      <c r="D1311" s="1">
        <v>723.75</v>
      </c>
      <c r="E1311" s="1">
        <v>1318.5</v>
      </c>
      <c r="F1311" s="1">
        <v>373.77</v>
      </c>
      <c r="G1311" s="1">
        <v>12559.5</v>
      </c>
      <c r="H1311" s="1">
        <v>1454.07</v>
      </c>
      <c r="I1311" s="1">
        <v>3538.61</v>
      </c>
      <c r="J1311" s="1">
        <v>22402.400000000001</v>
      </c>
    </row>
    <row r="1312" spans="1:10">
      <c r="A1312" s="2">
        <v>45407</v>
      </c>
      <c r="B1312" s="1">
        <v>1442.58</v>
      </c>
      <c r="C1312" s="1">
        <v>3544.87</v>
      </c>
      <c r="D1312" s="1">
        <v>723.3</v>
      </c>
      <c r="E1312" s="1">
        <v>1325.59</v>
      </c>
      <c r="F1312" s="1">
        <v>381.3</v>
      </c>
      <c r="G1312" s="1">
        <v>12538.59</v>
      </c>
      <c r="H1312" s="1">
        <v>1487.74</v>
      </c>
      <c r="I1312" s="1">
        <v>3555.6</v>
      </c>
      <c r="J1312" s="1">
        <v>22570.35</v>
      </c>
    </row>
    <row r="1313" spans="1:10">
      <c r="A1313" s="2">
        <v>45408</v>
      </c>
      <c r="B1313" s="1">
        <v>1435.24</v>
      </c>
      <c r="C1313" s="1">
        <v>3516.48</v>
      </c>
      <c r="D1313" s="1">
        <v>722.84</v>
      </c>
      <c r="E1313" s="1">
        <v>1318.04</v>
      </c>
      <c r="F1313" s="1">
        <v>383.44</v>
      </c>
      <c r="G1313" s="1">
        <v>12325.95</v>
      </c>
      <c r="H1313" s="1">
        <v>1474.43</v>
      </c>
      <c r="I1313" s="1">
        <v>3509.75</v>
      </c>
      <c r="J1313" s="1">
        <v>22419.95</v>
      </c>
    </row>
    <row r="1314" spans="1:10">
      <c r="A1314" s="2">
        <v>45411</v>
      </c>
      <c r="B1314" s="1">
        <v>1447.57</v>
      </c>
      <c r="C1314" s="1">
        <v>3561.43</v>
      </c>
      <c r="D1314" s="1">
        <v>732.27</v>
      </c>
      <c r="E1314" s="1">
        <v>1322.18</v>
      </c>
      <c r="F1314" s="1">
        <v>381.87</v>
      </c>
      <c r="G1314" s="1">
        <v>12312.85</v>
      </c>
      <c r="H1314" s="1">
        <v>1489.16</v>
      </c>
      <c r="I1314" s="1">
        <v>3538.08</v>
      </c>
      <c r="J1314" s="1">
        <v>22643.4</v>
      </c>
    </row>
    <row r="1315" spans="1:10">
      <c r="A1315" s="2">
        <v>45412</v>
      </c>
      <c r="B1315" s="1">
        <v>1449.52</v>
      </c>
      <c r="C1315" s="1">
        <v>3515.84</v>
      </c>
      <c r="D1315" s="1">
        <v>727.77</v>
      </c>
      <c r="E1315" s="1">
        <v>1309.0999999999999</v>
      </c>
      <c r="F1315" s="1">
        <v>379.65</v>
      </c>
      <c r="G1315" s="1">
        <v>12436.71</v>
      </c>
      <c r="H1315" s="1">
        <v>1470.07</v>
      </c>
      <c r="I1315" s="1">
        <v>3499.14</v>
      </c>
      <c r="J1315" s="1">
        <v>22604.85</v>
      </c>
    </row>
    <row r="1316" spans="1:10">
      <c r="A1316" s="2">
        <v>45414</v>
      </c>
      <c r="B1316" s="1">
        <v>1449.08</v>
      </c>
      <c r="C1316" s="1">
        <v>3555.08</v>
      </c>
      <c r="D1316" s="1">
        <v>733.59</v>
      </c>
      <c r="E1316" s="1">
        <v>1303.48</v>
      </c>
      <c r="F1316" s="1">
        <v>382.57</v>
      </c>
      <c r="G1316" s="1">
        <v>12424.92</v>
      </c>
      <c r="H1316" s="1">
        <v>1486.61</v>
      </c>
      <c r="I1316" s="1">
        <v>3504.2</v>
      </c>
      <c r="J1316" s="1">
        <v>22648.2</v>
      </c>
    </row>
    <row r="1317" spans="1:10">
      <c r="A1317" s="2">
        <v>45415</v>
      </c>
      <c r="B1317" s="1">
        <v>1416.91</v>
      </c>
      <c r="C1317" s="1">
        <v>3536.77</v>
      </c>
      <c r="D1317" s="1">
        <v>727.53</v>
      </c>
      <c r="E1317" s="1">
        <v>1305.18</v>
      </c>
      <c r="F1317" s="1">
        <v>380.35</v>
      </c>
      <c r="G1317" s="1">
        <v>12121.02</v>
      </c>
      <c r="H1317" s="1">
        <v>1478.93</v>
      </c>
      <c r="I1317" s="1">
        <v>3407.14</v>
      </c>
      <c r="J1317" s="1">
        <v>22475.85</v>
      </c>
    </row>
    <row r="1318" spans="1:10">
      <c r="A1318" s="2">
        <v>45418</v>
      </c>
      <c r="B1318" s="1">
        <v>1402.61</v>
      </c>
      <c r="C1318" s="1">
        <v>3608.23</v>
      </c>
      <c r="D1318" s="1">
        <v>728.99</v>
      </c>
      <c r="E1318" s="1">
        <v>1314.03</v>
      </c>
      <c r="F1318" s="1">
        <v>378.86</v>
      </c>
      <c r="G1318" s="1">
        <v>12069.74</v>
      </c>
      <c r="H1318" s="1">
        <v>1496.54</v>
      </c>
      <c r="I1318" s="1">
        <v>3371.6</v>
      </c>
      <c r="J1318" s="1">
        <v>22442.7</v>
      </c>
    </row>
    <row r="1319" spans="1:10">
      <c r="A1319" s="2">
        <v>45419</v>
      </c>
      <c r="B1319" s="1">
        <v>1384.78</v>
      </c>
      <c r="C1319" s="1">
        <v>3661.51</v>
      </c>
      <c r="D1319" s="1">
        <v>721.1</v>
      </c>
      <c r="E1319" s="1">
        <v>1327.9</v>
      </c>
      <c r="F1319" s="1">
        <v>383.74</v>
      </c>
      <c r="G1319" s="1">
        <v>11996.73</v>
      </c>
      <c r="H1319" s="1">
        <v>1483.04</v>
      </c>
      <c r="I1319" s="1">
        <v>3337</v>
      </c>
      <c r="J1319" s="1">
        <v>22302.5</v>
      </c>
    </row>
    <row r="1320" spans="1:10">
      <c r="A1320" s="2">
        <v>45420</v>
      </c>
      <c r="B1320" s="1">
        <v>1401.65</v>
      </c>
      <c r="C1320" s="1">
        <v>3659.67</v>
      </c>
      <c r="D1320" s="1">
        <v>709.84</v>
      </c>
      <c r="E1320" s="1">
        <v>1315.32</v>
      </c>
      <c r="F1320" s="1">
        <v>384.31</v>
      </c>
      <c r="G1320" s="1">
        <v>12170.89</v>
      </c>
      <c r="H1320" s="1">
        <v>1489.3</v>
      </c>
      <c r="I1320" s="1">
        <v>3394.53</v>
      </c>
      <c r="J1320" s="1">
        <v>22302.5</v>
      </c>
    </row>
    <row r="1321" spans="1:10">
      <c r="A1321" s="2">
        <v>45421</v>
      </c>
      <c r="B1321" s="1">
        <v>1377.51</v>
      </c>
      <c r="C1321" s="1">
        <v>3644.25</v>
      </c>
      <c r="D1321" s="1">
        <v>693.02</v>
      </c>
      <c r="E1321" s="1">
        <v>1326.61</v>
      </c>
      <c r="F1321" s="1">
        <v>370.45</v>
      </c>
      <c r="G1321" s="1">
        <v>12133.15</v>
      </c>
      <c r="H1321" s="1">
        <v>1462.78</v>
      </c>
      <c r="I1321" s="1">
        <v>3188.73</v>
      </c>
      <c r="J1321" s="1">
        <v>21957.5</v>
      </c>
    </row>
    <row r="1322" spans="1:10">
      <c r="A1322" s="2">
        <v>45422</v>
      </c>
      <c r="B1322" s="1">
        <v>1390.65</v>
      </c>
      <c r="C1322" s="1">
        <v>3583.24</v>
      </c>
      <c r="D1322" s="1">
        <v>697.82</v>
      </c>
      <c r="E1322" s="1">
        <v>1313.11</v>
      </c>
      <c r="F1322" s="1">
        <v>377.64</v>
      </c>
      <c r="G1322" s="1">
        <v>12298.92</v>
      </c>
      <c r="H1322" s="1">
        <v>1474.43</v>
      </c>
      <c r="I1322" s="1">
        <v>3184.83</v>
      </c>
      <c r="J1322" s="1">
        <v>22055.200000000001</v>
      </c>
    </row>
    <row r="1323" spans="1:10">
      <c r="A1323" s="2">
        <v>45425</v>
      </c>
      <c r="B1323" s="1">
        <v>1385.99</v>
      </c>
      <c r="C1323" s="1">
        <v>3632.84</v>
      </c>
      <c r="D1323" s="1">
        <v>706.24</v>
      </c>
      <c r="E1323" s="1">
        <v>1311.77</v>
      </c>
      <c r="F1323" s="1">
        <v>376.34</v>
      </c>
      <c r="G1323" s="1">
        <v>12297.32</v>
      </c>
      <c r="H1323" s="1">
        <v>1492.53</v>
      </c>
      <c r="I1323" s="1">
        <v>3206.64</v>
      </c>
      <c r="J1323" s="1">
        <v>22104.05</v>
      </c>
    </row>
    <row r="1324" spans="1:10">
      <c r="A1324" s="2">
        <v>45426</v>
      </c>
      <c r="B1324" s="1">
        <v>1403.15</v>
      </c>
      <c r="C1324" s="1">
        <v>3589.96</v>
      </c>
      <c r="D1324" s="1">
        <v>709.01</v>
      </c>
      <c r="E1324" s="1">
        <v>1312.92</v>
      </c>
      <c r="F1324" s="1">
        <v>374.46</v>
      </c>
      <c r="G1324" s="1">
        <v>12433.5</v>
      </c>
      <c r="H1324" s="1">
        <v>1512.3</v>
      </c>
      <c r="I1324" s="1">
        <v>3289.97</v>
      </c>
      <c r="J1324" s="1">
        <v>22217.85</v>
      </c>
    </row>
    <row r="1325" spans="1:10">
      <c r="A1325" s="2">
        <v>45427</v>
      </c>
      <c r="B1325" s="1">
        <v>1399.4</v>
      </c>
      <c r="C1325" s="1">
        <v>3570.82</v>
      </c>
      <c r="D1325" s="1">
        <v>698.11</v>
      </c>
      <c r="E1325" s="1">
        <v>1308.55</v>
      </c>
      <c r="F1325" s="1">
        <v>372.81</v>
      </c>
      <c r="G1325" s="1">
        <v>12388</v>
      </c>
      <c r="H1325" s="1">
        <v>1494.83</v>
      </c>
      <c r="I1325" s="1">
        <v>3320.98</v>
      </c>
      <c r="J1325" s="1">
        <v>22200.55</v>
      </c>
    </row>
    <row r="1326" spans="1:10">
      <c r="A1326" s="2">
        <v>45428</v>
      </c>
      <c r="B1326" s="1">
        <v>1408.37</v>
      </c>
      <c r="C1326" s="1">
        <v>3615.82</v>
      </c>
      <c r="D1326" s="1">
        <v>708.67</v>
      </c>
      <c r="E1326" s="1">
        <v>1339.32</v>
      </c>
      <c r="F1326" s="1">
        <v>375.99</v>
      </c>
      <c r="G1326" s="1">
        <v>12126.36</v>
      </c>
      <c r="H1326" s="1">
        <v>1503.54</v>
      </c>
      <c r="I1326" s="1">
        <v>3368.98</v>
      </c>
      <c r="J1326" s="1">
        <v>22403.85</v>
      </c>
    </row>
    <row r="1327" spans="1:10">
      <c r="A1327" s="2">
        <v>45429</v>
      </c>
      <c r="B1327" s="1">
        <v>1418.59</v>
      </c>
      <c r="C1327" s="1">
        <v>3553.86</v>
      </c>
      <c r="D1327" s="1">
        <v>710.53</v>
      </c>
      <c r="E1327" s="1">
        <v>1330.98</v>
      </c>
      <c r="F1327" s="1">
        <v>380.22</v>
      </c>
      <c r="G1327" s="1">
        <v>12265.93</v>
      </c>
      <c r="H1327" s="1">
        <v>1498.75</v>
      </c>
      <c r="I1327" s="1">
        <v>3359.39</v>
      </c>
      <c r="J1327" s="1">
        <v>22466.1</v>
      </c>
    </row>
    <row r="1328" spans="1:10">
      <c r="A1328" s="2">
        <v>45433</v>
      </c>
      <c r="B1328" s="1">
        <v>1419.01</v>
      </c>
      <c r="C1328" s="1">
        <v>3540.97</v>
      </c>
      <c r="D1328" s="1">
        <v>707.96</v>
      </c>
      <c r="E1328" s="1">
        <v>1321.63</v>
      </c>
      <c r="F1328" s="1">
        <v>378.91</v>
      </c>
      <c r="G1328" s="1">
        <v>12102.73</v>
      </c>
      <c r="H1328" s="1">
        <v>1508.09</v>
      </c>
      <c r="I1328" s="1">
        <v>3349.85</v>
      </c>
      <c r="J1328" s="1">
        <v>22529.05</v>
      </c>
    </row>
    <row r="1329" spans="1:10">
      <c r="A1329" s="2">
        <v>45434</v>
      </c>
      <c r="B1329" s="1">
        <v>1443.25</v>
      </c>
      <c r="C1329" s="1">
        <v>3551.91</v>
      </c>
      <c r="D1329" s="1">
        <v>708.16</v>
      </c>
      <c r="E1329" s="1">
        <v>1340.66</v>
      </c>
      <c r="F1329" s="1">
        <v>383.35</v>
      </c>
      <c r="G1329" s="1">
        <v>12159.06</v>
      </c>
      <c r="H1329" s="1">
        <v>1506.48</v>
      </c>
      <c r="I1329" s="1">
        <v>3369.22</v>
      </c>
      <c r="J1329" s="1">
        <v>22597.8</v>
      </c>
    </row>
    <row r="1330" spans="1:10">
      <c r="A1330" s="2">
        <v>45435</v>
      </c>
      <c r="B1330" s="1">
        <v>1468.34</v>
      </c>
      <c r="C1330" s="1">
        <v>3608.87</v>
      </c>
      <c r="D1330" s="1">
        <v>724.37</v>
      </c>
      <c r="E1330" s="1">
        <v>1356.88</v>
      </c>
      <c r="F1330" s="1">
        <v>384.62</v>
      </c>
      <c r="G1330" s="1">
        <v>12550.62</v>
      </c>
      <c r="H1330" s="1">
        <v>1463.22</v>
      </c>
      <c r="I1330" s="1">
        <v>3490.47</v>
      </c>
      <c r="J1330" s="1">
        <v>22967.65</v>
      </c>
    </row>
    <row r="1331" spans="1:10">
      <c r="A1331" s="2">
        <v>45436</v>
      </c>
      <c r="B1331" s="1">
        <v>1462.61</v>
      </c>
      <c r="C1331" s="1">
        <v>3568.13</v>
      </c>
      <c r="D1331" s="1">
        <v>736.3</v>
      </c>
      <c r="E1331" s="1">
        <v>1350.15</v>
      </c>
      <c r="F1331" s="1">
        <v>380.13</v>
      </c>
      <c r="G1331" s="1">
        <v>12614.22</v>
      </c>
      <c r="H1331" s="1">
        <v>1455</v>
      </c>
      <c r="I1331" s="1">
        <v>3529.9</v>
      </c>
      <c r="J1331" s="1">
        <v>22957.1</v>
      </c>
    </row>
    <row r="1332" spans="1:10">
      <c r="A1332" s="2">
        <v>45439</v>
      </c>
      <c r="B1332" s="1">
        <v>1448.78</v>
      </c>
      <c r="C1332" s="1">
        <v>3565.86</v>
      </c>
      <c r="D1332" s="1">
        <v>741.4</v>
      </c>
      <c r="E1332" s="1">
        <v>1355.91</v>
      </c>
      <c r="F1332" s="1">
        <v>376.03</v>
      </c>
      <c r="G1332" s="1">
        <v>12522.67</v>
      </c>
      <c r="H1332" s="1">
        <v>1434.79</v>
      </c>
      <c r="I1332" s="1">
        <v>3555.31</v>
      </c>
      <c r="J1332" s="1">
        <v>22932.45</v>
      </c>
    </row>
    <row r="1333" spans="1:10">
      <c r="A1333" s="2">
        <v>45440</v>
      </c>
      <c r="B1333" s="1">
        <v>1438.85</v>
      </c>
      <c r="C1333" s="1">
        <v>3559.23</v>
      </c>
      <c r="D1333" s="1">
        <v>742.76</v>
      </c>
      <c r="E1333" s="1">
        <v>1351.95</v>
      </c>
      <c r="F1333" s="1">
        <v>373.85</v>
      </c>
      <c r="G1333" s="1">
        <v>12437.77</v>
      </c>
      <c r="H1333" s="1">
        <v>1433.66</v>
      </c>
      <c r="I1333" s="1">
        <v>3561.34</v>
      </c>
      <c r="J1333" s="1">
        <v>22888.15</v>
      </c>
    </row>
    <row r="1334" spans="1:10">
      <c r="A1334" s="2">
        <v>45441</v>
      </c>
      <c r="B1334" s="1">
        <v>1423.61</v>
      </c>
      <c r="C1334" s="1">
        <v>3525.63</v>
      </c>
      <c r="D1334" s="1">
        <v>731.99</v>
      </c>
      <c r="E1334" s="1">
        <v>1337.11</v>
      </c>
      <c r="F1334" s="1">
        <v>375.55</v>
      </c>
      <c r="G1334" s="1">
        <v>12408.71</v>
      </c>
      <c r="H1334" s="1">
        <v>1447.41</v>
      </c>
      <c r="I1334" s="1">
        <v>3538.56</v>
      </c>
      <c r="J1334" s="1">
        <v>22704.7</v>
      </c>
    </row>
    <row r="1335" spans="1:10">
      <c r="A1335" s="2">
        <v>45442</v>
      </c>
      <c r="B1335" s="1">
        <v>1407.87</v>
      </c>
      <c r="C1335" s="1">
        <v>3463.02</v>
      </c>
      <c r="D1335" s="1">
        <v>735.16</v>
      </c>
      <c r="E1335" s="1">
        <v>1315.46</v>
      </c>
      <c r="F1335" s="1">
        <v>369.37</v>
      </c>
      <c r="G1335" s="1">
        <v>12223.73</v>
      </c>
      <c r="H1335" s="1">
        <v>1427.99</v>
      </c>
      <c r="I1335" s="1">
        <v>3538.47</v>
      </c>
      <c r="J1335" s="1">
        <v>22488.65</v>
      </c>
    </row>
    <row r="1336" spans="1:10">
      <c r="A1336" s="2">
        <v>45443</v>
      </c>
      <c r="B1336" s="1">
        <v>1413.36</v>
      </c>
      <c r="C1336" s="1">
        <v>3402.63</v>
      </c>
      <c r="D1336" s="1">
        <v>743.27</v>
      </c>
      <c r="E1336" s="1">
        <v>1322.46</v>
      </c>
      <c r="F1336" s="1">
        <v>371.63</v>
      </c>
      <c r="G1336" s="1">
        <v>12030.93</v>
      </c>
      <c r="H1336" s="1">
        <v>1428.67</v>
      </c>
      <c r="I1336" s="1">
        <v>3572.15</v>
      </c>
      <c r="J1336" s="1">
        <v>22530.7</v>
      </c>
    </row>
    <row r="1337" spans="1:10">
      <c r="A1337" s="2">
        <v>45446</v>
      </c>
      <c r="B1337" s="1">
        <v>1492.33</v>
      </c>
      <c r="C1337" s="1">
        <v>3432.2</v>
      </c>
      <c r="D1337" s="1">
        <v>763</v>
      </c>
      <c r="E1337" s="1">
        <v>1321.52</v>
      </c>
      <c r="F1337" s="1">
        <v>375.03</v>
      </c>
      <c r="G1337" s="1">
        <v>12105.5</v>
      </c>
      <c r="H1337" s="1">
        <v>1422.07</v>
      </c>
      <c r="I1337" s="1">
        <v>3793.97</v>
      </c>
      <c r="J1337" s="1">
        <v>23263.9</v>
      </c>
    </row>
    <row r="1338" spans="1:10">
      <c r="A1338" s="2">
        <v>45447</v>
      </c>
      <c r="B1338" s="1">
        <v>1380.63</v>
      </c>
      <c r="C1338" s="1">
        <v>3443.46</v>
      </c>
      <c r="D1338" s="1">
        <v>719.78</v>
      </c>
      <c r="E1338" s="1">
        <v>1310.01</v>
      </c>
      <c r="F1338" s="1">
        <v>368.5</v>
      </c>
      <c r="G1338" s="1">
        <v>11814.31</v>
      </c>
      <c r="H1338" s="1">
        <v>1399.36</v>
      </c>
      <c r="I1338" s="1">
        <v>3313.1</v>
      </c>
      <c r="J1338" s="1">
        <v>21884.5</v>
      </c>
    </row>
    <row r="1339" spans="1:10">
      <c r="A1339" s="2">
        <v>45448</v>
      </c>
      <c r="B1339" s="1">
        <v>1403.82</v>
      </c>
      <c r="C1339" s="1">
        <v>3472.61</v>
      </c>
      <c r="D1339" s="1">
        <v>753.1</v>
      </c>
      <c r="E1339" s="1">
        <v>1344.27</v>
      </c>
      <c r="F1339" s="1">
        <v>381.9</v>
      </c>
      <c r="G1339" s="1">
        <v>12131.16</v>
      </c>
      <c r="H1339" s="1">
        <v>1455.59</v>
      </c>
      <c r="I1339" s="1">
        <v>3318.74</v>
      </c>
      <c r="J1339" s="1">
        <v>22620.35</v>
      </c>
    </row>
    <row r="1340" spans="1:10">
      <c r="A1340" s="2">
        <v>45449</v>
      </c>
      <c r="B1340" s="1">
        <v>1414.54</v>
      </c>
      <c r="C1340" s="1">
        <v>3550.43</v>
      </c>
      <c r="D1340" s="1">
        <v>756.93</v>
      </c>
      <c r="E1340" s="1">
        <v>1383.89</v>
      </c>
      <c r="F1340" s="1">
        <v>386.42</v>
      </c>
      <c r="G1340" s="1">
        <v>12296.98</v>
      </c>
      <c r="H1340" s="1">
        <v>1441.3</v>
      </c>
      <c r="I1340" s="1">
        <v>3390.34</v>
      </c>
      <c r="J1340" s="1">
        <v>22821.4</v>
      </c>
    </row>
    <row r="1341" spans="1:10">
      <c r="A1341" s="2">
        <v>45450</v>
      </c>
      <c r="B1341" s="1">
        <v>1452.43</v>
      </c>
      <c r="C1341" s="1">
        <v>3609.33</v>
      </c>
      <c r="D1341" s="1">
        <v>763.55</v>
      </c>
      <c r="E1341" s="1">
        <v>1441.56</v>
      </c>
      <c r="F1341" s="1">
        <v>389.75</v>
      </c>
      <c r="G1341" s="1">
        <v>12430.3</v>
      </c>
      <c r="H1341" s="1">
        <v>1474.72</v>
      </c>
      <c r="I1341" s="1">
        <v>3438.97</v>
      </c>
      <c r="J1341" s="1">
        <v>23290.15</v>
      </c>
    </row>
    <row r="1342" spans="1:10">
      <c r="A1342" s="2">
        <v>45453</v>
      </c>
      <c r="B1342" s="1">
        <v>1453.87</v>
      </c>
      <c r="C1342" s="1">
        <v>3576.66</v>
      </c>
      <c r="D1342" s="1">
        <v>757.71</v>
      </c>
      <c r="E1342" s="1">
        <v>1409.74</v>
      </c>
      <c r="F1342" s="1">
        <v>387.76</v>
      </c>
      <c r="G1342" s="1">
        <v>12339.72</v>
      </c>
      <c r="H1342" s="1">
        <v>1480.84</v>
      </c>
      <c r="I1342" s="1">
        <v>3449.92</v>
      </c>
      <c r="J1342" s="1">
        <v>23259.200000000001</v>
      </c>
    </row>
    <row r="1343" spans="1:10">
      <c r="A1343" s="2">
        <v>45454</v>
      </c>
      <c r="B1343" s="1">
        <v>1439.32</v>
      </c>
      <c r="C1343" s="1">
        <v>3570.54</v>
      </c>
      <c r="D1343" s="1">
        <v>759.41</v>
      </c>
      <c r="E1343" s="1">
        <v>1405.98</v>
      </c>
      <c r="F1343" s="1">
        <v>384.29</v>
      </c>
      <c r="G1343" s="1">
        <v>12481.48</v>
      </c>
      <c r="H1343" s="1">
        <v>1467.77</v>
      </c>
      <c r="I1343" s="1">
        <v>3503.42</v>
      </c>
      <c r="J1343" s="1">
        <v>23264.85</v>
      </c>
    </row>
    <row r="1344" spans="1:10">
      <c r="A1344" s="2">
        <v>45455</v>
      </c>
      <c r="B1344" s="1">
        <v>1445.89</v>
      </c>
      <c r="C1344" s="1">
        <v>3551.59</v>
      </c>
      <c r="D1344" s="1">
        <v>763.94</v>
      </c>
      <c r="E1344" s="1">
        <v>1396.06</v>
      </c>
      <c r="F1344" s="1">
        <v>383.67</v>
      </c>
      <c r="G1344" s="1">
        <v>12467.61</v>
      </c>
      <c r="H1344" s="1">
        <v>1474.72</v>
      </c>
      <c r="I1344" s="1">
        <v>3534.18</v>
      </c>
      <c r="J1344" s="1">
        <v>23322.95</v>
      </c>
    </row>
    <row r="1345" spans="1:10">
      <c r="A1345" s="2">
        <v>45456</v>
      </c>
      <c r="B1345" s="1">
        <v>1447.79</v>
      </c>
      <c r="C1345" s="1">
        <v>3594.69</v>
      </c>
      <c r="D1345" s="1">
        <v>767.15</v>
      </c>
      <c r="E1345" s="1">
        <v>1404.29</v>
      </c>
      <c r="F1345" s="1">
        <v>381.9</v>
      </c>
      <c r="G1345" s="1">
        <v>12465.18</v>
      </c>
      <c r="H1345" s="1">
        <v>1478.59</v>
      </c>
      <c r="I1345" s="1">
        <v>3605.59</v>
      </c>
      <c r="J1345" s="1">
        <v>23398.9</v>
      </c>
    </row>
    <row r="1346" spans="1:10">
      <c r="A1346" s="2">
        <v>45457</v>
      </c>
      <c r="B1346" s="1">
        <v>1459.94</v>
      </c>
      <c r="C1346" s="1">
        <v>3551.96</v>
      </c>
      <c r="D1346" s="1">
        <v>774.98</v>
      </c>
      <c r="E1346" s="1">
        <v>1399.54</v>
      </c>
      <c r="F1346" s="1">
        <v>382.65</v>
      </c>
      <c r="G1346" s="1">
        <v>12463.58</v>
      </c>
      <c r="H1346" s="1">
        <v>1483.67</v>
      </c>
      <c r="I1346" s="1">
        <v>3590.16</v>
      </c>
      <c r="J1346" s="1">
        <v>23465.599999999999</v>
      </c>
    </row>
    <row r="1347" spans="1:10">
      <c r="A1347" s="2">
        <v>45461</v>
      </c>
      <c r="B1347" s="1">
        <v>1463.38</v>
      </c>
      <c r="C1347" s="1">
        <v>3536.25</v>
      </c>
      <c r="D1347" s="1">
        <v>780.27</v>
      </c>
      <c r="E1347" s="1">
        <v>1408.28</v>
      </c>
      <c r="F1347" s="1">
        <v>380.52</v>
      </c>
      <c r="G1347" s="1">
        <v>12187.78</v>
      </c>
      <c r="H1347" s="1">
        <v>1488.52</v>
      </c>
      <c r="I1347" s="1">
        <v>3591.52</v>
      </c>
      <c r="J1347" s="1">
        <v>23557.9</v>
      </c>
    </row>
    <row r="1348" spans="1:10">
      <c r="A1348" s="2">
        <v>45462</v>
      </c>
      <c r="B1348" s="1">
        <v>1441.27</v>
      </c>
      <c r="C1348" s="1">
        <v>3523.83</v>
      </c>
      <c r="D1348" s="1">
        <v>804.56</v>
      </c>
      <c r="E1348" s="1">
        <v>1420.64</v>
      </c>
      <c r="F1348" s="1">
        <v>376</v>
      </c>
      <c r="G1348" s="1">
        <v>11878.4</v>
      </c>
      <c r="H1348" s="1">
        <v>1471.93</v>
      </c>
      <c r="I1348" s="1">
        <v>3494.9</v>
      </c>
      <c r="J1348" s="1">
        <v>23516</v>
      </c>
    </row>
    <row r="1349" spans="1:10">
      <c r="A1349" s="2">
        <v>45463</v>
      </c>
      <c r="B1349" s="1">
        <v>1456.14</v>
      </c>
      <c r="C1349" s="1">
        <v>3510.43</v>
      </c>
      <c r="D1349" s="1">
        <v>810.14</v>
      </c>
      <c r="E1349" s="1">
        <v>1424.45</v>
      </c>
      <c r="F1349" s="1">
        <v>375.69</v>
      </c>
      <c r="G1349" s="1">
        <v>11788.55</v>
      </c>
      <c r="H1349" s="1">
        <v>1439.63</v>
      </c>
      <c r="I1349" s="1">
        <v>3526.79</v>
      </c>
      <c r="J1349" s="1">
        <v>23567</v>
      </c>
    </row>
    <row r="1350" spans="1:10">
      <c r="A1350" s="2">
        <v>45464</v>
      </c>
      <c r="B1350" s="1">
        <v>1436.87</v>
      </c>
      <c r="C1350" s="1">
        <v>3532.21</v>
      </c>
      <c r="D1350" s="1">
        <v>808.4</v>
      </c>
      <c r="E1350" s="1">
        <v>1440.71</v>
      </c>
      <c r="F1350" s="1">
        <v>372.4</v>
      </c>
      <c r="G1350" s="1">
        <v>11839.01</v>
      </c>
      <c r="H1350" s="1">
        <v>1435.96</v>
      </c>
      <c r="I1350" s="1">
        <v>3468.46</v>
      </c>
      <c r="J1350" s="1">
        <v>23501.1</v>
      </c>
    </row>
    <row r="1351" spans="1:10">
      <c r="A1351" s="2">
        <v>45467</v>
      </c>
      <c r="B1351" s="1">
        <v>1424.3</v>
      </c>
      <c r="C1351" s="1">
        <v>3537.82</v>
      </c>
      <c r="D1351" s="1">
        <v>811.62</v>
      </c>
      <c r="E1351" s="1">
        <v>1435.49</v>
      </c>
      <c r="F1351" s="1">
        <v>375.69</v>
      </c>
      <c r="G1351" s="1">
        <v>11821.44</v>
      </c>
      <c r="H1351" s="1">
        <v>1462.63</v>
      </c>
      <c r="I1351" s="1">
        <v>3465.12</v>
      </c>
      <c r="J1351" s="1">
        <v>23537.85</v>
      </c>
    </row>
    <row r="1352" spans="1:10">
      <c r="A1352" s="2">
        <v>45468</v>
      </c>
      <c r="B1352" s="1">
        <v>1436.82</v>
      </c>
      <c r="C1352" s="1">
        <v>3557.89</v>
      </c>
      <c r="D1352" s="1">
        <v>830.53</v>
      </c>
      <c r="E1352" s="1">
        <v>1449.4</v>
      </c>
      <c r="F1352" s="1">
        <v>375.69</v>
      </c>
      <c r="G1352" s="1">
        <v>11756.63</v>
      </c>
      <c r="H1352" s="1">
        <v>1473.11</v>
      </c>
      <c r="I1352" s="1">
        <v>3520.26</v>
      </c>
      <c r="J1352" s="1">
        <v>23721.3</v>
      </c>
    </row>
    <row r="1353" spans="1:10">
      <c r="A1353" s="2">
        <v>45469</v>
      </c>
      <c r="B1353" s="1">
        <v>1495.98</v>
      </c>
      <c r="C1353" s="1">
        <v>3574.02</v>
      </c>
      <c r="D1353" s="1">
        <v>825.75</v>
      </c>
      <c r="E1353" s="1">
        <v>1448.23</v>
      </c>
      <c r="F1353" s="1">
        <v>376.26</v>
      </c>
      <c r="G1353" s="1">
        <v>11835.85</v>
      </c>
      <c r="H1353" s="1">
        <v>1488.72</v>
      </c>
      <c r="I1353" s="1">
        <v>3535.13</v>
      </c>
      <c r="J1353" s="1">
        <v>23868.799999999999</v>
      </c>
    </row>
    <row r="1354" spans="1:10">
      <c r="A1354" s="2">
        <v>45470</v>
      </c>
      <c r="B1354" s="1">
        <v>1512.31</v>
      </c>
      <c r="C1354" s="1">
        <v>3646.59</v>
      </c>
      <c r="D1354" s="1">
        <v>823.15</v>
      </c>
      <c r="E1354" s="1">
        <v>1478.92</v>
      </c>
      <c r="F1354" s="1">
        <v>377.73</v>
      </c>
      <c r="G1354" s="1">
        <v>11816.93</v>
      </c>
      <c r="H1354" s="1">
        <v>1483.92</v>
      </c>
      <c r="I1354" s="1">
        <v>3497.3</v>
      </c>
      <c r="J1354" s="1">
        <v>24044.5</v>
      </c>
    </row>
    <row r="1355" spans="1:10">
      <c r="A1355" s="2">
        <v>45471</v>
      </c>
      <c r="B1355" s="1">
        <v>1546.75</v>
      </c>
      <c r="C1355" s="1">
        <v>3618.79</v>
      </c>
      <c r="D1355" s="1">
        <v>817.16</v>
      </c>
      <c r="E1355" s="1">
        <v>1472.72</v>
      </c>
      <c r="F1355" s="1">
        <v>377.11</v>
      </c>
      <c r="G1355" s="1">
        <v>11676.34</v>
      </c>
      <c r="H1355" s="1">
        <v>1488.42</v>
      </c>
      <c r="I1355" s="1">
        <v>3481.66</v>
      </c>
      <c r="J1355" s="1">
        <v>24010.6</v>
      </c>
    </row>
    <row r="1356" spans="1:10">
      <c r="A1356" s="2">
        <v>45474</v>
      </c>
      <c r="B1356" s="1">
        <v>1541.56</v>
      </c>
      <c r="C1356" s="1">
        <v>3687.42</v>
      </c>
      <c r="D1356" s="1">
        <v>827.54</v>
      </c>
      <c r="E1356" s="1">
        <v>1495.32</v>
      </c>
      <c r="F1356" s="1">
        <v>380.79</v>
      </c>
      <c r="G1356" s="1">
        <v>11748.91</v>
      </c>
      <c r="H1356" s="1">
        <v>1487.69</v>
      </c>
      <c r="I1356" s="1">
        <v>3460.17</v>
      </c>
      <c r="J1356" s="1">
        <v>24141.95</v>
      </c>
    </row>
    <row r="1357" spans="1:10">
      <c r="A1357" s="2">
        <v>45475</v>
      </c>
      <c r="B1357" s="1">
        <v>1546.53</v>
      </c>
      <c r="C1357" s="1">
        <v>3723.76</v>
      </c>
      <c r="D1357" s="1">
        <v>839.87</v>
      </c>
      <c r="E1357" s="1">
        <v>1523.76</v>
      </c>
      <c r="F1357" s="1">
        <v>377.64</v>
      </c>
      <c r="G1357" s="1">
        <v>11684.83</v>
      </c>
      <c r="H1357" s="1">
        <v>1491.55</v>
      </c>
      <c r="I1357" s="1">
        <v>3558.24</v>
      </c>
      <c r="J1357" s="1">
        <v>24123.85</v>
      </c>
    </row>
    <row r="1358" spans="1:10">
      <c r="A1358" s="2">
        <v>45476</v>
      </c>
      <c r="B1358" s="1">
        <v>1533.93</v>
      </c>
      <c r="C1358" s="1">
        <v>3675.42</v>
      </c>
      <c r="D1358" s="1">
        <v>858.33</v>
      </c>
      <c r="E1358" s="1">
        <v>1529.73</v>
      </c>
      <c r="F1358" s="1">
        <v>380.12</v>
      </c>
      <c r="G1358" s="1">
        <v>11763.47</v>
      </c>
      <c r="H1358" s="1">
        <v>1501.24</v>
      </c>
      <c r="I1358" s="1">
        <v>3546.31</v>
      </c>
      <c r="J1358" s="1">
        <v>24286.5</v>
      </c>
    </row>
    <row r="1359" spans="1:10">
      <c r="A1359" s="2">
        <v>45477</v>
      </c>
      <c r="B1359" s="1">
        <v>1535.51</v>
      </c>
      <c r="C1359" s="1">
        <v>3727.05</v>
      </c>
      <c r="D1359" s="1">
        <v>838.19</v>
      </c>
      <c r="E1359" s="1">
        <v>1551.58</v>
      </c>
      <c r="F1359" s="1">
        <v>380.79</v>
      </c>
      <c r="G1359" s="1">
        <v>11730.43</v>
      </c>
      <c r="H1359" s="1">
        <v>1524.68</v>
      </c>
      <c r="I1359" s="1">
        <v>3506.04</v>
      </c>
      <c r="J1359" s="1">
        <v>24302.15</v>
      </c>
    </row>
    <row r="1360" spans="1:10">
      <c r="A1360" s="2">
        <v>45478</v>
      </c>
      <c r="B1360" s="1">
        <v>1569.7</v>
      </c>
      <c r="C1360" s="1">
        <v>3718.57</v>
      </c>
      <c r="D1360" s="1">
        <v>799.83</v>
      </c>
      <c r="E1360" s="1">
        <v>1548.57</v>
      </c>
      <c r="F1360" s="1">
        <v>384.87</v>
      </c>
      <c r="G1360" s="1">
        <v>11744.45</v>
      </c>
      <c r="H1360" s="1">
        <v>1534.96</v>
      </c>
      <c r="I1360" s="1">
        <v>3558.87</v>
      </c>
      <c r="J1360" s="1">
        <v>24323.85</v>
      </c>
    </row>
    <row r="1361" spans="1:10">
      <c r="A1361" s="2">
        <v>45481</v>
      </c>
      <c r="B1361" s="1">
        <v>1581.82</v>
      </c>
      <c r="C1361" s="1">
        <v>3701.33</v>
      </c>
      <c r="D1361" s="1">
        <v>793.64</v>
      </c>
      <c r="E1361" s="1">
        <v>1561.92</v>
      </c>
      <c r="F1361" s="1">
        <v>393.7</v>
      </c>
      <c r="G1361" s="1">
        <v>11666.39</v>
      </c>
      <c r="H1361" s="1">
        <v>1523.21</v>
      </c>
      <c r="I1361" s="1">
        <v>3563.63</v>
      </c>
      <c r="J1361" s="1">
        <v>24320.55</v>
      </c>
    </row>
    <row r="1362" spans="1:10">
      <c r="A1362" s="2">
        <v>45482</v>
      </c>
      <c r="B1362" s="1">
        <v>1571.33</v>
      </c>
      <c r="C1362" s="1">
        <v>3694.19</v>
      </c>
      <c r="D1362" s="1">
        <v>794.2</v>
      </c>
      <c r="E1362" s="1">
        <v>1557.69</v>
      </c>
      <c r="F1362" s="1">
        <v>401.69</v>
      </c>
      <c r="G1362" s="1">
        <v>12446.6</v>
      </c>
      <c r="H1362" s="1">
        <v>1551.6</v>
      </c>
      <c r="I1362" s="1">
        <v>3597.09</v>
      </c>
      <c r="J1362" s="1">
        <v>24433.200000000001</v>
      </c>
    </row>
    <row r="1363" spans="1:10">
      <c r="A1363" s="2">
        <v>45483</v>
      </c>
      <c r="B1363" s="1">
        <v>1565.35</v>
      </c>
      <c r="C1363" s="1">
        <v>3623.42</v>
      </c>
      <c r="D1363" s="1">
        <v>789.15</v>
      </c>
      <c r="E1363" s="1">
        <v>1549.32</v>
      </c>
      <c r="F1363" s="1">
        <v>400.67</v>
      </c>
      <c r="G1363" s="1">
        <v>12393.33</v>
      </c>
      <c r="H1363" s="1">
        <v>1564.46</v>
      </c>
      <c r="I1363" s="1">
        <v>3581.34</v>
      </c>
      <c r="J1363" s="1">
        <v>24324.45</v>
      </c>
    </row>
    <row r="1364" spans="1:10">
      <c r="A1364" s="2">
        <v>45484</v>
      </c>
      <c r="B1364" s="1">
        <v>1561.82</v>
      </c>
      <c r="C1364" s="1">
        <v>3636.91</v>
      </c>
      <c r="D1364" s="1">
        <v>787.12</v>
      </c>
      <c r="E1364" s="1">
        <v>1553.51</v>
      </c>
      <c r="F1364" s="1">
        <v>407.06</v>
      </c>
      <c r="G1364" s="1">
        <v>12337.45</v>
      </c>
      <c r="H1364" s="1">
        <v>1548.02</v>
      </c>
      <c r="I1364" s="1">
        <v>3552.94</v>
      </c>
      <c r="J1364" s="1">
        <v>24315.95</v>
      </c>
    </row>
    <row r="1365" spans="1:10">
      <c r="A1365" s="2">
        <v>45485</v>
      </c>
      <c r="B1365" s="1">
        <v>1577.7</v>
      </c>
      <c r="C1365" s="1">
        <v>3878.14</v>
      </c>
      <c r="D1365" s="1">
        <v>787.5</v>
      </c>
      <c r="E1365" s="1">
        <v>1609.01</v>
      </c>
      <c r="F1365" s="1">
        <v>407.41</v>
      </c>
      <c r="G1365" s="1">
        <v>12189.28</v>
      </c>
      <c r="H1365" s="1">
        <v>1548.56</v>
      </c>
      <c r="I1365" s="1">
        <v>3580.66</v>
      </c>
      <c r="J1365" s="1">
        <v>24502.15</v>
      </c>
    </row>
    <row r="1366" spans="1:10">
      <c r="A1366" s="2">
        <v>45488</v>
      </c>
      <c r="B1366" s="1">
        <v>1578.19</v>
      </c>
      <c r="C1366" s="1">
        <v>3864.46</v>
      </c>
      <c r="D1366" s="1">
        <v>787.21</v>
      </c>
      <c r="E1366" s="1">
        <v>1604.6</v>
      </c>
      <c r="F1366" s="1">
        <v>411.28</v>
      </c>
      <c r="G1366" s="1">
        <v>12268.31</v>
      </c>
      <c r="H1366" s="1">
        <v>1557.3</v>
      </c>
      <c r="I1366" s="1">
        <v>3582.86</v>
      </c>
      <c r="J1366" s="1">
        <v>24586.7</v>
      </c>
    </row>
    <row r="1367" spans="1:10">
      <c r="A1367" s="2">
        <v>45489</v>
      </c>
      <c r="B1367" s="1">
        <v>1557.47</v>
      </c>
      <c r="C1367" s="1">
        <v>3873.04</v>
      </c>
      <c r="D1367" s="1">
        <v>786.07</v>
      </c>
      <c r="E1367" s="1">
        <v>1622.45</v>
      </c>
      <c r="F1367" s="1">
        <v>413.18</v>
      </c>
      <c r="G1367" s="1">
        <v>12264.04</v>
      </c>
      <c r="H1367" s="1">
        <v>1550.53</v>
      </c>
      <c r="I1367" s="1">
        <v>3568.1</v>
      </c>
      <c r="J1367" s="1">
        <v>24613</v>
      </c>
    </row>
    <row r="1368" spans="1:10">
      <c r="A1368" s="2">
        <v>45491</v>
      </c>
      <c r="B1368" s="1">
        <v>1567.77</v>
      </c>
      <c r="C1368" s="1">
        <v>4000.12</v>
      </c>
      <c r="D1368" s="1">
        <v>783.67</v>
      </c>
      <c r="E1368" s="1">
        <v>1652.53</v>
      </c>
      <c r="F1368" s="1">
        <v>417.35</v>
      </c>
      <c r="G1368" s="1">
        <v>12268.41</v>
      </c>
      <c r="H1368" s="1">
        <v>1565.2</v>
      </c>
      <c r="I1368" s="1">
        <v>3587.38</v>
      </c>
      <c r="J1368" s="1">
        <v>24800.85</v>
      </c>
    </row>
    <row r="1369" spans="1:10">
      <c r="A1369" s="2">
        <v>45492</v>
      </c>
      <c r="B1369" s="1">
        <v>1536.62</v>
      </c>
      <c r="C1369" s="1">
        <v>3997.19</v>
      </c>
      <c r="D1369" s="1">
        <v>780.03</v>
      </c>
      <c r="E1369" s="1">
        <v>1685.34</v>
      </c>
      <c r="F1369" s="1">
        <v>421.17</v>
      </c>
      <c r="G1369" s="1">
        <v>12152.22</v>
      </c>
      <c r="H1369" s="1">
        <v>1540.07</v>
      </c>
      <c r="I1369" s="1">
        <v>3550.39</v>
      </c>
      <c r="J1369" s="1">
        <v>24530.9</v>
      </c>
    </row>
    <row r="1370" spans="1:10">
      <c r="A1370" s="2">
        <v>45495</v>
      </c>
      <c r="B1370" s="1">
        <v>1482.79</v>
      </c>
      <c r="C1370" s="1">
        <v>3983.21</v>
      </c>
      <c r="D1370" s="1">
        <v>797.14</v>
      </c>
      <c r="E1370" s="1">
        <v>1702.17</v>
      </c>
      <c r="F1370" s="1">
        <v>414.07</v>
      </c>
      <c r="G1370" s="1">
        <v>12265.69</v>
      </c>
      <c r="H1370" s="1">
        <v>1558.43</v>
      </c>
      <c r="I1370" s="1">
        <v>3582.72</v>
      </c>
      <c r="J1370" s="1">
        <v>24509.25</v>
      </c>
    </row>
    <row r="1371" spans="1:10">
      <c r="A1371" s="2">
        <v>45496</v>
      </c>
      <c r="B1371" s="1">
        <v>1470.17</v>
      </c>
      <c r="C1371" s="1">
        <v>3997.14</v>
      </c>
      <c r="D1371" s="1">
        <v>785.42</v>
      </c>
      <c r="E1371" s="1">
        <v>1726.65</v>
      </c>
      <c r="F1371" s="1">
        <v>436.84</v>
      </c>
      <c r="G1371" s="1">
        <v>12253.85</v>
      </c>
      <c r="H1371" s="1">
        <v>1572.42</v>
      </c>
      <c r="I1371" s="1">
        <v>3471.45</v>
      </c>
      <c r="J1371" s="1">
        <v>24479.05</v>
      </c>
    </row>
    <row r="1372" spans="1:10">
      <c r="A1372" s="2">
        <v>45497</v>
      </c>
      <c r="B1372" s="1">
        <v>1477.88</v>
      </c>
      <c r="C1372" s="1">
        <v>4000.77</v>
      </c>
      <c r="D1372" s="1">
        <v>778.45</v>
      </c>
      <c r="E1372" s="1">
        <v>1723.88</v>
      </c>
      <c r="F1372" s="1">
        <v>438.48</v>
      </c>
      <c r="G1372" s="1">
        <v>12116.27</v>
      </c>
      <c r="H1372" s="1">
        <v>1589.94</v>
      </c>
      <c r="I1372" s="1">
        <v>3453.2</v>
      </c>
      <c r="J1372" s="1">
        <v>24413.5</v>
      </c>
    </row>
    <row r="1373" spans="1:10">
      <c r="A1373" s="2">
        <v>45498</v>
      </c>
      <c r="B1373" s="1">
        <v>1474.62</v>
      </c>
      <c r="C1373" s="1">
        <v>4015.86</v>
      </c>
      <c r="D1373" s="1">
        <v>784.54</v>
      </c>
      <c r="E1373" s="1">
        <v>1715.32</v>
      </c>
      <c r="F1373" s="1">
        <v>434.84</v>
      </c>
      <c r="G1373" s="1">
        <v>12137.57</v>
      </c>
      <c r="H1373" s="1">
        <v>1635.45</v>
      </c>
      <c r="I1373" s="1">
        <v>3551.02</v>
      </c>
      <c r="J1373" s="1">
        <v>24406.1</v>
      </c>
    </row>
    <row r="1374" spans="1:10">
      <c r="A1374" s="2">
        <v>45499</v>
      </c>
      <c r="B1374" s="1">
        <v>1491.04</v>
      </c>
      <c r="C1374" s="1">
        <v>4076.58</v>
      </c>
      <c r="D1374" s="1">
        <v>785.3</v>
      </c>
      <c r="E1374" s="1">
        <v>1766.13</v>
      </c>
      <c r="F1374" s="1">
        <v>445.71</v>
      </c>
      <c r="G1374" s="1">
        <v>12287.47</v>
      </c>
      <c r="H1374" s="1">
        <v>1683.02</v>
      </c>
      <c r="I1374" s="1">
        <v>3610.63</v>
      </c>
      <c r="J1374" s="1">
        <v>24834.85</v>
      </c>
    </row>
    <row r="1375" spans="1:10">
      <c r="A1375" s="2">
        <v>45502</v>
      </c>
      <c r="B1375" s="1">
        <v>1501.99</v>
      </c>
      <c r="C1375" s="1">
        <v>4070.31</v>
      </c>
      <c r="D1375" s="1">
        <v>778.94</v>
      </c>
      <c r="E1375" s="1">
        <v>1758.8</v>
      </c>
      <c r="F1375" s="1">
        <v>440.25</v>
      </c>
      <c r="G1375" s="1">
        <v>12372.71</v>
      </c>
      <c r="H1375" s="1">
        <v>1691.85</v>
      </c>
      <c r="I1375" s="1">
        <v>3703.89</v>
      </c>
      <c r="J1375" s="1">
        <v>24836.1</v>
      </c>
    </row>
    <row r="1376" spans="1:10">
      <c r="A1376" s="2">
        <v>45503</v>
      </c>
      <c r="B1376" s="1">
        <v>1495.12</v>
      </c>
      <c r="C1376" s="1">
        <v>4055.67</v>
      </c>
      <c r="D1376" s="1">
        <v>784.03</v>
      </c>
      <c r="E1376" s="1">
        <v>1764.49</v>
      </c>
      <c r="F1376" s="1">
        <v>434.79</v>
      </c>
      <c r="G1376" s="1">
        <v>12491.19</v>
      </c>
      <c r="H1376" s="1">
        <v>1670.6</v>
      </c>
      <c r="I1376" s="1">
        <v>3713.41</v>
      </c>
      <c r="J1376" s="1">
        <v>24857.3</v>
      </c>
    </row>
    <row r="1377" spans="1:10">
      <c r="A1377" s="2">
        <v>45504</v>
      </c>
      <c r="B1377" s="1">
        <v>1487.49</v>
      </c>
      <c r="C1377" s="1">
        <v>4074.26</v>
      </c>
      <c r="D1377" s="1">
        <v>784.13</v>
      </c>
      <c r="E1377" s="1">
        <v>1756.12</v>
      </c>
      <c r="F1377" s="1">
        <v>439.63</v>
      </c>
      <c r="G1377" s="1">
        <v>12726.14</v>
      </c>
      <c r="H1377" s="1">
        <v>1688.02</v>
      </c>
      <c r="I1377" s="1">
        <v>3743.19</v>
      </c>
      <c r="J1377" s="1">
        <v>24951.15</v>
      </c>
    </row>
    <row r="1378" spans="1:10">
      <c r="A1378" s="2">
        <v>45505</v>
      </c>
      <c r="B1378" s="1">
        <v>1497.24</v>
      </c>
      <c r="C1378" s="1">
        <v>4085.17</v>
      </c>
      <c r="D1378" s="1">
        <v>795.32</v>
      </c>
      <c r="E1378" s="1">
        <v>1741.41</v>
      </c>
      <c r="F1378" s="1">
        <v>438.17</v>
      </c>
      <c r="G1378" s="1">
        <v>12962.17</v>
      </c>
      <c r="H1378" s="1">
        <v>1683.95</v>
      </c>
      <c r="I1378" s="1">
        <v>3708.16</v>
      </c>
      <c r="J1378" s="1">
        <v>25010.9</v>
      </c>
    </row>
    <row r="1379" spans="1:10">
      <c r="A1379" s="2">
        <v>45506</v>
      </c>
      <c r="B1379" s="1">
        <v>1481.46</v>
      </c>
      <c r="C1379" s="1">
        <v>3979.21</v>
      </c>
      <c r="D1379" s="1">
        <v>805.19</v>
      </c>
      <c r="E1379" s="1">
        <v>1711.89</v>
      </c>
      <c r="F1379" s="1">
        <v>434.08</v>
      </c>
      <c r="G1379" s="1">
        <v>12464.95</v>
      </c>
      <c r="H1379" s="1">
        <v>1700.1</v>
      </c>
      <c r="I1379" s="1">
        <v>3596.7</v>
      </c>
      <c r="J1379" s="1">
        <v>24717.7</v>
      </c>
    </row>
    <row r="1380" spans="1:10">
      <c r="A1380" s="2">
        <v>45509</v>
      </c>
      <c r="B1380" s="1">
        <v>1430.08</v>
      </c>
      <c r="C1380" s="1">
        <v>3860.29</v>
      </c>
      <c r="D1380" s="1">
        <v>784.13</v>
      </c>
      <c r="E1380" s="1">
        <v>1646.75</v>
      </c>
      <c r="F1380" s="1">
        <v>431.33</v>
      </c>
      <c r="G1380" s="1">
        <v>11950.19</v>
      </c>
      <c r="H1380" s="1">
        <v>1689.01</v>
      </c>
      <c r="I1380" s="1">
        <v>3461.59</v>
      </c>
      <c r="J1380" s="1">
        <v>24055.599999999999</v>
      </c>
    </row>
    <row r="1381" spans="1:10">
      <c r="A1381" s="2">
        <v>45510</v>
      </c>
      <c r="B1381" s="1">
        <v>1438.7</v>
      </c>
      <c r="C1381" s="1">
        <v>3875.3</v>
      </c>
      <c r="D1381" s="1">
        <v>777.07</v>
      </c>
      <c r="E1381" s="1">
        <v>1646</v>
      </c>
      <c r="F1381" s="1">
        <v>431.6</v>
      </c>
      <c r="G1381" s="1">
        <v>11881.88</v>
      </c>
      <c r="H1381" s="1">
        <v>1676.44</v>
      </c>
      <c r="I1381" s="1">
        <v>3508.88</v>
      </c>
      <c r="J1381" s="1">
        <v>23992.55</v>
      </c>
    </row>
    <row r="1382" spans="1:10">
      <c r="A1382" s="2">
        <v>45511</v>
      </c>
      <c r="B1382" s="1">
        <v>1447.37</v>
      </c>
      <c r="C1382" s="1">
        <v>3902.47</v>
      </c>
      <c r="D1382" s="1">
        <v>787.89</v>
      </c>
      <c r="E1382" s="1">
        <v>1684.12</v>
      </c>
      <c r="F1382" s="1">
        <v>437.23</v>
      </c>
      <c r="G1382" s="1">
        <v>12117.34</v>
      </c>
      <c r="H1382" s="1">
        <v>1702.85</v>
      </c>
      <c r="I1382" s="1">
        <v>3569.76</v>
      </c>
      <c r="J1382" s="1">
        <v>24297.5</v>
      </c>
    </row>
    <row r="1383" spans="1:10">
      <c r="A1383" s="2">
        <v>45512</v>
      </c>
      <c r="B1383" s="1">
        <v>1431.86</v>
      </c>
      <c r="C1383" s="1">
        <v>3876.55</v>
      </c>
      <c r="D1383" s="1">
        <v>797.21</v>
      </c>
      <c r="E1383" s="1">
        <v>1638.53</v>
      </c>
      <c r="F1383" s="1">
        <v>439.1</v>
      </c>
      <c r="G1383" s="1">
        <v>11967.82</v>
      </c>
      <c r="H1383" s="1">
        <v>1705.4</v>
      </c>
      <c r="I1383" s="1">
        <v>3486.66</v>
      </c>
      <c r="J1383" s="1">
        <v>24117</v>
      </c>
    </row>
    <row r="1384" spans="1:10">
      <c r="A1384" s="2">
        <v>45513</v>
      </c>
      <c r="B1384" s="1">
        <v>1456.73</v>
      </c>
      <c r="C1384" s="1">
        <v>3928.76</v>
      </c>
      <c r="D1384" s="1">
        <v>800.85</v>
      </c>
      <c r="E1384" s="1">
        <v>1664.47</v>
      </c>
      <c r="F1384" s="1">
        <v>440.12</v>
      </c>
      <c r="G1384" s="1">
        <v>11973.06</v>
      </c>
      <c r="H1384" s="1">
        <v>1703.68</v>
      </c>
      <c r="I1384" s="1">
        <v>3524.43</v>
      </c>
      <c r="J1384" s="1">
        <v>24367.5</v>
      </c>
    </row>
    <row r="1385" spans="1:10">
      <c r="A1385" s="2">
        <v>45516</v>
      </c>
      <c r="B1385" s="1">
        <v>1443.22</v>
      </c>
      <c r="C1385" s="1">
        <v>3898.01</v>
      </c>
      <c r="D1385" s="1">
        <v>805.65</v>
      </c>
      <c r="E1385" s="1">
        <v>1689.52</v>
      </c>
      <c r="F1385" s="1">
        <v>438.97</v>
      </c>
      <c r="G1385" s="1">
        <v>12021.11</v>
      </c>
      <c r="H1385" s="1">
        <v>1702.26</v>
      </c>
      <c r="I1385" s="1">
        <v>3504.71</v>
      </c>
      <c r="J1385" s="1">
        <v>24347</v>
      </c>
    </row>
    <row r="1386" spans="1:10">
      <c r="A1386" s="2">
        <v>45517</v>
      </c>
      <c r="B1386" s="1">
        <v>1446.19</v>
      </c>
      <c r="C1386" s="1">
        <v>3899.22</v>
      </c>
      <c r="D1386" s="1">
        <v>778.04</v>
      </c>
      <c r="E1386" s="1">
        <v>1689.57</v>
      </c>
      <c r="F1386" s="1">
        <v>434.88</v>
      </c>
      <c r="G1386" s="1">
        <v>11926.1</v>
      </c>
      <c r="H1386" s="1">
        <v>1708.4</v>
      </c>
      <c r="I1386" s="1">
        <v>3484.94</v>
      </c>
      <c r="J1386" s="1">
        <v>24139</v>
      </c>
    </row>
    <row r="1387" spans="1:10">
      <c r="A1387" s="2">
        <v>45518</v>
      </c>
      <c r="B1387" s="1">
        <v>1444.43</v>
      </c>
      <c r="C1387" s="1">
        <v>3990.55</v>
      </c>
      <c r="D1387" s="1">
        <v>780.27</v>
      </c>
      <c r="E1387" s="1">
        <v>1713.82</v>
      </c>
      <c r="F1387" s="1">
        <v>436.84</v>
      </c>
      <c r="G1387" s="1">
        <v>11954.89</v>
      </c>
      <c r="H1387" s="1">
        <v>1709.92</v>
      </c>
      <c r="I1387" s="1">
        <v>3478.47</v>
      </c>
      <c r="J1387" s="1">
        <v>24143.75</v>
      </c>
    </row>
    <row r="1388" spans="1:10">
      <c r="A1388" s="2">
        <v>45520</v>
      </c>
      <c r="B1388" s="1">
        <v>1460.59</v>
      </c>
      <c r="C1388" s="1">
        <v>4102.78</v>
      </c>
      <c r="D1388" s="1">
        <v>792.07</v>
      </c>
      <c r="E1388" s="1">
        <v>1747.38</v>
      </c>
      <c r="F1388" s="1">
        <v>446.11</v>
      </c>
      <c r="G1388" s="1">
        <v>11962.39</v>
      </c>
      <c r="H1388" s="1">
        <v>1711</v>
      </c>
      <c r="I1388" s="1">
        <v>3501.18</v>
      </c>
      <c r="J1388" s="1">
        <v>24541.15</v>
      </c>
    </row>
    <row r="1389" spans="1:10">
      <c r="A1389" s="2">
        <v>45523</v>
      </c>
      <c r="B1389" s="1">
        <v>1475.66</v>
      </c>
      <c r="C1389" s="1">
        <v>4171.4799999999996</v>
      </c>
      <c r="D1389" s="1">
        <v>791.8</v>
      </c>
      <c r="E1389" s="1">
        <v>1752.88</v>
      </c>
      <c r="F1389" s="1">
        <v>445.05</v>
      </c>
      <c r="G1389" s="1">
        <v>11900.19</v>
      </c>
      <c r="H1389" s="1">
        <v>1715.96</v>
      </c>
      <c r="I1389" s="1">
        <v>3488.13</v>
      </c>
      <c r="J1389" s="1">
        <v>24572.65</v>
      </c>
    </row>
    <row r="1390" spans="1:10">
      <c r="A1390" s="2">
        <v>45524</v>
      </c>
      <c r="B1390" s="1">
        <v>1483.14</v>
      </c>
      <c r="C1390" s="1">
        <v>4202.42</v>
      </c>
      <c r="D1390" s="1">
        <v>794.78</v>
      </c>
      <c r="E1390" s="1">
        <v>1759.83</v>
      </c>
      <c r="F1390" s="1">
        <v>442.69</v>
      </c>
      <c r="G1390" s="1">
        <v>11964</v>
      </c>
      <c r="H1390" s="1">
        <v>1734.17</v>
      </c>
      <c r="I1390" s="1">
        <v>3505.45</v>
      </c>
      <c r="J1390" s="1">
        <v>24698.85</v>
      </c>
    </row>
    <row r="1391" spans="1:10">
      <c r="A1391" s="2">
        <v>45525</v>
      </c>
      <c r="B1391" s="1">
        <v>1485.84</v>
      </c>
      <c r="C1391" s="1">
        <v>4228.62</v>
      </c>
      <c r="D1391" s="1">
        <v>789.01</v>
      </c>
      <c r="E1391" s="1">
        <v>1760.3</v>
      </c>
      <c r="F1391" s="1">
        <v>448.55</v>
      </c>
      <c r="G1391" s="1">
        <v>11969.88</v>
      </c>
      <c r="H1391" s="1">
        <v>1732.5</v>
      </c>
      <c r="I1391" s="1">
        <v>3528.36</v>
      </c>
      <c r="J1391" s="1">
        <v>24770.2</v>
      </c>
    </row>
    <row r="1392" spans="1:10">
      <c r="A1392" s="2">
        <v>45526</v>
      </c>
      <c r="B1392" s="1">
        <v>1485.3</v>
      </c>
      <c r="C1392" s="1">
        <v>4182.63</v>
      </c>
      <c r="D1392" s="1">
        <v>791.68</v>
      </c>
      <c r="E1392" s="1">
        <v>1767.4</v>
      </c>
      <c r="F1392" s="1">
        <v>447.8</v>
      </c>
      <c r="G1392" s="1">
        <v>12024.14</v>
      </c>
      <c r="H1392" s="1">
        <v>1718.75</v>
      </c>
      <c r="I1392" s="1">
        <v>3538.61</v>
      </c>
      <c r="J1392" s="1">
        <v>24811.5</v>
      </c>
    </row>
    <row r="1393" spans="1:10">
      <c r="A1393" s="2">
        <v>45527</v>
      </c>
      <c r="B1393" s="1">
        <v>1487.13</v>
      </c>
      <c r="C1393" s="1">
        <v>4147.2299999999996</v>
      </c>
      <c r="D1393" s="1">
        <v>788.64</v>
      </c>
      <c r="E1393" s="1">
        <v>1750.34</v>
      </c>
      <c r="F1393" s="1">
        <v>448.91</v>
      </c>
      <c r="G1393" s="1">
        <v>12049.56</v>
      </c>
      <c r="H1393" s="1">
        <v>1743.4</v>
      </c>
      <c r="I1393" s="1">
        <v>3530.81</v>
      </c>
      <c r="J1393" s="1">
        <v>24823.15</v>
      </c>
    </row>
    <row r="1394" spans="1:10">
      <c r="A1394" s="2">
        <v>45530</v>
      </c>
      <c r="B1394" s="1">
        <v>1499.65</v>
      </c>
      <c r="C1394" s="1">
        <v>4183.05</v>
      </c>
      <c r="D1394" s="1">
        <v>795.88</v>
      </c>
      <c r="E1394" s="1">
        <v>1763.55</v>
      </c>
      <c r="F1394" s="1">
        <v>448.82</v>
      </c>
      <c r="G1394" s="1">
        <v>11992.26</v>
      </c>
      <c r="H1394" s="1">
        <v>1740.16</v>
      </c>
      <c r="I1394" s="1">
        <v>3573.35</v>
      </c>
      <c r="J1394" s="1">
        <v>25010.6</v>
      </c>
    </row>
    <row r="1395" spans="1:10">
      <c r="A1395" s="2">
        <v>45531</v>
      </c>
      <c r="B1395" s="1">
        <v>1487.6</v>
      </c>
      <c r="C1395" s="1">
        <v>4178.12</v>
      </c>
      <c r="D1395" s="1">
        <v>794.81</v>
      </c>
      <c r="E1395" s="1">
        <v>1786.06</v>
      </c>
      <c r="F1395" s="1">
        <v>444.29</v>
      </c>
      <c r="G1395" s="1">
        <v>12240.16</v>
      </c>
      <c r="H1395" s="1">
        <v>1756.8</v>
      </c>
      <c r="I1395" s="1">
        <v>3633</v>
      </c>
      <c r="J1395" s="1">
        <v>25017.75</v>
      </c>
    </row>
    <row r="1396" spans="1:10">
      <c r="A1396" s="2">
        <v>45532</v>
      </c>
      <c r="B1396" s="1">
        <v>1485.47</v>
      </c>
      <c r="C1396" s="1">
        <v>4186.3900000000003</v>
      </c>
      <c r="D1396" s="1">
        <v>794.49</v>
      </c>
      <c r="E1396" s="1">
        <v>1822.72</v>
      </c>
      <c r="F1396" s="1">
        <v>441.36</v>
      </c>
      <c r="G1396" s="1">
        <v>12103.62</v>
      </c>
      <c r="H1396" s="1">
        <v>1778.84</v>
      </c>
      <c r="I1396" s="1">
        <v>3619.61</v>
      </c>
      <c r="J1396" s="1">
        <v>25052.35</v>
      </c>
    </row>
    <row r="1397" spans="1:10">
      <c r="A1397" s="2">
        <v>45533</v>
      </c>
      <c r="B1397" s="1">
        <v>1507.9</v>
      </c>
      <c r="C1397" s="1">
        <v>4191.74</v>
      </c>
      <c r="D1397" s="1">
        <v>795.2</v>
      </c>
      <c r="E1397" s="1">
        <v>1817.31</v>
      </c>
      <c r="F1397" s="1">
        <v>448.28</v>
      </c>
      <c r="G1397" s="1">
        <v>12197.95</v>
      </c>
      <c r="H1397" s="1">
        <v>1766.42</v>
      </c>
      <c r="I1397" s="1">
        <v>3614.11</v>
      </c>
      <c r="J1397" s="1">
        <v>25151.95</v>
      </c>
    </row>
    <row r="1398" spans="1:10">
      <c r="A1398" s="2">
        <v>45534</v>
      </c>
      <c r="B1398" s="1">
        <v>1496.7</v>
      </c>
      <c r="C1398" s="1">
        <v>4230.71</v>
      </c>
      <c r="D1398" s="1">
        <v>794.4</v>
      </c>
      <c r="E1398" s="1">
        <v>1827.04</v>
      </c>
      <c r="F1398" s="1">
        <v>445.44</v>
      </c>
      <c r="G1398" s="1">
        <v>12148.19</v>
      </c>
      <c r="H1398" s="1">
        <v>1788.46</v>
      </c>
      <c r="I1398" s="1">
        <v>3634.92</v>
      </c>
      <c r="J1398" s="1">
        <v>25235.9</v>
      </c>
    </row>
    <row r="1399" spans="1:10">
      <c r="A1399" s="2">
        <v>45537</v>
      </c>
      <c r="B1399" s="1">
        <v>1503.27</v>
      </c>
      <c r="C1399" s="1">
        <v>4200.33</v>
      </c>
      <c r="D1399" s="1">
        <v>789.57</v>
      </c>
      <c r="E1399" s="1">
        <v>1846.59</v>
      </c>
      <c r="F1399" s="1">
        <v>452.68</v>
      </c>
      <c r="G1399" s="1">
        <v>12172.09</v>
      </c>
      <c r="H1399" s="1">
        <v>1782.86</v>
      </c>
      <c r="I1399" s="1">
        <v>3613.77</v>
      </c>
      <c r="J1399" s="1">
        <v>25278.7</v>
      </c>
    </row>
    <row r="1400" spans="1:10">
      <c r="A1400" s="2">
        <v>45538</v>
      </c>
      <c r="B1400" s="1">
        <v>1496.2</v>
      </c>
      <c r="C1400" s="1">
        <v>4192.25</v>
      </c>
      <c r="D1400" s="1">
        <v>794.61</v>
      </c>
      <c r="E1400" s="1">
        <v>1824.74</v>
      </c>
      <c r="F1400" s="1">
        <v>452.1</v>
      </c>
      <c r="G1400" s="1">
        <v>12142.41</v>
      </c>
      <c r="H1400" s="1">
        <v>1778.5</v>
      </c>
      <c r="I1400" s="1">
        <v>3620.69</v>
      </c>
      <c r="J1400" s="1">
        <v>25279.85</v>
      </c>
    </row>
    <row r="1401" spans="1:10">
      <c r="A1401" s="2">
        <v>45539</v>
      </c>
      <c r="B1401" s="1">
        <v>1501.58</v>
      </c>
      <c r="C1401" s="1">
        <v>4161.5</v>
      </c>
      <c r="D1401" s="1">
        <v>796.77</v>
      </c>
      <c r="E1401" s="1">
        <v>1807.07</v>
      </c>
      <c r="F1401" s="1">
        <v>449.39</v>
      </c>
      <c r="G1401" s="1">
        <v>12082.81</v>
      </c>
      <c r="H1401" s="1">
        <v>1799.46</v>
      </c>
      <c r="I1401" s="1">
        <v>3582.08</v>
      </c>
      <c r="J1401" s="1">
        <v>25198.7</v>
      </c>
    </row>
    <row r="1402" spans="1:10">
      <c r="A1402" s="2">
        <v>45540</v>
      </c>
      <c r="B1402" s="1">
        <v>1480.19</v>
      </c>
      <c r="C1402" s="1">
        <v>4158.43</v>
      </c>
      <c r="D1402" s="1">
        <v>798.55</v>
      </c>
      <c r="E1402" s="1">
        <v>1817.12</v>
      </c>
      <c r="F1402" s="1">
        <v>453.7</v>
      </c>
      <c r="G1402" s="1">
        <v>12045.93</v>
      </c>
      <c r="H1402" s="1">
        <v>1793.22</v>
      </c>
      <c r="I1402" s="1">
        <v>3555.93</v>
      </c>
      <c r="J1402" s="1">
        <v>25145.1</v>
      </c>
    </row>
    <row r="1403" spans="1:10">
      <c r="A1403" s="2">
        <v>45541</v>
      </c>
      <c r="B1403" s="1">
        <v>1452.28</v>
      </c>
      <c r="C1403" s="1">
        <v>4140.59</v>
      </c>
      <c r="D1403" s="1">
        <v>794.42</v>
      </c>
      <c r="E1403" s="1">
        <v>1787.7</v>
      </c>
      <c r="F1403" s="1">
        <v>445.27</v>
      </c>
      <c r="G1403" s="1">
        <v>11935.79</v>
      </c>
      <c r="H1403" s="1">
        <v>1791.31</v>
      </c>
      <c r="I1403" s="1">
        <v>3507.46</v>
      </c>
      <c r="J1403" s="1">
        <v>24852.15</v>
      </c>
    </row>
    <row r="1404" spans="1:10">
      <c r="A1404" s="2">
        <v>45544</v>
      </c>
      <c r="B1404" s="1">
        <v>1449.93</v>
      </c>
      <c r="C1404" s="1">
        <v>4133.8999999999996</v>
      </c>
      <c r="D1404" s="1">
        <v>799.05</v>
      </c>
      <c r="E1404" s="1">
        <v>1780.94</v>
      </c>
      <c r="F1404" s="1">
        <v>454.19</v>
      </c>
      <c r="G1404" s="1">
        <v>11896.22</v>
      </c>
      <c r="H1404" s="1">
        <v>1788.66</v>
      </c>
      <c r="I1404" s="1">
        <v>3510.94</v>
      </c>
      <c r="J1404" s="1">
        <v>24936.400000000001</v>
      </c>
    </row>
    <row r="1405" spans="1:10">
      <c r="A1405" s="2">
        <v>45545</v>
      </c>
      <c r="B1405" s="1">
        <v>1449.01</v>
      </c>
      <c r="C1405" s="1">
        <v>4188.07</v>
      </c>
      <c r="D1405" s="1">
        <v>800.92</v>
      </c>
      <c r="E1405" s="1">
        <v>1797.53</v>
      </c>
      <c r="F1405" s="1">
        <v>455.83</v>
      </c>
      <c r="G1405" s="1">
        <v>12011.46</v>
      </c>
      <c r="H1405" s="1">
        <v>1802.89</v>
      </c>
      <c r="I1405" s="1">
        <v>3528.46</v>
      </c>
      <c r="J1405" s="1">
        <v>25041.1</v>
      </c>
    </row>
    <row r="1406" spans="1:10">
      <c r="A1406" s="2">
        <v>45546</v>
      </c>
      <c r="B1406" s="1">
        <v>1439.07</v>
      </c>
      <c r="C1406" s="1">
        <v>4161.59</v>
      </c>
      <c r="D1406" s="1">
        <v>797.79</v>
      </c>
      <c r="E1406" s="1">
        <v>1795.51</v>
      </c>
      <c r="F1406" s="1">
        <v>456.49</v>
      </c>
      <c r="G1406" s="1">
        <v>11991.08</v>
      </c>
      <c r="H1406" s="1">
        <v>1812.07</v>
      </c>
      <c r="I1406" s="1">
        <v>3470.37</v>
      </c>
      <c r="J1406" s="1">
        <v>24918.45</v>
      </c>
    </row>
    <row r="1407" spans="1:10">
      <c r="A1407" s="2">
        <v>45547</v>
      </c>
      <c r="B1407" s="1">
        <v>1467.13</v>
      </c>
      <c r="C1407" s="1">
        <v>4197.22</v>
      </c>
      <c r="D1407" s="1">
        <v>808.81</v>
      </c>
      <c r="E1407" s="1">
        <v>1833.39</v>
      </c>
      <c r="F1407" s="1">
        <v>461.06</v>
      </c>
      <c r="G1407" s="1">
        <v>12146.08</v>
      </c>
      <c r="H1407" s="1">
        <v>1831.41</v>
      </c>
      <c r="I1407" s="1">
        <v>3553.82</v>
      </c>
      <c r="J1407" s="1">
        <v>25388.9</v>
      </c>
    </row>
    <row r="1408" spans="1:10">
      <c r="A1408" s="2">
        <v>45548</v>
      </c>
      <c r="B1408" s="1">
        <v>1460.02</v>
      </c>
      <c r="C1408" s="1">
        <v>4201.7700000000004</v>
      </c>
      <c r="D1408" s="1">
        <v>808.49</v>
      </c>
      <c r="E1408" s="1">
        <v>1827.42</v>
      </c>
      <c r="F1408" s="1">
        <v>456.05</v>
      </c>
      <c r="G1408" s="1">
        <v>12063.03</v>
      </c>
      <c r="H1408" s="1">
        <v>1819.98</v>
      </c>
      <c r="I1408" s="1">
        <v>3544.99</v>
      </c>
      <c r="J1408" s="1">
        <v>25356.5</v>
      </c>
    </row>
    <row r="1409" spans="1:10">
      <c r="A1409" s="2">
        <v>45551</v>
      </c>
      <c r="B1409" s="1">
        <v>1458.75</v>
      </c>
      <c r="C1409" s="1">
        <v>4193.08</v>
      </c>
      <c r="D1409" s="1">
        <v>810.92</v>
      </c>
      <c r="E1409" s="1">
        <v>1833.2</v>
      </c>
      <c r="F1409" s="1">
        <v>453.61</v>
      </c>
      <c r="G1409" s="1">
        <v>12036.53</v>
      </c>
      <c r="H1409" s="1">
        <v>1829.01</v>
      </c>
      <c r="I1409" s="1">
        <v>3593.31</v>
      </c>
      <c r="J1409" s="1">
        <v>25383.75</v>
      </c>
    </row>
    <row r="1410" spans="1:10">
      <c r="A1410" s="2">
        <v>45552</v>
      </c>
      <c r="B1410" s="1">
        <v>1459.69</v>
      </c>
      <c r="C1410" s="1">
        <v>4186.0200000000004</v>
      </c>
      <c r="D1410" s="1">
        <v>809.88</v>
      </c>
      <c r="E1410" s="1">
        <v>1835.36</v>
      </c>
      <c r="F1410" s="1">
        <v>450.64</v>
      </c>
      <c r="G1410" s="1">
        <v>11994.17</v>
      </c>
      <c r="H1410" s="1">
        <v>1832.1</v>
      </c>
      <c r="I1410" s="1">
        <v>3625.64</v>
      </c>
      <c r="J1410" s="1">
        <v>25418.55</v>
      </c>
    </row>
    <row r="1411" spans="1:10">
      <c r="A1411" s="2">
        <v>45553</v>
      </c>
      <c r="B1411" s="1">
        <v>1450.92</v>
      </c>
      <c r="C1411" s="1">
        <v>4037.84</v>
      </c>
      <c r="D1411" s="1">
        <v>822.49</v>
      </c>
      <c r="E1411" s="1">
        <v>1778.59</v>
      </c>
      <c r="F1411" s="1">
        <v>450.28</v>
      </c>
      <c r="G1411" s="1">
        <v>11953.38</v>
      </c>
      <c r="H1411" s="1">
        <v>1802.55</v>
      </c>
      <c r="I1411" s="1">
        <v>3660.23</v>
      </c>
      <c r="J1411" s="1">
        <v>25377.55</v>
      </c>
    </row>
    <row r="1412" spans="1:10">
      <c r="A1412" s="2">
        <v>45554</v>
      </c>
      <c r="B1412" s="1">
        <v>1457.09</v>
      </c>
      <c r="C1412" s="1">
        <v>3991.38</v>
      </c>
      <c r="D1412" s="1">
        <v>829.14</v>
      </c>
      <c r="E1412" s="1">
        <v>1780.51</v>
      </c>
      <c r="F1412" s="1">
        <v>451.08</v>
      </c>
      <c r="G1412" s="1">
        <v>12097.75</v>
      </c>
      <c r="H1412" s="1">
        <v>1812.42</v>
      </c>
      <c r="I1412" s="1">
        <v>3614.36</v>
      </c>
      <c r="J1412" s="1">
        <v>25415.8</v>
      </c>
    </row>
    <row r="1413" spans="1:10">
      <c r="A1413" s="2">
        <v>45555</v>
      </c>
      <c r="B1413" s="1">
        <v>1473.2</v>
      </c>
      <c r="C1413" s="1">
        <v>3980.93</v>
      </c>
      <c r="D1413" s="1">
        <v>845.01</v>
      </c>
      <c r="E1413" s="1">
        <v>1791.37</v>
      </c>
      <c r="F1413" s="1">
        <v>456.54</v>
      </c>
      <c r="G1413" s="1">
        <v>12355.35</v>
      </c>
      <c r="H1413" s="1">
        <v>1831.76</v>
      </c>
      <c r="I1413" s="1">
        <v>3722.48</v>
      </c>
      <c r="J1413" s="1">
        <v>25790.95</v>
      </c>
    </row>
    <row r="1414" spans="1:10">
      <c r="A1414" s="2">
        <v>45558</v>
      </c>
      <c r="B1414" s="1">
        <v>1480.59</v>
      </c>
      <c r="C1414" s="1">
        <v>3965.7</v>
      </c>
      <c r="D1414" s="1">
        <v>854.04</v>
      </c>
      <c r="E1414" s="1">
        <v>1782.63</v>
      </c>
      <c r="F1414" s="1">
        <v>458.8</v>
      </c>
      <c r="G1414" s="1">
        <v>12422.54</v>
      </c>
      <c r="H1414" s="1">
        <v>1828.76</v>
      </c>
      <c r="I1414" s="1">
        <v>3716.4</v>
      </c>
      <c r="J1414" s="1">
        <v>25939.05</v>
      </c>
    </row>
    <row r="1415" spans="1:10">
      <c r="A1415" s="2">
        <v>45559</v>
      </c>
      <c r="B1415" s="1">
        <v>1476.62</v>
      </c>
      <c r="C1415" s="1">
        <v>3968.3</v>
      </c>
      <c r="D1415" s="1">
        <v>858.04</v>
      </c>
      <c r="E1415" s="1">
        <v>1784.65</v>
      </c>
      <c r="F1415" s="1">
        <v>457.29</v>
      </c>
      <c r="G1415" s="1">
        <v>12476.9</v>
      </c>
      <c r="H1415" s="1">
        <v>1834.06</v>
      </c>
      <c r="I1415" s="1">
        <v>3720.23</v>
      </c>
      <c r="J1415" s="1">
        <v>25940.400000000001</v>
      </c>
    </row>
    <row r="1416" spans="1:10">
      <c r="A1416" s="2">
        <v>45560</v>
      </c>
      <c r="B1416" s="1">
        <v>1481.16</v>
      </c>
      <c r="C1416" s="1">
        <v>3971.5</v>
      </c>
      <c r="D1416" s="1">
        <v>863.41</v>
      </c>
      <c r="E1416" s="1">
        <v>1781.55</v>
      </c>
      <c r="F1416" s="1">
        <v>459.33</v>
      </c>
      <c r="G1416" s="1">
        <v>12522.64</v>
      </c>
      <c r="H1416" s="1">
        <v>1836.47</v>
      </c>
      <c r="I1416" s="1">
        <v>3722.44</v>
      </c>
      <c r="J1416" s="1">
        <v>26004.15</v>
      </c>
    </row>
    <row r="1417" spans="1:10">
      <c r="A1417" s="2">
        <v>45561</v>
      </c>
      <c r="B1417" s="1">
        <v>1485.12</v>
      </c>
      <c r="C1417" s="1">
        <v>3987.99</v>
      </c>
      <c r="D1417" s="1">
        <v>865.52</v>
      </c>
      <c r="E1417" s="1">
        <v>1786.2</v>
      </c>
      <c r="F1417" s="1">
        <v>463.95</v>
      </c>
      <c r="G1417" s="1">
        <v>13108.84</v>
      </c>
      <c r="H1417" s="1">
        <v>1863.81</v>
      </c>
      <c r="I1417" s="1">
        <v>3691.33</v>
      </c>
      <c r="J1417" s="1">
        <v>26216.05</v>
      </c>
    </row>
    <row r="1418" spans="1:10">
      <c r="A1418" s="2">
        <v>45562</v>
      </c>
      <c r="B1418" s="1">
        <v>1513.11</v>
      </c>
      <c r="C1418" s="1">
        <v>4003.04</v>
      </c>
      <c r="D1418" s="1">
        <v>850.57</v>
      </c>
      <c r="E1418" s="1">
        <v>1792.31</v>
      </c>
      <c r="F1418" s="1">
        <v>463.9</v>
      </c>
      <c r="G1418" s="1">
        <v>13218.34</v>
      </c>
      <c r="H1418" s="1">
        <v>1913.2</v>
      </c>
      <c r="I1418" s="1">
        <v>3635.9</v>
      </c>
      <c r="J1418" s="1">
        <v>26178.95</v>
      </c>
    </row>
    <row r="1419" spans="1:10">
      <c r="A1419" s="2">
        <v>45565</v>
      </c>
      <c r="B1419" s="1">
        <v>1463.93</v>
      </c>
      <c r="C1419" s="1">
        <v>3965.7</v>
      </c>
      <c r="D1419" s="1">
        <v>840.57</v>
      </c>
      <c r="E1419" s="1">
        <v>1763.03</v>
      </c>
      <c r="F1419" s="1">
        <v>459.87</v>
      </c>
      <c r="G1419" s="1">
        <v>12966.04</v>
      </c>
      <c r="H1419" s="1">
        <v>1891.6</v>
      </c>
      <c r="I1419" s="1">
        <v>3606.36</v>
      </c>
      <c r="J1419" s="1">
        <v>25810.85</v>
      </c>
    </row>
    <row r="1420" spans="1:10">
      <c r="A1420" s="2">
        <v>45566</v>
      </c>
      <c r="B1420" s="1">
        <v>1452.28</v>
      </c>
      <c r="C1420" s="1">
        <v>3983.72</v>
      </c>
      <c r="D1420" s="1">
        <v>837.73</v>
      </c>
      <c r="E1420" s="1">
        <v>1790.05</v>
      </c>
      <c r="F1420" s="1">
        <v>458.14</v>
      </c>
      <c r="G1420" s="1">
        <v>12895.51</v>
      </c>
      <c r="H1420" s="1">
        <v>1884.97</v>
      </c>
      <c r="I1420" s="1">
        <v>3584.73</v>
      </c>
      <c r="J1420" s="1">
        <v>25796.9</v>
      </c>
    </row>
    <row r="1421" spans="1:10">
      <c r="A1421" s="2">
        <v>45568</v>
      </c>
      <c r="B1421" s="1">
        <v>1394.93</v>
      </c>
      <c r="C1421" s="1">
        <v>3932.48</v>
      </c>
      <c r="D1421" s="1">
        <v>816.28</v>
      </c>
      <c r="E1421" s="1">
        <v>1779.76</v>
      </c>
      <c r="F1421" s="1">
        <v>455.07</v>
      </c>
      <c r="G1421" s="1">
        <v>12387.52</v>
      </c>
      <c r="H1421" s="1">
        <v>1876.04</v>
      </c>
      <c r="I1421" s="1">
        <v>3431.81</v>
      </c>
      <c r="J1421" s="1">
        <v>25250.1</v>
      </c>
    </row>
    <row r="1422" spans="1:10">
      <c r="A1422" s="2">
        <v>45569</v>
      </c>
      <c r="B1422" s="1">
        <v>1374.65</v>
      </c>
      <c r="C1422" s="1">
        <v>3950.6</v>
      </c>
      <c r="D1422" s="1">
        <v>804.47</v>
      </c>
      <c r="E1422" s="1">
        <v>1803.03</v>
      </c>
      <c r="F1422" s="1">
        <v>446.91</v>
      </c>
      <c r="G1422" s="1">
        <v>12346.78</v>
      </c>
      <c r="H1422" s="1">
        <v>1875.25</v>
      </c>
      <c r="I1422" s="1">
        <v>3428.18</v>
      </c>
      <c r="J1422" s="1">
        <v>25014.6</v>
      </c>
    </row>
    <row r="1423" spans="1:10">
      <c r="A1423" s="2">
        <v>45572</v>
      </c>
      <c r="B1423" s="1">
        <v>1358.99</v>
      </c>
      <c r="C1423" s="1">
        <v>3969.74</v>
      </c>
      <c r="D1423" s="1">
        <v>785.13</v>
      </c>
      <c r="E1423" s="1">
        <v>1818.21</v>
      </c>
      <c r="F1423" s="1">
        <v>452.81</v>
      </c>
      <c r="G1423" s="1">
        <v>12270.13</v>
      </c>
      <c r="H1423" s="1">
        <v>1870.54</v>
      </c>
      <c r="I1423" s="1">
        <v>3403.06</v>
      </c>
      <c r="J1423" s="1">
        <v>24795.75</v>
      </c>
    </row>
    <row r="1424" spans="1:10">
      <c r="A1424" s="2">
        <v>45573</v>
      </c>
      <c r="B1424" s="1">
        <v>1385.39</v>
      </c>
      <c r="C1424" s="1">
        <v>3951.53</v>
      </c>
      <c r="D1424" s="1">
        <v>801.26</v>
      </c>
      <c r="E1424" s="1">
        <v>1831.6</v>
      </c>
      <c r="F1424" s="1">
        <v>450.81</v>
      </c>
      <c r="G1424" s="1">
        <v>12274.49</v>
      </c>
      <c r="H1424" s="1">
        <v>1882.22</v>
      </c>
      <c r="I1424" s="1">
        <v>3465.91</v>
      </c>
      <c r="J1424" s="1">
        <v>25013.15</v>
      </c>
    </row>
    <row r="1425" spans="1:10">
      <c r="A1425" s="2">
        <v>45574</v>
      </c>
      <c r="B1425" s="1">
        <v>1362.83</v>
      </c>
      <c r="C1425" s="1">
        <v>3951.25</v>
      </c>
      <c r="D1425" s="1">
        <v>792.58</v>
      </c>
      <c r="E1425" s="1">
        <v>1835.55</v>
      </c>
      <c r="F1425" s="1">
        <v>436.39</v>
      </c>
      <c r="G1425" s="1">
        <v>12498.54</v>
      </c>
      <c r="H1425" s="1">
        <v>1895.67</v>
      </c>
      <c r="I1425" s="1">
        <v>3421.46</v>
      </c>
      <c r="J1425" s="1">
        <v>24981.95</v>
      </c>
    </row>
    <row r="1426" spans="1:10">
      <c r="A1426" s="2">
        <v>45575</v>
      </c>
      <c r="B1426" s="1">
        <v>1359.31</v>
      </c>
      <c r="C1426" s="1">
        <v>3927.51</v>
      </c>
      <c r="D1426" s="1">
        <v>806.77</v>
      </c>
      <c r="E1426" s="1">
        <v>1803.82</v>
      </c>
      <c r="F1426" s="1">
        <v>436.7</v>
      </c>
      <c r="G1426" s="1">
        <v>12678.17</v>
      </c>
      <c r="H1426" s="1">
        <v>1853.36</v>
      </c>
      <c r="I1426" s="1">
        <v>3395.21</v>
      </c>
      <c r="J1426" s="1">
        <v>24998.45</v>
      </c>
    </row>
    <row r="1427" spans="1:10">
      <c r="A1427" s="2">
        <v>45576</v>
      </c>
      <c r="B1427" s="1">
        <v>1360.35</v>
      </c>
      <c r="C1427" s="1">
        <v>3854.86</v>
      </c>
      <c r="D1427" s="1">
        <v>801.24</v>
      </c>
      <c r="E1427" s="1">
        <v>1818.96</v>
      </c>
      <c r="F1427" s="1">
        <v>433.29</v>
      </c>
      <c r="G1427" s="1">
        <v>12514.16</v>
      </c>
      <c r="H1427" s="1">
        <v>1867.3</v>
      </c>
      <c r="I1427" s="1">
        <v>3417</v>
      </c>
      <c r="J1427" s="1">
        <v>24964.25</v>
      </c>
    </row>
    <row r="1428" spans="1:10">
      <c r="A1428" s="2">
        <v>45579</v>
      </c>
      <c r="B1428" s="1">
        <v>1360.77</v>
      </c>
      <c r="C1428" s="1">
        <v>3843.2</v>
      </c>
      <c r="D1428" s="1">
        <v>819.24</v>
      </c>
      <c r="E1428" s="1">
        <v>1841.33</v>
      </c>
      <c r="F1428" s="1">
        <v>441.05</v>
      </c>
      <c r="G1428" s="1">
        <v>12280.27</v>
      </c>
      <c r="H1428" s="1">
        <v>1874.96</v>
      </c>
      <c r="I1428" s="1">
        <v>3488.13</v>
      </c>
      <c r="J1428" s="1">
        <v>25127.95</v>
      </c>
    </row>
    <row r="1429" spans="1:10">
      <c r="A1429" s="2">
        <v>45580</v>
      </c>
      <c r="B1429" s="1">
        <v>1332.52</v>
      </c>
      <c r="C1429" s="1">
        <v>3824.76</v>
      </c>
      <c r="D1429" s="1">
        <v>817.3</v>
      </c>
      <c r="E1429" s="1">
        <v>1841.71</v>
      </c>
      <c r="F1429" s="1">
        <v>442.47</v>
      </c>
      <c r="G1429" s="1">
        <v>12191.04</v>
      </c>
      <c r="H1429" s="1">
        <v>1863.86</v>
      </c>
      <c r="I1429" s="1">
        <v>3485.04</v>
      </c>
      <c r="J1429" s="1">
        <v>25057.35</v>
      </c>
    </row>
    <row r="1430" spans="1:10">
      <c r="A1430" s="2">
        <v>45581</v>
      </c>
      <c r="B1430" s="1">
        <v>1342.48</v>
      </c>
      <c r="C1430" s="1">
        <v>3804.46</v>
      </c>
      <c r="D1430" s="1">
        <v>824.92</v>
      </c>
      <c r="E1430" s="1">
        <v>1804.86</v>
      </c>
      <c r="F1430" s="1">
        <v>437.72</v>
      </c>
      <c r="G1430" s="1">
        <v>12129.48</v>
      </c>
      <c r="H1430" s="1">
        <v>1863.91</v>
      </c>
      <c r="I1430" s="1">
        <v>3466.1</v>
      </c>
      <c r="J1430" s="1">
        <v>24971.3</v>
      </c>
    </row>
    <row r="1431" spans="1:10">
      <c r="A1431" s="2">
        <v>45582</v>
      </c>
      <c r="B1431" s="1">
        <v>1344.81</v>
      </c>
      <c r="C1431" s="1">
        <v>3817.51</v>
      </c>
      <c r="D1431" s="1">
        <v>811.99</v>
      </c>
      <c r="E1431" s="1">
        <v>1849.98</v>
      </c>
      <c r="F1431" s="1">
        <v>433.91</v>
      </c>
      <c r="G1431" s="1">
        <v>11894.27</v>
      </c>
      <c r="H1431" s="1">
        <v>1855.12</v>
      </c>
      <c r="I1431" s="1">
        <v>3503.09</v>
      </c>
      <c r="J1431" s="1">
        <v>24749.85</v>
      </c>
    </row>
    <row r="1432" spans="1:10">
      <c r="A1432" s="2">
        <v>45583</v>
      </c>
      <c r="B1432" s="1">
        <v>1347.66</v>
      </c>
      <c r="C1432" s="1">
        <v>3839.91</v>
      </c>
      <c r="D1432" s="1">
        <v>816.21</v>
      </c>
      <c r="E1432" s="1">
        <v>1766.79</v>
      </c>
      <c r="F1432" s="1">
        <v>431.95</v>
      </c>
      <c r="G1432" s="1">
        <v>11856.41</v>
      </c>
      <c r="H1432" s="1">
        <v>1875.55</v>
      </c>
      <c r="I1432" s="1">
        <v>3510.45</v>
      </c>
      <c r="J1432" s="1">
        <v>24854.05</v>
      </c>
    </row>
    <row r="1433" spans="1:10">
      <c r="A1433" s="2">
        <v>45586</v>
      </c>
      <c r="B1433" s="1">
        <v>1357.48</v>
      </c>
      <c r="C1433" s="1">
        <v>3799.68</v>
      </c>
      <c r="D1433" s="1">
        <v>838.95</v>
      </c>
      <c r="E1433" s="1">
        <v>1741.55</v>
      </c>
      <c r="F1433" s="1">
        <v>429.25</v>
      </c>
      <c r="G1433" s="1">
        <v>11925.76</v>
      </c>
      <c r="H1433" s="1">
        <v>1862.44</v>
      </c>
      <c r="I1433" s="1">
        <v>3518.11</v>
      </c>
      <c r="J1433" s="1">
        <v>24781.1</v>
      </c>
    </row>
    <row r="1434" spans="1:10">
      <c r="A1434" s="2">
        <v>45587</v>
      </c>
      <c r="B1434" s="1">
        <v>1331.85</v>
      </c>
      <c r="C1434" s="1">
        <v>3739.74</v>
      </c>
      <c r="D1434" s="1">
        <v>832.08</v>
      </c>
      <c r="E1434" s="1">
        <v>1740.47</v>
      </c>
      <c r="F1434" s="1">
        <v>427.61</v>
      </c>
      <c r="G1434" s="1">
        <v>11678.34</v>
      </c>
      <c r="H1434" s="1">
        <v>1853.16</v>
      </c>
      <c r="I1434" s="1">
        <v>3445.79</v>
      </c>
      <c r="J1434" s="1">
        <v>24472.1</v>
      </c>
    </row>
    <row r="1435" spans="1:10">
      <c r="A1435" s="2">
        <v>45588</v>
      </c>
      <c r="B1435" s="1">
        <v>1327.06</v>
      </c>
      <c r="C1435" s="1">
        <v>3787.01</v>
      </c>
      <c r="D1435" s="1">
        <v>842.39</v>
      </c>
      <c r="E1435" s="1">
        <v>1760.96</v>
      </c>
      <c r="F1435" s="1">
        <v>426.32</v>
      </c>
      <c r="G1435" s="1">
        <v>11710.57</v>
      </c>
      <c r="H1435" s="1">
        <v>1805.84</v>
      </c>
      <c r="I1435" s="1">
        <v>3390.36</v>
      </c>
      <c r="J1435" s="1">
        <v>24435.5</v>
      </c>
    </row>
    <row r="1436" spans="1:10">
      <c r="A1436" s="2">
        <v>45589</v>
      </c>
      <c r="B1436" s="1">
        <v>1328.33</v>
      </c>
      <c r="C1436" s="1">
        <v>3769.92</v>
      </c>
      <c r="D1436" s="1">
        <v>849.11</v>
      </c>
      <c r="E1436" s="1">
        <v>1751.51</v>
      </c>
      <c r="F1436" s="1">
        <v>418.64</v>
      </c>
      <c r="G1436" s="1">
        <v>11522.02</v>
      </c>
      <c r="H1436" s="1">
        <v>1815.21</v>
      </c>
      <c r="I1436" s="1">
        <v>3377.85</v>
      </c>
      <c r="J1436" s="1">
        <v>24399.4</v>
      </c>
    </row>
    <row r="1437" spans="1:10">
      <c r="A1437" s="2">
        <v>45590</v>
      </c>
      <c r="B1437" s="1">
        <v>1316.48</v>
      </c>
      <c r="C1437" s="1">
        <v>3778.91</v>
      </c>
      <c r="D1437" s="1">
        <v>846.08</v>
      </c>
      <c r="E1437" s="1">
        <v>1750.29</v>
      </c>
      <c r="F1437" s="1">
        <v>428.05</v>
      </c>
      <c r="G1437" s="1">
        <v>11266.53</v>
      </c>
      <c r="H1437" s="1">
        <v>1826.5</v>
      </c>
      <c r="I1437" s="1">
        <v>3263.78</v>
      </c>
      <c r="J1437" s="1">
        <v>24180.799999999999</v>
      </c>
    </row>
    <row r="1438" spans="1:10">
      <c r="A1438" s="2">
        <v>45593</v>
      </c>
      <c r="B1438" s="1">
        <v>1322.93</v>
      </c>
      <c r="C1438" s="1">
        <v>3809.92</v>
      </c>
      <c r="D1438" s="1">
        <v>841.62</v>
      </c>
      <c r="E1438" s="1">
        <v>1753.39</v>
      </c>
      <c r="F1438" s="1">
        <v>429.69</v>
      </c>
      <c r="G1438" s="1">
        <v>11247.33</v>
      </c>
      <c r="H1438" s="1">
        <v>1868.23</v>
      </c>
      <c r="I1438" s="1">
        <v>3277.91</v>
      </c>
      <c r="J1438" s="1">
        <v>24339.15</v>
      </c>
    </row>
    <row r="1439" spans="1:10">
      <c r="A1439" s="2">
        <v>45594</v>
      </c>
      <c r="B1439" s="1">
        <v>1328.53</v>
      </c>
      <c r="C1439" s="1">
        <v>3795.39</v>
      </c>
      <c r="D1439" s="1">
        <v>850.18</v>
      </c>
      <c r="E1439" s="1">
        <v>1748.59</v>
      </c>
      <c r="F1439" s="1">
        <v>433.06</v>
      </c>
      <c r="G1439" s="1">
        <v>10819.07</v>
      </c>
      <c r="H1439" s="1">
        <v>1837.5</v>
      </c>
      <c r="I1439" s="1">
        <v>3317.26</v>
      </c>
      <c r="J1439" s="1">
        <v>24466.85</v>
      </c>
    </row>
    <row r="1440" spans="1:10">
      <c r="A1440" s="2">
        <v>45595</v>
      </c>
      <c r="B1440" s="1">
        <v>1332.39</v>
      </c>
      <c r="C1440" s="1">
        <v>3804.15</v>
      </c>
      <c r="D1440" s="1">
        <v>841.81</v>
      </c>
      <c r="E1440" s="1">
        <v>1713.23</v>
      </c>
      <c r="F1440" s="1">
        <v>436.26</v>
      </c>
      <c r="G1440" s="1">
        <v>11025.2</v>
      </c>
      <c r="H1440" s="1">
        <v>1818.36</v>
      </c>
      <c r="I1440" s="1">
        <v>3344.19</v>
      </c>
      <c r="J1440" s="1">
        <v>24340.85</v>
      </c>
    </row>
    <row r="1441" spans="1:10">
      <c r="A1441" s="2">
        <v>45596</v>
      </c>
      <c r="B1441" s="1">
        <v>1320.65</v>
      </c>
      <c r="C1441" s="1">
        <v>3695.93</v>
      </c>
      <c r="D1441" s="1">
        <v>842.34</v>
      </c>
      <c r="E1441" s="1">
        <v>1670.59</v>
      </c>
      <c r="F1441" s="1">
        <v>433.82</v>
      </c>
      <c r="G1441" s="1">
        <v>10848.89</v>
      </c>
      <c r="H1441" s="1">
        <v>1815.21</v>
      </c>
      <c r="I1441" s="1">
        <v>3554.11</v>
      </c>
      <c r="J1441" s="1">
        <v>24205.35</v>
      </c>
    </row>
    <row r="1442" spans="1:10">
      <c r="A1442" s="2">
        <v>45597</v>
      </c>
      <c r="B1442" s="1">
        <v>1327.19</v>
      </c>
      <c r="C1442" s="1">
        <v>3710.59</v>
      </c>
      <c r="D1442" s="1">
        <v>843.12</v>
      </c>
      <c r="E1442" s="1">
        <v>1674.01</v>
      </c>
      <c r="F1442" s="1">
        <v>435.15</v>
      </c>
      <c r="G1442" s="1">
        <v>10881.75</v>
      </c>
      <c r="H1442" s="1">
        <v>1824.54</v>
      </c>
      <c r="I1442" s="1">
        <v>3558.09</v>
      </c>
      <c r="J1442" s="1">
        <v>24304.35</v>
      </c>
    </row>
    <row r="1443" spans="1:10">
      <c r="A1443" s="2">
        <v>45600</v>
      </c>
      <c r="B1443" s="1">
        <v>1291</v>
      </c>
      <c r="C1443" s="1">
        <v>3691.92</v>
      </c>
      <c r="D1443" s="1">
        <v>831.86</v>
      </c>
      <c r="E1443" s="1">
        <v>1676.67</v>
      </c>
      <c r="F1443" s="1">
        <v>430.09</v>
      </c>
      <c r="G1443" s="1">
        <v>10825.39</v>
      </c>
      <c r="H1443" s="1">
        <v>1775.94</v>
      </c>
      <c r="I1443" s="1">
        <v>3507.17</v>
      </c>
      <c r="J1443" s="1">
        <v>23995.35</v>
      </c>
    </row>
    <row r="1444" spans="1:10">
      <c r="A1444" s="2">
        <v>45601</v>
      </c>
      <c r="B1444" s="1">
        <v>1294.1199999999999</v>
      </c>
      <c r="C1444" s="1">
        <v>3698.63</v>
      </c>
      <c r="D1444" s="1">
        <v>853.09</v>
      </c>
      <c r="E1444" s="1">
        <v>1667.69</v>
      </c>
      <c r="F1444" s="1">
        <v>426.19</v>
      </c>
      <c r="G1444" s="1">
        <v>10940.62</v>
      </c>
      <c r="H1444" s="1">
        <v>1770.74</v>
      </c>
      <c r="I1444" s="1">
        <v>3507.51</v>
      </c>
      <c r="J1444" s="1">
        <v>24213.3</v>
      </c>
    </row>
    <row r="1445" spans="1:10">
      <c r="A1445" s="2">
        <v>45602</v>
      </c>
      <c r="B1445" s="1">
        <v>1314</v>
      </c>
      <c r="C1445" s="1">
        <v>3855.37</v>
      </c>
      <c r="D1445" s="1">
        <v>851.83</v>
      </c>
      <c r="E1445" s="1">
        <v>1733.76</v>
      </c>
      <c r="F1445" s="1">
        <v>426.98</v>
      </c>
      <c r="G1445" s="1">
        <v>11120.99</v>
      </c>
      <c r="H1445" s="1">
        <v>1794.16</v>
      </c>
      <c r="I1445" s="1">
        <v>3576.83</v>
      </c>
      <c r="J1445" s="1">
        <v>24484.05</v>
      </c>
    </row>
    <row r="1446" spans="1:10">
      <c r="A1446" s="2">
        <v>45603</v>
      </c>
      <c r="B1446" s="1">
        <v>1294.47</v>
      </c>
      <c r="C1446" s="1">
        <v>3865.85</v>
      </c>
      <c r="D1446" s="1">
        <v>847.61</v>
      </c>
      <c r="E1446" s="1">
        <v>1714.13</v>
      </c>
      <c r="F1446" s="1">
        <v>424.14</v>
      </c>
      <c r="G1446" s="1">
        <v>11068</v>
      </c>
      <c r="H1446" s="1">
        <v>1758.32</v>
      </c>
      <c r="I1446" s="1">
        <v>3577.91</v>
      </c>
      <c r="J1446" s="1">
        <v>24199.35</v>
      </c>
    </row>
    <row r="1447" spans="1:10">
      <c r="A1447" s="2">
        <v>45604</v>
      </c>
      <c r="B1447" s="1">
        <v>1272.76</v>
      </c>
      <c r="C1447" s="1">
        <v>3862.21</v>
      </c>
      <c r="D1447" s="1">
        <v>851.44</v>
      </c>
      <c r="E1447" s="1">
        <v>1739.7</v>
      </c>
      <c r="F1447" s="1">
        <v>424.28</v>
      </c>
      <c r="G1447" s="1">
        <v>11070.79</v>
      </c>
      <c r="H1447" s="1">
        <v>1776.63</v>
      </c>
      <c r="I1447" s="1">
        <v>3591.4</v>
      </c>
      <c r="J1447" s="1">
        <v>24148.2</v>
      </c>
    </row>
    <row r="1448" spans="1:10">
      <c r="A1448" s="2">
        <v>45607</v>
      </c>
      <c r="B1448" s="1">
        <v>1261.8</v>
      </c>
      <c r="C1448" s="1">
        <v>3910.36</v>
      </c>
      <c r="D1448" s="1">
        <v>857.19</v>
      </c>
      <c r="E1448" s="1">
        <v>1768.37</v>
      </c>
      <c r="F1448" s="1">
        <v>423.3</v>
      </c>
      <c r="G1448" s="1">
        <v>11165.5</v>
      </c>
      <c r="H1448" s="1">
        <v>1761.9</v>
      </c>
      <c r="I1448" s="1">
        <v>3560.54</v>
      </c>
      <c r="J1448" s="1">
        <v>24141.3</v>
      </c>
    </row>
    <row r="1449" spans="1:10">
      <c r="A1449" s="2">
        <v>45608</v>
      </c>
      <c r="B1449" s="1">
        <v>1263.3399999999999</v>
      </c>
      <c r="C1449" s="1">
        <v>3909.15</v>
      </c>
      <c r="D1449" s="1">
        <v>833.85</v>
      </c>
      <c r="E1449" s="1">
        <v>1776.64</v>
      </c>
      <c r="F1449" s="1">
        <v>419.66</v>
      </c>
      <c r="G1449" s="1">
        <v>10914.17</v>
      </c>
      <c r="H1449" s="1">
        <v>1768.04</v>
      </c>
      <c r="I1449" s="1">
        <v>3523.75</v>
      </c>
      <c r="J1449" s="1">
        <v>23883.45</v>
      </c>
    </row>
    <row r="1450" spans="1:10">
      <c r="A1450" s="2">
        <v>45609</v>
      </c>
      <c r="B1450" s="1">
        <v>1241.33</v>
      </c>
      <c r="C1450" s="1">
        <v>3865.33</v>
      </c>
      <c r="D1450" s="1">
        <v>815.97</v>
      </c>
      <c r="E1450" s="1">
        <v>1776.26</v>
      </c>
      <c r="F1450" s="1">
        <v>419.09</v>
      </c>
      <c r="G1450" s="1">
        <v>10822.59</v>
      </c>
      <c r="H1450" s="1">
        <v>1746.59</v>
      </c>
      <c r="I1450" s="1">
        <v>3481.16</v>
      </c>
      <c r="J1450" s="1">
        <v>23559.05</v>
      </c>
    </row>
    <row r="1451" spans="1:10">
      <c r="A1451" s="2">
        <v>45610</v>
      </c>
      <c r="B1451" s="1">
        <v>1256.75</v>
      </c>
      <c r="C1451" s="1">
        <v>3861.19</v>
      </c>
      <c r="D1451" s="1">
        <v>821.5</v>
      </c>
      <c r="E1451" s="1">
        <v>1772.6</v>
      </c>
      <c r="F1451" s="1">
        <v>413.54</v>
      </c>
      <c r="G1451" s="1">
        <v>10779.94</v>
      </c>
      <c r="H1451" s="1">
        <v>1735.98</v>
      </c>
      <c r="I1451" s="1">
        <v>3459.87</v>
      </c>
      <c r="J1451" s="1">
        <v>23532.7</v>
      </c>
    </row>
    <row r="1452" spans="1:10">
      <c r="A1452" s="2">
        <v>45614</v>
      </c>
      <c r="B1452" s="1">
        <v>1249.96</v>
      </c>
      <c r="C1452" s="1">
        <v>3743.47</v>
      </c>
      <c r="D1452" s="1">
        <v>827.49</v>
      </c>
      <c r="E1452" s="1">
        <v>1722.12</v>
      </c>
      <c r="F1452" s="1">
        <v>414.07</v>
      </c>
      <c r="G1452" s="1">
        <v>10866.03</v>
      </c>
      <c r="H1452" s="1">
        <v>1715.91</v>
      </c>
      <c r="I1452" s="1">
        <v>3475.47</v>
      </c>
      <c r="J1452" s="1">
        <v>23453.8</v>
      </c>
    </row>
    <row r="1453" spans="1:10">
      <c r="A1453" s="2">
        <v>45615</v>
      </c>
      <c r="B1453" s="1">
        <v>1231.02</v>
      </c>
      <c r="C1453" s="1">
        <v>3762.14</v>
      </c>
      <c r="D1453" s="1">
        <v>845.52</v>
      </c>
      <c r="E1453" s="1">
        <v>1734.76</v>
      </c>
      <c r="F1453" s="1">
        <v>414.78</v>
      </c>
      <c r="G1453" s="1">
        <v>10734.15</v>
      </c>
      <c r="H1453" s="1">
        <v>1744.87</v>
      </c>
      <c r="I1453" s="1">
        <v>3439.91</v>
      </c>
      <c r="J1453" s="1">
        <v>23518.5</v>
      </c>
    </row>
    <row r="1454" spans="1:10">
      <c r="A1454" s="2">
        <v>45617</v>
      </c>
      <c r="B1454" s="1">
        <v>1212.53</v>
      </c>
      <c r="C1454" s="1">
        <v>3793.16</v>
      </c>
      <c r="D1454" s="1">
        <v>845.01</v>
      </c>
      <c r="E1454" s="1">
        <v>1743.6</v>
      </c>
      <c r="F1454" s="1">
        <v>405.73</v>
      </c>
      <c r="G1454" s="1">
        <v>10638.31</v>
      </c>
      <c r="H1454" s="1">
        <v>1747.57</v>
      </c>
      <c r="I1454" s="1">
        <v>3417.93</v>
      </c>
      <c r="J1454" s="1">
        <v>23349.9</v>
      </c>
    </row>
    <row r="1455" spans="1:10">
      <c r="A1455" s="2">
        <v>45618</v>
      </c>
      <c r="B1455" s="1">
        <v>1254.57</v>
      </c>
      <c r="C1455" s="1">
        <v>3953.11</v>
      </c>
      <c r="D1455" s="1">
        <v>847.15</v>
      </c>
      <c r="E1455" s="1">
        <v>1808.44</v>
      </c>
      <c r="F1455" s="1">
        <v>421.26</v>
      </c>
      <c r="G1455" s="1">
        <v>10836.31</v>
      </c>
      <c r="H1455" s="1">
        <v>1762.59</v>
      </c>
      <c r="I1455" s="1">
        <v>3535.67</v>
      </c>
      <c r="J1455" s="1">
        <v>23907.25</v>
      </c>
    </row>
    <row r="1456" spans="1:10">
      <c r="A1456" s="2">
        <v>45621</v>
      </c>
      <c r="B1456" s="1">
        <v>1275.98</v>
      </c>
      <c r="C1456" s="1">
        <v>4018.77</v>
      </c>
      <c r="D1456" s="1">
        <v>866.56</v>
      </c>
      <c r="E1456" s="1">
        <v>1796.51</v>
      </c>
      <c r="F1456" s="1">
        <v>423.17</v>
      </c>
      <c r="G1456" s="1">
        <v>10798.65</v>
      </c>
      <c r="H1456" s="1">
        <v>1766.13</v>
      </c>
      <c r="I1456" s="1">
        <v>3682.35</v>
      </c>
      <c r="J1456" s="1">
        <v>24221.9</v>
      </c>
    </row>
    <row r="1457" spans="1:10">
      <c r="A1457" s="2">
        <v>45622</v>
      </c>
      <c r="B1457" s="1">
        <v>1284.6099999999999</v>
      </c>
      <c r="C1457" s="1">
        <v>4053.79</v>
      </c>
      <c r="D1457" s="1">
        <v>866.54</v>
      </c>
      <c r="E1457" s="1">
        <v>1829.26</v>
      </c>
      <c r="F1457" s="1">
        <v>423.35</v>
      </c>
      <c r="G1457" s="1">
        <v>10719.12</v>
      </c>
      <c r="H1457" s="1">
        <v>1729.51</v>
      </c>
      <c r="I1457" s="1">
        <v>3632.9</v>
      </c>
      <c r="J1457" s="1">
        <v>24194.5</v>
      </c>
    </row>
    <row r="1458" spans="1:10">
      <c r="A1458" s="2">
        <v>45623</v>
      </c>
      <c r="B1458" s="1">
        <v>1282.1300000000001</v>
      </c>
      <c r="C1458" s="1">
        <v>4035.02</v>
      </c>
      <c r="D1458" s="1">
        <v>879.52</v>
      </c>
      <c r="E1458" s="1">
        <v>1829.59</v>
      </c>
      <c r="F1458" s="1">
        <v>423.3</v>
      </c>
      <c r="G1458" s="1">
        <v>10831.16</v>
      </c>
      <c r="H1458" s="1">
        <v>1717.58</v>
      </c>
      <c r="I1458" s="1">
        <v>3629.08</v>
      </c>
      <c r="J1458" s="1">
        <v>24274.9</v>
      </c>
    </row>
    <row r="1459" spans="1:10">
      <c r="A1459" s="2">
        <v>45624</v>
      </c>
      <c r="B1459" s="1">
        <v>1259.92</v>
      </c>
      <c r="C1459" s="1">
        <v>3953.39</v>
      </c>
      <c r="D1459" s="1">
        <v>870.22</v>
      </c>
      <c r="E1459" s="1">
        <v>1765.09</v>
      </c>
      <c r="F1459" s="1">
        <v>421.48</v>
      </c>
      <c r="G1459" s="1">
        <v>10724.89</v>
      </c>
      <c r="H1459" s="1">
        <v>1702.65</v>
      </c>
      <c r="I1459" s="1">
        <v>3597.04</v>
      </c>
      <c r="J1459" s="1">
        <v>23914.15</v>
      </c>
    </row>
    <row r="1460" spans="1:10">
      <c r="A1460" s="2">
        <v>45625</v>
      </c>
      <c r="B1460" s="1">
        <v>1281.1400000000001</v>
      </c>
      <c r="C1460" s="1">
        <v>3977.56</v>
      </c>
      <c r="D1460" s="1">
        <v>871.63</v>
      </c>
      <c r="E1460" s="1">
        <v>1766.23</v>
      </c>
      <c r="F1460" s="1">
        <v>423.12</v>
      </c>
      <c r="G1460" s="1">
        <v>10846.69</v>
      </c>
      <c r="H1460" s="1">
        <v>1748.45</v>
      </c>
      <c r="I1460" s="1">
        <v>3654.69</v>
      </c>
      <c r="J1460" s="1">
        <v>24131.1</v>
      </c>
    </row>
    <row r="1461" spans="1:10">
      <c r="A1461" s="2">
        <v>45628</v>
      </c>
      <c r="B1461" s="1">
        <v>1297.94</v>
      </c>
      <c r="C1461" s="1">
        <v>3982.96</v>
      </c>
      <c r="D1461" s="1">
        <v>875.83</v>
      </c>
      <c r="E1461" s="1">
        <v>1787.1</v>
      </c>
      <c r="F1461" s="1">
        <v>423.52</v>
      </c>
      <c r="G1461" s="1">
        <v>11008.4</v>
      </c>
      <c r="H1461" s="1">
        <v>1775.6</v>
      </c>
      <c r="I1461" s="1">
        <v>3634.33</v>
      </c>
      <c r="J1461" s="1">
        <v>24276.05</v>
      </c>
    </row>
    <row r="1462" spans="1:10">
      <c r="A1462" s="2">
        <v>45629</v>
      </c>
      <c r="B1462" s="1">
        <v>1311.97</v>
      </c>
      <c r="C1462" s="1">
        <v>4007.27</v>
      </c>
      <c r="D1462" s="1">
        <v>886.31</v>
      </c>
      <c r="E1462" s="1">
        <v>1798.79</v>
      </c>
      <c r="F1462" s="1">
        <v>419.4</v>
      </c>
      <c r="G1462" s="1">
        <v>11047.53</v>
      </c>
      <c r="H1462" s="1">
        <v>1767.25</v>
      </c>
      <c r="I1462" s="1">
        <v>3715.76</v>
      </c>
      <c r="J1462" s="1">
        <v>24457.15</v>
      </c>
    </row>
    <row r="1463" spans="1:10">
      <c r="A1463" s="2">
        <v>45630</v>
      </c>
      <c r="B1463" s="1">
        <v>1297.74</v>
      </c>
      <c r="C1463" s="1">
        <v>4055.37</v>
      </c>
      <c r="D1463" s="1">
        <v>902.72</v>
      </c>
      <c r="E1463" s="1">
        <v>1796.08</v>
      </c>
      <c r="F1463" s="1">
        <v>414.56</v>
      </c>
      <c r="G1463" s="1">
        <v>10901.2</v>
      </c>
      <c r="H1463" s="1">
        <v>1767.4</v>
      </c>
      <c r="I1463" s="1">
        <v>3718.56</v>
      </c>
      <c r="J1463" s="1">
        <v>24467.45</v>
      </c>
    </row>
    <row r="1464" spans="1:10">
      <c r="A1464" s="2">
        <v>45631</v>
      </c>
      <c r="B1464" s="1">
        <v>1310.73</v>
      </c>
      <c r="C1464" s="1">
        <v>4157.49</v>
      </c>
      <c r="D1464" s="1">
        <v>905.46</v>
      </c>
      <c r="E1464" s="1">
        <v>1839.43</v>
      </c>
      <c r="F1464" s="1">
        <v>414.91</v>
      </c>
      <c r="G1464" s="1">
        <v>10952.52</v>
      </c>
      <c r="H1464" s="1">
        <v>1780.41</v>
      </c>
      <c r="I1464" s="1">
        <v>3759.43</v>
      </c>
      <c r="J1464" s="1">
        <v>24708.400000000001</v>
      </c>
    </row>
    <row r="1465" spans="1:10">
      <c r="A1465" s="2">
        <v>45632</v>
      </c>
      <c r="B1465" s="1">
        <v>1300.32</v>
      </c>
      <c r="C1465" s="1">
        <v>4140.21</v>
      </c>
      <c r="D1465" s="1">
        <v>900.65</v>
      </c>
      <c r="E1465" s="1">
        <v>1827.6</v>
      </c>
      <c r="F1465" s="1">
        <v>418.15</v>
      </c>
      <c r="G1465" s="1">
        <v>11085.43</v>
      </c>
      <c r="H1465" s="1">
        <v>1771.97</v>
      </c>
      <c r="I1465" s="1">
        <v>3793.91</v>
      </c>
      <c r="J1465" s="1">
        <v>24677.8</v>
      </c>
    </row>
    <row r="1466" spans="1:10">
      <c r="A1466" s="2">
        <v>45635</v>
      </c>
      <c r="B1466" s="1">
        <v>1284.06</v>
      </c>
      <c r="C1466" s="1">
        <v>4146.41</v>
      </c>
      <c r="D1466" s="1">
        <v>907.52</v>
      </c>
      <c r="E1466" s="1">
        <v>1828.78</v>
      </c>
      <c r="F1466" s="1">
        <v>412.65</v>
      </c>
      <c r="G1466" s="1">
        <v>11048.07</v>
      </c>
      <c r="H1466" s="1">
        <v>1773.73</v>
      </c>
      <c r="I1466" s="1">
        <v>3873</v>
      </c>
      <c r="J1466" s="1">
        <v>24619</v>
      </c>
    </row>
    <row r="1467" spans="1:10">
      <c r="A1467" s="2">
        <v>45636</v>
      </c>
      <c r="B1467" s="1">
        <v>1273.8499999999999</v>
      </c>
      <c r="C1467" s="1">
        <v>4128.1499999999996</v>
      </c>
      <c r="D1467" s="1">
        <v>906.6</v>
      </c>
      <c r="E1467" s="1">
        <v>1852.46</v>
      </c>
      <c r="F1467" s="1">
        <v>413.09</v>
      </c>
      <c r="G1467" s="1">
        <v>10968.14</v>
      </c>
      <c r="H1467" s="1">
        <v>1776.97</v>
      </c>
      <c r="I1467" s="1">
        <v>3849.3</v>
      </c>
      <c r="J1467" s="1">
        <v>24610.05</v>
      </c>
    </row>
    <row r="1468" spans="1:10">
      <c r="A1468" s="2">
        <v>45637</v>
      </c>
      <c r="B1468" s="1">
        <v>1267.26</v>
      </c>
      <c r="C1468" s="1">
        <v>4123.3999999999996</v>
      </c>
      <c r="D1468" s="1">
        <v>904.17</v>
      </c>
      <c r="E1468" s="1">
        <v>1876.79</v>
      </c>
      <c r="F1468" s="1">
        <v>412.92</v>
      </c>
      <c r="G1468" s="1">
        <v>11046.06</v>
      </c>
      <c r="H1468" s="1">
        <v>1780.95</v>
      </c>
      <c r="I1468" s="1">
        <v>3843.02</v>
      </c>
      <c r="J1468" s="1">
        <v>24641.8</v>
      </c>
    </row>
    <row r="1469" spans="1:10">
      <c r="A1469" s="2">
        <v>45638</v>
      </c>
      <c r="B1469" s="1">
        <v>1252.0899999999999</v>
      </c>
      <c r="C1469" s="1">
        <v>4149.0200000000004</v>
      </c>
      <c r="D1469" s="1">
        <v>902.3</v>
      </c>
      <c r="E1469" s="1">
        <v>1889.01</v>
      </c>
      <c r="F1469" s="1">
        <v>408.79</v>
      </c>
      <c r="G1469" s="1">
        <v>10937.97</v>
      </c>
      <c r="H1469" s="1">
        <v>1772.56</v>
      </c>
      <c r="I1469" s="1">
        <v>3787.24</v>
      </c>
      <c r="J1469" s="1">
        <v>24548.7</v>
      </c>
    </row>
    <row r="1470" spans="1:10">
      <c r="A1470" s="2">
        <v>45639</v>
      </c>
      <c r="B1470" s="1">
        <v>1261.95</v>
      </c>
      <c r="C1470" s="1">
        <v>4166.67</v>
      </c>
      <c r="D1470" s="1">
        <v>908.37</v>
      </c>
      <c r="E1470" s="1">
        <v>1901.08</v>
      </c>
      <c r="F1470" s="1">
        <v>417.13</v>
      </c>
      <c r="G1470" s="1">
        <v>11040.96</v>
      </c>
      <c r="H1470" s="1">
        <v>1780.41</v>
      </c>
      <c r="I1470" s="1">
        <v>3813.83</v>
      </c>
      <c r="J1470" s="1">
        <v>24768.3</v>
      </c>
    </row>
    <row r="1471" spans="1:10">
      <c r="A1471" s="2">
        <v>45642</v>
      </c>
      <c r="B1471" s="1">
        <v>1257.44</v>
      </c>
      <c r="C1471" s="1">
        <v>4112</v>
      </c>
      <c r="D1471" s="1">
        <v>905.19</v>
      </c>
      <c r="E1471" s="1">
        <v>1882.4</v>
      </c>
      <c r="F1471" s="1">
        <v>417.22</v>
      </c>
      <c r="G1471" s="1">
        <v>11045.32</v>
      </c>
      <c r="H1471" s="1">
        <v>1776.83</v>
      </c>
      <c r="I1471" s="1">
        <v>3804.85</v>
      </c>
      <c r="J1471" s="1">
        <v>24668.25</v>
      </c>
    </row>
    <row r="1472" spans="1:10">
      <c r="A1472" s="2">
        <v>45643</v>
      </c>
      <c r="B1472" s="1">
        <v>1234.6400000000001</v>
      </c>
      <c r="C1472" s="1">
        <v>4031.25</v>
      </c>
      <c r="D1472" s="1">
        <v>889.69</v>
      </c>
      <c r="E1472" s="1">
        <v>1879.12</v>
      </c>
      <c r="F1472" s="1">
        <v>416.73</v>
      </c>
      <c r="G1472" s="1">
        <v>10880.33</v>
      </c>
      <c r="H1472" s="1">
        <v>1756.45</v>
      </c>
      <c r="I1472" s="1">
        <v>3735.53</v>
      </c>
      <c r="J1472" s="1">
        <v>24336</v>
      </c>
    </row>
    <row r="1473" spans="1:10">
      <c r="A1473" s="2">
        <v>45644</v>
      </c>
      <c r="B1473" s="1">
        <v>1242.52</v>
      </c>
      <c r="C1473" s="1">
        <v>4049.27</v>
      </c>
      <c r="D1473" s="1">
        <v>878.74</v>
      </c>
      <c r="E1473" s="1">
        <v>1881.55</v>
      </c>
      <c r="F1473" s="1">
        <v>417.58</v>
      </c>
      <c r="G1473" s="1">
        <v>10776.41</v>
      </c>
      <c r="H1473" s="1">
        <v>1768.24</v>
      </c>
      <c r="I1473" s="1">
        <v>3687.41</v>
      </c>
      <c r="J1473" s="1">
        <v>24198.85</v>
      </c>
    </row>
    <row r="1474" spans="1:10">
      <c r="A1474" s="2">
        <v>45645</v>
      </c>
      <c r="B1474" s="1">
        <v>1219.9100000000001</v>
      </c>
      <c r="C1474" s="1">
        <v>3978.54</v>
      </c>
      <c r="D1474" s="1">
        <v>870.39</v>
      </c>
      <c r="E1474" s="1">
        <v>1850.22</v>
      </c>
      <c r="F1474" s="1">
        <v>414.07</v>
      </c>
      <c r="G1474" s="1">
        <v>10730.28</v>
      </c>
      <c r="H1474" s="1">
        <v>1790.08</v>
      </c>
      <c r="I1474" s="1">
        <v>3646.39</v>
      </c>
      <c r="J1474" s="1">
        <v>23951.7</v>
      </c>
    </row>
    <row r="1475" spans="1:10">
      <c r="A1475" s="2">
        <v>45646</v>
      </c>
      <c r="B1475" s="1">
        <v>1194.98</v>
      </c>
      <c r="C1475" s="1">
        <v>3883.91</v>
      </c>
      <c r="D1475" s="1">
        <v>859.72</v>
      </c>
      <c r="E1475" s="1">
        <v>1827.36</v>
      </c>
      <c r="F1475" s="1">
        <v>412.38</v>
      </c>
      <c r="G1475" s="1">
        <v>10677.1</v>
      </c>
      <c r="H1475" s="1">
        <v>1775.89</v>
      </c>
      <c r="I1475" s="1">
        <v>3561.52</v>
      </c>
      <c r="J1475" s="1">
        <v>23587.5</v>
      </c>
    </row>
    <row r="1476" spans="1:10">
      <c r="A1476" s="2">
        <v>45649</v>
      </c>
      <c r="B1476" s="1">
        <v>1211.83</v>
      </c>
      <c r="C1476" s="1">
        <v>3872.74</v>
      </c>
      <c r="D1476" s="1">
        <v>874.03</v>
      </c>
      <c r="E1476" s="1">
        <v>1829.4</v>
      </c>
      <c r="F1476" s="1">
        <v>420.9</v>
      </c>
      <c r="G1476" s="1">
        <v>10599.67</v>
      </c>
      <c r="H1476" s="1">
        <v>1781.54</v>
      </c>
      <c r="I1476" s="1">
        <v>3571.97</v>
      </c>
      <c r="J1476" s="1">
        <v>23753.45</v>
      </c>
    </row>
    <row r="1477" spans="1:10">
      <c r="A1477" s="2">
        <v>45650</v>
      </c>
      <c r="B1477" s="1">
        <v>1212.28</v>
      </c>
      <c r="C1477" s="1">
        <v>3892.48</v>
      </c>
      <c r="D1477" s="1">
        <v>872.63</v>
      </c>
      <c r="E1477" s="1">
        <v>1814.9</v>
      </c>
      <c r="F1477" s="1">
        <v>424.63</v>
      </c>
      <c r="G1477" s="1">
        <v>10516.02</v>
      </c>
      <c r="H1477" s="1">
        <v>1785.86</v>
      </c>
      <c r="I1477" s="1">
        <v>3571.24</v>
      </c>
      <c r="J1477" s="1">
        <v>23727.65</v>
      </c>
    </row>
    <row r="1478" spans="1:10">
      <c r="A1478" s="2">
        <v>45652</v>
      </c>
      <c r="B1478" s="1">
        <v>1206.1300000000001</v>
      </c>
      <c r="C1478" s="1">
        <v>3882.8</v>
      </c>
      <c r="D1478" s="1">
        <v>869.06</v>
      </c>
      <c r="E1478" s="1">
        <v>1813.33</v>
      </c>
      <c r="F1478" s="1">
        <v>423.3</v>
      </c>
      <c r="G1478" s="1">
        <v>10672.15</v>
      </c>
      <c r="H1478" s="1">
        <v>1807.8</v>
      </c>
      <c r="I1478" s="1">
        <v>3561.18</v>
      </c>
      <c r="J1478" s="1">
        <v>23750.2</v>
      </c>
    </row>
    <row r="1479" spans="1:10">
      <c r="A1479" s="2">
        <v>45653</v>
      </c>
      <c r="B1479" s="1">
        <v>1210.5999999999999</v>
      </c>
      <c r="C1479" s="1">
        <v>3878.84</v>
      </c>
      <c r="D1479" s="1">
        <v>872.7</v>
      </c>
      <c r="E1479" s="1">
        <v>1822.22</v>
      </c>
      <c r="F1479" s="1">
        <v>424.77</v>
      </c>
      <c r="G1479" s="1">
        <v>10716.27</v>
      </c>
      <c r="H1479" s="1">
        <v>1827.34</v>
      </c>
      <c r="I1479" s="1">
        <v>3540.18</v>
      </c>
      <c r="J1479" s="1">
        <v>23813.4</v>
      </c>
    </row>
    <row r="1480" spans="1:10">
      <c r="A1480" s="2">
        <v>45656</v>
      </c>
      <c r="B1480" s="1">
        <v>1200.33</v>
      </c>
      <c r="C1480" s="1">
        <v>3873.2</v>
      </c>
      <c r="D1480" s="1">
        <v>862.82</v>
      </c>
      <c r="E1480" s="1">
        <v>1812</v>
      </c>
      <c r="F1480" s="1">
        <v>423.35</v>
      </c>
      <c r="G1480" s="1">
        <v>10577.09</v>
      </c>
      <c r="H1480" s="1">
        <v>1849.58</v>
      </c>
      <c r="I1480" s="1">
        <v>3511.58</v>
      </c>
      <c r="J1480" s="1">
        <v>23644.9</v>
      </c>
    </row>
    <row r="1481" spans="1:10">
      <c r="A1481" s="2">
        <v>45657</v>
      </c>
      <c r="B1481" s="1">
        <v>1205.04</v>
      </c>
      <c r="C1481" s="1">
        <v>3813.6</v>
      </c>
      <c r="D1481" s="1">
        <v>860.37</v>
      </c>
      <c r="E1481" s="1">
        <v>1787.29</v>
      </c>
      <c r="F1481" s="1">
        <v>429.25</v>
      </c>
      <c r="G1481" s="1">
        <v>10635.32</v>
      </c>
      <c r="H1481" s="1">
        <v>1851.98</v>
      </c>
      <c r="I1481" s="1">
        <v>3539.74</v>
      </c>
      <c r="J1481" s="1">
        <v>23644.799999999999</v>
      </c>
    </row>
    <row r="1482" spans="1:10">
      <c r="A1482" s="2">
        <v>45658</v>
      </c>
      <c r="B1482" s="1">
        <v>1210.79</v>
      </c>
      <c r="C1482" s="1">
        <v>3830.04</v>
      </c>
      <c r="D1482" s="1">
        <v>865.18</v>
      </c>
      <c r="E1482" s="1">
        <v>1789.66</v>
      </c>
      <c r="F1482" s="1">
        <v>429.51</v>
      </c>
      <c r="G1482" s="1">
        <v>10978.03</v>
      </c>
      <c r="H1482" s="1">
        <v>1855.52</v>
      </c>
      <c r="I1482" s="1">
        <v>3598.46</v>
      </c>
      <c r="J1482" s="1">
        <v>23742.9</v>
      </c>
    </row>
    <row r="1483" spans="1:10">
      <c r="A1483" s="2">
        <v>45659</v>
      </c>
      <c r="B1483" s="1">
        <v>1231.17</v>
      </c>
      <c r="C1483" s="1">
        <v>3888.99</v>
      </c>
      <c r="D1483" s="1">
        <v>870.52</v>
      </c>
      <c r="E1483" s="1">
        <v>1861.3</v>
      </c>
      <c r="F1483" s="1">
        <v>434.04</v>
      </c>
      <c r="G1483" s="1">
        <v>11598.03</v>
      </c>
      <c r="H1483" s="1">
        <v>1843.78</v>
      </c>
      <c r="I1483" s="1">
        <v>3643.6</v>
      </c>
      <c r="J1483" s="1">
        <v>24188.65</v>
      </c>
    </row>
    <row r="1484" spans="1:10">
      <c r="A1484" s="2">
        <v>45660</v>
      </c>
      <c r="B1484" s="1">
        <v>1240.44</v>
      </c>
      <c r="C1484" s="1">
        <v>3818.35</v>
      </c>
      <c r="D1484" s="1">
        <v>848.9</v>
      </c>
      <c r="E1484" s="1">
        <v>1843.14</v>
      </c>
      <c r="F1484" s="1">
        <v>427.43</v>
      </c>
      <c r="G1484" s="1">
        <v>11689.07</v>
      </c>
      <c r="H1484" s="1">
        <v>1815.95</v>
      </c>
      <c r="I1484" s="1">
        <v>3591.01</v>
      </c>
      <c r="J1484" s="1">
        <v>24004.75</v>
      </c>
    </row>
    <row r="1485" spans="1:10">
      <c r="A1485" s="2">
        <v>45663</v>
      </c>
      <c r="B1485" s="1">
        <v>1207.57</v>
      </c>
      <c r="C1485" s="1">
        <v>3813.78</v>
      </c>
      <c r="D1485" s="1">
        <v>830.11</v>
      </c>
      <c r="E1485" s="1">
        <v>1842.28</v>
      </c>
      <c r="F1485" s="1">
        <v>407.99</v>
      </c>
      <c r="G1485" s="1">
        <v>11514.14</v>
      </c>
      <c r="H1485" s="1">
        <v>1813.74</v>
      </c>
      <c r="I1485" s="1">
        <v>3535.37</v>
      </c>
      <c r="J1485" s="1">
        <v>23616.05</v>
      </c>
    </row>
    <row r="1486" spans="1:10">
      <c r="A1486" s="2">
        <v>45664</v>
      </c>
      <c r="B1486" s="1">
        <v>1230.23</v>
      </c>
      <c r="C1486" s="1">
        <v>3751.67</v>
      </c>
      <c r="D1486" s="1">
        <v>831.52</v>
      </c>
      <c r="E1486" s="1">
        <v>1835.63</v>
      </c>
      <c r="F1486" s="1">
        <v>406.56</v>
      </c>
      <c r="G1486" s="1">
        <v>11480.5</v>
      </c>
      <c r="H1486" s="1">
        <v>1819.63</v>
      </c>
      <c r="I1486" s="1">
        <v>3574.72</v>
      </c>
      <c r="J1486" s="1">
        <v>23707.9</v>
      </c>
    </row>
    <row r="1487" spans="1:10">
      <c r="A1487" s="2">
        <v>45665</v>
      </c>
      <c r="B1487" s="1">
        <v>1254.6600000000001</v>
      </c>
      <c r="C1487" s="1">
        <v>3826.26</v>
      </c>
      <c r="D1487" s="1">
        <v>822.25</v>
      </c>
      <c r="E1487" s="1">
        <v>1837.81</v>
      </c>
      <c r="F1487" s="1">
        <v>414.35</v>
      </c>
      <c r="G1487" s="1">
        <v>11579.13</v>
      </c>
      <c r="H1487" s="1">
        <v>1804.27</v>
      </c>
      <c r="I1487" s="1">
        <v>3528.65</v>
      </c>
      <c r="J1487" s="1">
        <v>23688.95</v>
      </c>
    </row>
    <row r="1488" spans="1:10">
      <c r="A1488" s="2">
        <v>45666</v>
      </c>
      <c r="B1488" s="1">
        <v>1244.01</v>
      </c>
      <c r="C1488" s="1">
        <v>3761.49</v>
      </c>
      <c r="D1488" s="1">
        <v>809.39</v>
      </c>
      <c r="E1488" s="1">
        <v>1822.75</v>
      </c>
      <c r="F1488" s="1">
        <v>414.86</v>
      </c>
      <c r="G1488" s="1">
        <v>11499.35</v>
      </c>
      <c r="H1488" s="1">
        <v>1793.08</v>
      </c>
      <c r="I1488" s="1">
        <v>3461.49</v>
      </c>
      <c r="J1488" s="1">
        <v>23526.5</v>
      </c>
    </row>
    <row r="1489" spans="1:10">
      <c r="A1489" s="2">
        <v>45667</v>
      </c>
      <c r="B1489" s="1">
        <v>1231.27</v>
      </c>
      <c r="C1489" s="1">
        <v>3972.72</v>
      </c>
      <c r="D1489" s="1">
        <v>804.03</v>
      </c>
      <c r="E1489" s="1">
        <v>1869.95</v>
      </c>
      <c r="F1489" s="1">
        <v>410.06</v>
      </c>
      <c r="G1489" s="1">
        <v>11392.15</v>
      </c>
      <c r="H1489" s="1">
        <v>1752.28</v>
      </c>
      <c r="I1489" s="1">
        <v>3469.59</v>
      </c>
      <c r="J1489" s="1">
        <v>23431.5</v>
      </c>
    </row>
    <row r="1490" spans="1:10">
      <c r="A1490" s="2">
        <v>45670</v>
      </c>
      <c r="B1490" s="1">
        <v>1229.23</v>
      </c>
      <c r="C1490" s="1">
        <v>3996.42</v>
      </c>
      <c r="D1490" s="1">
        <v>791.46</v>
      </c>
      <c r="E1490" s="1">
        <v>1865.43</v>
      </c>
      <c r="F1490" s="1">
        <v>404.67</v>
      </c>
      <c r="G1490" s="1">
        <v>11261.49</v>
      </c>
      <c r="H1490" s="1">
        <v>1715.07</v>
      </c>
      <c r="I1490" s="1">
        <v>3399.09</v>
      </c>
      <c r="J1490" s="1">
        <v>23085.95</v>
      </c>
    </row>
    <row r="1491" spans="1:10">
      <c r="A1491" s="2">
        <v>45671</v>
      </c>
      <c r="B1491" s="1">
        <v>1228.1400000000001</v>
      </c>
      <c r="C1491" s="1">
        <v>3942.35</v>
      </c>
      <c r="D1491" s="1">
        <v>799.1</v>
      </c>
      <c r="E1491" s="1">
        <v>1844.37</v>
      </c>
      <c r="F1491" s="1">
        <v>402.41</v>
      </c>
      <c r="G1491" s="1">
        <v>11499.94</v>
      </c>
      <c r="H1491" s="1">
        <v>1738.59</v>
      </c>
      <c r="I1491" s="1">
        <v>3397.42</v>
      </c>
      <c r="J1491" s="1">
        <v>23176.05</v>
      </c>
    </row>
    <row r="1492" spans="1:10">
      <c r="A1492" s="2">
        <v>45672</v>
      </c>
      <c r="B1492" s="1">
        <v>1241.48</v>
      </c>
      <c r="C1492" s="1">
        <v>3957.77</v>
      </c>
      <c r="D1492" s="1">
        <v>797.38</v>
      </c>
      <c r="E1492" s="1">
        <v>1853.5</v>
      </c>
      <c r="F1492" s="1">
        <v>403.1</v>
      </c>
      <c r="G1492" s="1">
        <v>11701.95</v>
      </c>
      <c r="H1492" s="1">
        <v>1724.84</v>
      </c>
      <c r="I1492" s="1">
        <v>3435.49</v>
      </c>
      <c r="J1492" s="1">
        <v>23213.200000000001</v>
      </c>
    </row>
    <row r="1493" spans="1:10">
      <c r="A1493" s="2">
        <v>45673</v>
      </c>
      <c r="B1493" s="1">
        <v>1255.6099999999999</v>
      </c>
      <c r="C1493" s="1">
        <v>3917.44</v>
      </c>
      <c r="D1493" s="1">
        <v>801.75</v>
      </c>
      <c r="E1493" s="1">
        <v>1833.35</v>
      </c>
      <c r="F1493" s="1">
        <v>398.96</v>
      </c>
      <c r="G1493" s="1">
        <v>11843.87</v>
      </c>
      <c r="H1493" s="1">
        <v>1731.17</v>
      </c>
      <c r="I1493" s="1">
        <v>3441.87</v>
      </c>
      <c r="J1493" s="1">
        <v>23311.8</v>
      </c>
    </row>
    <row r="1494" spans="1:10">
      <c r="A1494" s="2">
        <v>45674</v>
      </c>
      <c r="B1494" s="1">
        <v>1291.2</v>
      </c>
      <c r="C1494" s="1">
        <v>3911.75</v>
      </c>
      <c r="D1494" s="1">
        <v>794.32</v>
      </c>
      <c r="E1494" s="1">
        <v>1725.92</v>
      </c>
      <c r="F1494" s="1">
        <v>405.73</v>
      </c>
      <c r="G1494" s="1">
        <v>11887.02</v>
      </c>
      <c r="H1494" s="1">
        <v>1754</v>
      </c>
      <c r="I1494" s="1">
        <v>3501.47</v>
      </c>
      <c r="J1494" s="1">
        <v>23203.200000000001</v>
      </c>
    </row>
    <row r="1495" spans="1:10">
      <c r="A1495" s="2">
        <v>45677</v>
      </c>
      <c r="B1495" s="1">
        <v>1294.27</v>
      </c>
      <c r="C1495" s="1">
        <v>3867.65</v>
      </c>
      <c r="D1495" s="1">
        <v>801.36</v>
      </c>
      <c r="E1495" s="1">
        <v>1723.88</v>
      </c>
      <c r="F1495" s="1">
        <v>403.43</v>
      </c>
      <c r="G1495" s="1">
        <v>11773.11</v>
      </c>
      <c r="H1495" s="1">
        <v>1745.85</v>
      </c>
      <c r="I1495" s="1">
        <v>3525.37</v>
      </c>
      <c r="J1495" s="1">
        <v>23344.75</v>
      </c>
    </row>
    <row r="1496" spans="1:10">
      <c r="A1496" s="2">
        <v>45678</v>
      </c>
      <c r="B1496" s="1">
        <v>1262.79</v>
      </c>
      <c r="C1496" s="1">
        <v>3827.86</v>
      </c>
      <c r="D1496" s="1">
        <v>797.06</v>
      </c>
      <c r="E1496" s="1">
        <v>1711.9</v>
      </c>
      <c r="F1496" s="1">
        <v>403.29</v>
      </c>
      <c r="G1496" s="1">
        <v>11639.56</v>
      </c>
      <c r="H1496" s="1">
        <v>1730.58</v>
      </c>
      <c r="I1496" s="1">
        <v>3474.44</v>
      </c>
      <c r="J1496" s="1">
        <v>23024.65</v>
      </c>
    </row>
    <row r="1497" spans="1:10">
      <c r="A1497" s="2">
        <v>45679</v>
      </c>
      <c r="B1497" s="1">
        <v>1266.17</v>
      </c>
      <c r="C1497" s="1">
        <v>3942.39</v>
      </c>
      <c r="D1497" s="1">
        <v>808.54</v>
      </c>
      <c r="E1497" s="1">
        <v>1764.9</v>
      </c>
      <c r="F1497" s="1">
        <v>402.78</v>
      </c>
      <c r="G1497" s="1">
        <v>11773.4</v>
      </c>
      <c r="H1497" s="1">
        <v>1766.17</v>
      </c>
      <c r="I1497" s="1">
        <v>3451.97</v>
      </c>
      <c r="J1497" s="1">
        <v>23155.35</v>
      </c>
    </row>
    <row r="1498" spans="1:10">
      <c r="A1498" s="2">
        <v>45680</v>
      </c>
      <c r="B1498" s="1">
        <v>1252.83</v>
      </c>
      <c r="C1498" s="1">
        <v>3931.81</v>
      </c>
      <c r="D1498" s="1">
        <v>807.98</v>
      </c>
      <c r="E1498" s="1">
        <v>1773.45</v>
      </c>
      <c r="F1498" s="1">
        <v>405.73</v>
      </c>
      <c r="G1498" s="1">
        <v>11798.28</v>
      </c>
      <c r="H1498" s="1">
        <v>1800.19</v>
      </c>
      <c r="I1498" s="1">
        <v>3437.31</v>
      </c>
      <c r="J1498" s="1">
        <v>23205.35</v>
      </c>
    </row>
    <row r="1499" spans="1:10">
      <c r="A1499" s="2">
        <v>45681</v>
      </c>
      <c r="B1499" s="1">
        <v>1235.6300000000001</v>
      </c>
      <c r="C1499" s="1">
        <v>3938.35</v>
      </c>
      <c r="D1499" s="1">
        <v>800.66</v>
      </c>
      <c r="E1499" s="1">
        <v>1782.96</v>
      </c>
      <c r="F1499" s="1">
        <v>407.02</v>
      </c>
      <c r="G1499" s="1">
        <v>11722.03</v>
      </c>
      <c r="H1499" s="1">
        <v>1789</v>
      </c>
      <c r="I1499" s="1">
        <v>3393.1</v>
      </c>
      <c r="J1499" s="1">
        <v>23092.2</v>
      </c>
    </row>
    <row r="1500" spans="1:10">
      <c r="A1500" s="2">
        <v>45684</v>
      </c>
      <c r="B1500" s="1">
        <v>1218.82</v>
      </c>
      <c r="C1500" s="1">
        <v>3855.65</v>
      </c>
      <c r="D1500" s="1">
        <v>790.95</v>
      </c>
      <c r="E1500" s="1">
        <v>1732.15</v>
      </c>
      <c r="F1500" s="1">
        <v>405.64</v>
      </c>
      <c r="G1500" s="1">
        <v>11747.45</v>
      </c>
      <c r="H1500" s="1">
        <v>1754.3</v>
      </c>
      <c r="I1500" s="1">
        <v>3392.56</v>
      </c>
      <c r="J1500" s="1">
        <v>22829.15</v>
      </c>
    </row>
    <row r="1501" spans="1:10">
      <c r="A1501" s="2">
        <v>45685</v>
      </c>
      <c r="B1501" s="1">
        <v>1223.83</v>
      </c>
      <c r="C1501" s="1">
        <v>3832.08</v>
      </c>
      <c r="D1501" s="1">
        <v>810.65</v>
      </c>
      <c r="E1501" s="1">
        <v>1739.51</v>
      </c>
      <c r="F1501" s="1">
        <v>401.35</v>
      </c>
      <c r="G1501" s="1">
        <v>11874.68</v>
      </c>
      <c r="H1501" s="1">
        <v>1674.43</v>
      </c>
      <c r="I1501" s="1">
        <v>3349.64</v>
      </c>
      <c r="J1501" s="1">
        <v>22957.25</v>
      </c>
    </row>
    <row r="1502" spans="1:10">
      <c r="A1502" s="2">
        <v>45686</v>
      </c>
      <c r="B1502" s="1">
        <v>1224.92</v>
      </c>
      <c r="C1502" s="1">
        <v>3888.51</v>
      </c>
      <c r="D1502" s="1">
        <v>814</v>
      </c>
      <c r="E1502" s="1">
        <v>1788.47</v>
      </c>
      <c r="F1502" s="1">
        <v>399.42</v>
      </c>
      <c r="G1502" s="1">
        <v>11731.82</v>
      </c>
      <c r="H1502" s="1">
        <v>1703.73</v>
      </c>
      <c r="I1502" s="1">
        <v>3384.76</v>
      </c>
      <c r="J1502" s="1">
        <v>23163.1</v>
      </c>
    </row>
    <row r="1503" spans="1:10">
      <c r="A1503" s="2">
        <v>45687</v>
      </c>
      <c r="B1503" s="1">
        <v>1242.32</v>
      </c>
      <c r="C1503" s="1">
        <v>3888.75</v>
      </c>
      <c r="D1503" s="1">
        <v>820.89</v>
      </c>
      <c r="E1503" s="1">
        <v>1768.22</v>
      </c>
      <c r="F1503" s="1">
        <v>402.04</v>
      </c>
      <c r="G1503" s="1">
        <v>11753.47</v>
      </c>
      <c r="H1503" s="1">
        <v>1707.41</v>
      </c>
      <c r="I1503" s="1">
        <v>3356.56</v>
      </c>
      <c r="J1503" s="1">
        <v>23249.5</v>
      </c>
    </row>
    <row r="1504" spans="1:10">
      <c r="A1504" s="2">
        <v>45688</v>
      </c>
      <c r="B1504" s="1">
        <v>1254.27</v>
      </c>
      <c r="C1504" s="1">
        <v>3900.46</v>
      </c>
      <c r="D1504" s="1">
        <v>824.41</v>
      </c>
      <c r="E1504" s="1">
        <v>1787.1</v>
      </c>
      <c r="F1504" s="1">
        <v>412.46</v>
      </c>
      <c r="G1504" s="1">
        <v>12057.74</v>
      </c>
      <c r="H1504" s="1">
        <v>1712.18</v>
      </c>
      <c r="I1504" s="1">
        <v>3500.25</v>
      </c>
      <c r="J1504" s="1">
        <v>23508.400000000001</v>
      </c>
    </row>
    <row r="1505" spans="1:10">
      <c r="A1505" s="2">
        <v>45689</v>
      </c>
      <c r="B1505" s="1">
        <v>1253.77</v>
      </c>
      <c r="C1505" s="1">
        <v>3863.24</v>
      </c>
      <c r="D1505" s="1">
        <v>820.63</v>
      </c>
      <c r="E1505" s="1">
        <v>1760.05</v>
      </c>
      <c r="F1505" s="1">
        <v>426.33</v>
      </c>
      <c r="G1505" s="1">
        <v>12651.14</v>
      </c>
      <c r="H1505" s="1">
        <v>1710.46</v>
      </c>
      <c r="I1505" s="1">
        <v>3382.61</v>
      </c>
      <c r="J1505" s="1">
        <v>23482.15</v>
      </c>
    </row>
    <row r="1506" spans="1:10">
      <c r="A1506" s="2">
        <v>45691</v>
      </c>
      <c r="B1506" s="1">
        <v>1235.23</v>
      </c>
      <c r="C1506" s="1">
        <v>3858.97</v>
      </c>
      <c r="D1506" s="1">
        <v>814.34</v>
      </c>
      <c r="E1506" s="1">
        <v>1771.41</v>
      </c>
      <c r="F1506" s="1">
        <v>418.77</v>
      </c>
      <c r="G1506" s="1">
        <v>12870</v>
      </c>
      <c r="H1506" s="1">
        <v>1708.89</v>
      </c>
      <c r="I1506" s="1">
        <v>3227.29</v>
      </c>
      <c r="J1506" s="1">
        <v>23361.05</v>
      </c>
    </row>
    <row r="1507" spans="1:10">
      <c r="A1507" s="2">
        <v>45692</v>
      </c>
      <c r="B1507" s="1">
        <v>1274.2</v>
      </c>
      <c r="C1507" s="1">
        <v>3895.39</v>
      </c>
      <c r="D1507" s="1">
        <v>835.16</v>
      </c>
      <c r="E1507" s="1">
        <v>1805.16</v>
      </c>
      <c r="F1507" s="1">
        <v>419.51</v>
      </c>
      <c r="G1507" s="1">
        <v>12840.62</v>
      </c>
      <c r="H1507" s="1">
        <v>1733.09</v>
      </c>
      <c r="I1507" s="1">
        <v>3374.41</v>
      </c>
      <c r="J1507" s="1">
        <v>23739.25</v>
      </c>
    </row>
    <row r="1508" spans="1:10">
      <c r="A1508" s="2">
        <v>45693</v>
      </c>
      <c r="B1508" s="1">
        <v>1267.26</v>
      </c>
      <c r="C1508" s="1">
        <v>3880.26</v>
      </c>
      <c r="D1508" s="1">
        <v>843.36</v>
      </c>
      <c r="E1508" s="1">
        <v>1803.5</v>
      </c>
      <c r="F1508" s="1">
        <v>413.06</v>
      </c>
      <c r="G1508" s="1">
        <v>12817.94</v>
      </c>
      <c r="H1508" s="1">
        <v>1720.82</v>
      </c>
      <c r="I1508" s="1">
        <v>3319.52</v>
      </c>
      <c r="J1508" s="1">
        <v>23696.3</v>
      </c>
    </row>
    <row r="1509" spans="1:10">
      <c r="A1509" s="2">
        <v>45694</v>
      </c>
      <c r="B1509" s="1">
        <v>1270.58</v>
      </c>
      <c r="C1509" s="1">
        <v>3872.34</v>
      </c>
      <c r="D1509" s="1">
        <v>846.3</v>
      </c>
      <c r="E1509" s="1">
        <v>1821.18</v>
      </c>
      <c r="F1509" s="1">
        <v>406.56</v>
      </c>
      <c r="G1509" s="1">
        <v>12805.4</v>
      </c>
      <c r="H1509" s="1">
        <v>1720.57</v>
      </c>
      <c r="I1509" s="1">
        <v>3289.64</v>
      </c>
      <c r="J1509" s="1">
        <v>23603.35</v>
      </c>
    </row>
    <row r="1510" spans="1:10">
      <c r="A1510" s="2">
        <v>45695</v>
      </c>
      <c r="B1510" s="1">
        <v>1255.8499999999999</v>
      </c>
      <c r="C1510" s="1">
        <v>3821.74</v>
      </c>
      <c r="D1510" s="1">
        <v>840.91</v>
      </c>
      <c r="E1510" s="1">
        <v>1809.77</v>
      </c>
      <c r="F1510" s="1">
        <v>397.11</v>
      </c>
      <c r="G1510" s="1">
        <v>12781.41</v>
      </c>
      <c r="H1510" s="1">
        <v>1728.27</v>
      </c>
      <c r="I1510" s="1">
        <v>3274.09</v>
      </c>
      <c r="J1510" s="1">
        <v>23559.95</v>
      </c>
    </row>
    <row r="1511" spans="1:10">
      <c r="A1511" s="2">
        <v>45698</v>
      </c>
      <c r="B1511" s="1">
        <v>1242.92</v>
      </c>
      <c r="C1511" s="1">
        <v>3828.9</v>
      </c>
      <c r="D1511" s="1">
        <v>832.66</v>
      </c>
      <c r="E1511" s="1">
        <v>1787.57</v>
      </c>
      <c r="F1511" s="1">
        <v>393.75</v>
      </c>
      <c r="G1511" s="1">
        <v>12635.71</v>
      </c>
      <c r="H1511" s="1">
        <v>1710.79</v>
      </c>
      <c r="I1511" s="1">
        <v>3265.99</v>
      </c>
      <c r="J1511" s="1">
        <v>23381.599999999999</v>
      </c>
    </row>
    <row r="1512" spans="1:10">
      <c r="A1512" s="2">
        <v>45699</v>
      </c>
      <c r="B1512" s="1">
        <v>1224.28</v>
      </c>
      <c r="C1512" s="1">
        <v>3759.28</v>
      </c>
      <c r="D1512" s="1">
        <v>825.7</v>
      </c>
      <c r="E1512" s="1">
        <v>1783.15</v>
      </c>
      <c r="F1512" s="1">
        <v>385.55</v>
      </c>
      <c r="G1512" s="1">
        <v>12462.94</v>
      </c>
      <c r="H1512" s="1">
        <v>1678.84</v>
      </c>
      <c r="I1512" s="1">
        <v>3178.67</v>
      </c>
      <c r="J1512" s="1">
        <v>23071.8</v>
      </c>
    </row>
    <row r="1513" spans="1:10">
      <c r="A1513" s="2">
        <v>45700</v>
      </c>
      <c r="B1513" s="1">
        <v>1206.1300000000001</v>
      </c>
      <c r="C1513" s="1">
        <v>3746.58</v>
      </c>
      <c r="D1513" s="1">
        <v>828.32</v>
      </c>
      <c r="E1513" s="1">
        <v>1771.27</v>
      </c>
      <c r="F1513" s="1">
        <v>383.77</v>
      </c>
      <c r="G1513" s="1">
        <v>12395.55</v>
      </c>
      <c r="H1513" s="1">
        <v>1673.01</v>
      </c>
      <c r="I1513" s="1">
        <v>3227.73</v>
      </c>
      <c r="J1513" s="1">
        <v>23045.25</v>
      </c>
    </row>
    <row r="1514" spans="1:10">
      <c r="A1514" s="2">
        <v>45701</v>
      </c>
      <c r="B1514" s="1">
        <v>1205.69</v>
      </c>
      <c r="C1514" s="1">
        <v>3708.64</v>
      </c>
      <c r="D1514" s="1">
        <v>823.9</v>
      </c>
      <c r="E1514" s="1">
        <v>1752.35</v>
      </c>
      <c r="F1514" s="1">
        <v>383.58</v>
      </c>
      <c r="G1514" s="1">
        <v>12410.98</v>
      </c>
      <c r="H1514" s="1">
        <v>1724.87</v>
      </c>
      <c r="I1514" s="1">
        <v>3202.22</v>
      </c>
      <c r="J1514" s="1">
        <v>23031.4</v>
      </c>
    </row>
    <row r="1515" spans="1:10">
      <c r="A1515" s="2">
        <v>45702</v>
      </c>
      <c r="B1515" s="1">
        <v>1206.83</v>
      </c>
      <c r="C1515" s="1">
        <v>3732.06</v>
      </c>
      <c r="D1515" s="1">
        <v>822.52</v>
      </c>
      <c r="E1515" s="1">
        <v>1764.85</v>
      </c>
      <c r="F1515" s="1">
        <v>384.09</v>
      </c>
      <c r="G1515" s="1">
        <v>12419.74</v>
      </c>
      <c r="H1515" s="1">
        <v>1679.58</v>
      </c>
      <c r="I1515" s="1">
        <v>3176.71</v>
      </c>
      <c r="J1515" s="1">
        <v>22929.25</v>
      </c>
    </row>
    <row r="1516" spans="1:10">
      <c r="A1516" s="2">
        <v>45705</v>
      </c>
      <c r="B1516" s="1">
        <v>1214.4100000000001</v>
      </c>
      <c r="C1516" s="1">
        <v>3703.28</v>
      </c>
      <c r="D1516" s="1">
        <v>833.44</v>
      </c>
      <c r="E1516" s="1">
        <v>1751.45</v>
      </c>
      <c r="F1516" s="1">
        <v>382.55</v>
      </c>
      <c r="G1516" s="1">
        <v>12500.7</v>
      </c>
      <c r="H1516" s="1">
        <v>1693.11</v>
      </c>
      <c r="I1516" s="1">
        <v>3161.2</v>
      </c>
      <c r="J1516" s="1">
        <v>22959.5</v>
      </c>
    </row>
    <row r="1517" spans="1:10">
      <c r="A1517" s="2">
        <v>45706</v>
      </c>
      <c r="B1517" s="1">
        <v>1214.9100000000001</v>
      </c>
      <c r="C1517" s="1">
        <v>3673.59</v>
      </c>
      <c r="D1517" s="1">
        <v>836.2</v>
      </c>
      <c r="E1517" s="1">
        <v>1760.62</v>
      </c>
      <c r="F1517" s="1">
        <v>379.41</v>
      </c>
      <c r="G1517" s="1">
        <v>12523.52</v>
      </c>
      <c r="H1517" s="1">
        <v>1680.67</v>
      </c>
      <c r="I1517" s="1">
        <v>3159.53</v>
      </c>
      <c r="J1517" s="1">
        <v>22945.3</v>
      </c>
    </row>
    <row r="1518" spans="1:10">
      <c r="A1518" s="2">
        <v>45707</v>
      </c>
      <c r="B1518" s="1">
        <v>1216.94</v>
      </c>
      <c r="C1518" s="1">
        <v>3589.08</v>
      </c>
      <c r="D1518" s="1">
        <v>838.22</v>
      </c>
      <c r="E1518" s="1">
        <v>1721.5</v>
      </c>
      <c r="F1518" s="1">
        <v>380.49</v>
      </c>
      <c r="G1518" s="1">
        <v>12425.52</v>
      </c>
      <c r="H1518" s="1">
        <v>1655.97</v>
      </c>
      <c r="I1518" s="1">
        <v>3214.24</v>
      </c>
      <c r="J1518" s="1">
        <v>22932.9</v>
      </c>
    </row>
    <row r="1519" spans="1:10">
      <c r="A1519" s="2">
        <v>45708</v>
      </c>
      <c r="B1519" s="1">
        <v>1222.44</v>
      </c>
      <c r="C1519" s="1">
        <v>3584.62</v>
      </c>
      <c r="D1519" s="1">
        <v>818.76</v>
      </c>
      <c r="E1519" s="1">
        <v>1735.14</v>
      </c>
      <c r="F1519" s="1">
        <v>376.42</v>
      </c>
      <c r="G1519" s="1">
        <v>12185.07</v>
      </c>
      <c r="H1519" s="1">
        <v>1648.76</v>
      </c>
      <c r="I1519" s="1">
        <v>3214.14</v>
      </c>
      <c r="J1519" s="1">
        <v>22913.15</v>
      </c>
    </row>
    <row r="1520" spans="1:10">
      <c r="A1520" s="2">
        <v>45709</v>
      </c>
      <c r="B1520" s="1">
        <v>1217.6300000000001</v>
      </c>
      <c r="C1520" s="1">
        <v>3590.89</v>
      </c>
      <c r="D1520" s="1">
        <v>821.38</v>
      </c>
      <c r="E1520" s="1">
        <v>1725.49</v>
      </c>
      <c r="F1520" s="1">
        <v>375.34</v>
      </c>
      <c r="G1520" s="1">
        <v>12070.27</v>
      </c>
      <c r="H1520" s="1">
        <v>1623.53</v>
      </c>
      <c r="I1520" s="1">
        <v>3252.7</v>
      </c>
      <c r="J1520" s="1">
        <v>22795.9</v>
      </c>
    </row>
    <row r="1521" spans="1:10">
      <c r="A1521" s="2">
        <v>45712</v>
      </c>
      <c r="B1521" s="1">
        <v>1204.1500000000001</v>
      </c>
      <c r="C1521" s="1">
        <v>3486.17</v>
      </c>
      <c r="D1521" s="1">
        <v>813.9</v>
      </c>
      <c r="E1521" s="1">
        <v>1677.1</v>
      </c>
      <c r="F1521" s="1">
        <v>376.28</v>
      </c>
      <c r="G1521" s="1">
        <v>12091.58</v>
      </c>
      <c r="H1521" s="1">
        <v>1619.33</v>
      </c>
      <c r="I1521" s="1">
        <v>3196.38</v>
      </c>
      <c r="J1521" s="1">
        <v>22553.35</v>
      </c>
    </row>
    <row r="1522" spans="1:10">
      <c r="A1522" s="2">
        <v>45713</v>
      </c>
      <c r="B1522" s="1">
        <v>1193.69</v>
      </c>
      <c r="C1522" s="1">
        <v>3442.5</v>
      </c>
      <c r="D1522" s="1">
        <v>816.45</v>
      </c>
      <c r="E1522" s="1">
        <v>1680.52</v>
      </c>
      <c r="F1522" s="1">
        <v>379.04</v>
      </c>
      <c r="G1522" s="1">
        <v>12220.03</v>
      </c>
      <c r="H1522" s="1">
        <v>1593.75</v>
      </c>
      <c r="I1522" s="1">
        <v>3165.18</v>
      </c>
      <c r="J1522" s="1">
        <v>22547.55</v>
      </c>
    </row>
    <row r="1523" spans="1:10">
      <c r="A1523" s="2">
        <v>45715</v>
      </c>
      <c r="B1523" s="1">
        <v>1196.76</v>
      </c>
      <c r="C1523" s="1">
        <v>3426.37</v>
      </c>
      <c r="D1523" s="1">
        <v>825.36</v>
      </c>
      <c r="E1523" s="1">
        <v>1677.29</v>
      </c>
      <c r="F1523" s="1">
        <v>376</v>
      </c>
      <c r="G1523" s="1">
        <v>12126.25</v>
      </c>
      <c r="H1523" s="1">
        <v>1627.23</v>
      </c>
      <c r="I1523" s="1">
        <v>3149.09</v>
      </c>
      <c r="J1523" s="1">
        <v>22545.05</v>
      </c>
    </row>
    <row r="1524" spans="1:10">
      <c r="A1524" s="2">
        <v>45716</v>
      </c>
      <c r="B1524" s="1">
        <v>1189.82</v>
      </c>
      <c r="C1524" s="1">
        <v>3303.74</v>
      </c>
      <c r="D1524" s="1">
        <v>840.74</v>
      </c>
      <c r="E1524" s="1">
        <v>1604.47</v>
      </c>
      <c r="F1524" s="1">
        <v>369.82</v>
      </c>
      <c r="G1524" s="1">
        <v>11700.43</v>
      </c>
      <c r="H1524" s="1">
        <v>1573.65</v>
      </c>
      <c r="I1524" s="1">
        <v>3104.29</v>
      </c>
      <c r="J1524" s="1">
        <v>22124.7</v>
      </c>
    </row>
    <row r="1525" spans="1:10">
      <c r="A1525" s="2">
        <v>45719</v>
      </c>
      <c r="B1525" s="1">
        <v>1161.22</v>
      </c>
      <c r="C1525" s="1">
        <v>3313.03</v>
      </c>
      <c r="D1525" s="1">
        <v>825.77</v>
      </c>
      <c r="E1525" s="1">
        <v>1624.34</v>
      </c>
      <c r="F1525" s="1">
        <v>372.11</v>
      </c>
      <c r="G1525" s="1">
        <v>11533.68</v>
      </c>
      <c r="H1525" s="1">
        <v>1565.6</v>
      </c>
      <c r="I1525" s="1">
        <v>3137.12</v>
      </c>
      <c r="J1525" s="1">
        <v>22119.3</v>
      </c>
    </row>
    <row r="1526" spans="1:10">
      <c r="A1526" s="2">
        <v>45720</v>
      </c>
      <c r="B1526" s="1">
        <v>1151.95</v>
      </c>
      <c r="C1526" s="1">
        <v>3350.02</v>
      </c>
      <c r="D1526" s="1">
        <v>829.87</v>
      </c>
      <c r="E1526" s="1">
        <v>1605.04</v>
      </c>
      <c r="F1526" s="1">
        <v>369.68</v>
      </c>
      <c r="G1526" s="1">
        <v>11377.6</v>
      </c>
      <c r="H1526" s="1">
        <v>1547.23</v>
      </c>
      <c r="I1526" s="1">
        <v>3152.52</v>
      </c>
      <c r="J1526" s="1">
        <v>22082.65</v>
      </c>
    </row>
    <row r="1527" spans="1:10">
      <c r="A1527" s="2">
        <v>45721</v>
      </c>
      <c r="B1527" s="1">
        <v>1165.53</v>
      </c>
      <c r="C1527" s="1">
        <v>3364.25</v>
      </c>
      <c r="D1527" s="1">
        <v>820.17</v>
      </c>
      <c r="E1527" s="1">
        <v>1627.1</v>
      </c>
      <c r="F1527" s="1">
        <v>379.23</v>
      </c>
      <c r="G1527" s="1">
        <v>11378.68</v>
      </c>
      <c r="H1527" s="1">
        <v>1562.98</v>
      </c>
      <c r="I1527" s="1">
        <v>3178.67</v>
      </c>
      <c r="J1527" s="1">
        <v>22337.3</v>
      </c>
    </row>
    <row r="1528" spans="1:10">
      <c r="A1528" s="2">
        <v>45722</v>
      </c>
      <c r="B1528" s="1">
        <v>1199.24</v>
      </c>
      <c r="C1528" s="1">
        <v>3415.99</v>
      </c>
      <c r="D1528" s="1">
        <v>820.75</v>
      </c>
      <c r="E1528" s="1">
        <v>1631.23</v>
      </c>
      <c r="F1528" s="1">
        <v>379.83</v>
      </c>
      <c r="G1528" s="1">
        <v>11426.72</v>
      </c>
      <c r="H1528" s="1">
        <v>1594.14</v>
      </c>
      <c r="I1528" s="1">
        <v>3198.54</v>
      </c>
      <c r="J1528" s="1">
        <v>22544.7</v>
      </c>
    </row>
    <row r="1529" spans="1:10">
      <c r="A1529" s="2">
        <v>45723</v>
      </c>
      <c r="B1529" s="1">
        <v>1239.0999999999999</v>
      </c>
      <c r="C1529" s="1">
        <v>3425.09</v>
      </c>
      <c r="D1529" s="1">
        <v>819.8</v>
      </c>
      <c r="E1529" s="1">
        <v>1602.85</v>
      </c>
      <c r="F1529" s="1">
        <v>378.15</v>
      </c>
      <c r="G1529" s="1">
        <v>11424.52</v>
      </c>
      <c r="H1529" s="1">
        <v>1589.5</v>
      </c>
      <c r="I1529" s="1">
        <v>3183.62</v>
      </c>
      <c r="J1529" s="1">
        <v>22552.5</v>
      </c>
    </row>
    <row r="1530" spans="1:10">
      <c r="A1530" s="2">
        <v>45726</v>
      </c>
      <c r="B1530" s="1">
        <v>1227.8</v>
      </c>
      <c r="C1530" s="1">
        <v>3404.65</v>
      </c>
      <c r="D1530" s="1">
        <v>818.95</v>
      </c>
      <c r="E1530" s="1">
        <v>1617.54</v>
      </c>
      <c r="F1530" s="1">
        <v>379.18</v>
      </c>
      <c r="G1530" s="1">
        <v>11348.02</v>
      </c>
      <c r="H1530" s="1">
        <v>1591.67</v>
      </c>
      <c r="I1530" s="1">
        <v>3117.88</v>
      </c>
      <c r="J1530" s="1">
        <v>22460.3</v>
      </c>
    </row>
    <row r="1531" spans="1:10">
      <c r="A1531" s="2">
        <v>45727</v>
      </c>
      <c r="B1531" s="1">
        <v>1236.6199999999999</v>
      </c>
      <c r="C1531" s="1">
        <v>3391.04</v>
      </c>
      <c r="D1531" s="1">
        <v>817.98</v>
      </c>
      <c r="E1531" s="1">
        <v>1579.66</v>
      </c>
      <c r="F1531" s="1">
        <v>380.3</v>
      </c>
      <c r="G1531" s="1">
        <v>11407.67</v>
      </c>
      <c r="H1531" s="1">
        <v>1634.94</v>
      </c>
      <c r="I1531" s="1">
        <v>3135.3</v>
      </c>
      <c r="J1531" s="1">
        <v>22497.9</v>
      </c>
    </row>
    <row r="1532" spans="1:10">
      <c r="A1532" s="2">
        <v>45728</v>
      </c>
      <c r="B1532" s="1">
        <v>1246.29</v>
      </c>
      <c r="C1532" s="1">
        <v>3325.5</v>
      </c>
      <c r="D1532" s="1">
        <v>830.43</v>
      </c>
      <c r="E1532" s="1">
        <v>1512.4</v>
      </c>
      <c r="F1532" s="1">
        <v>386.11</v>
      </c>
      <c r="G1532" s="1">
        <v>11400.96</v>
      </c>
      <c r="H1532" s="1">
        <v>1656.22</v>
      </c>
      <c r="I1532" s="1">
        <v>3133.53</v>
      </c>
      <c r="J1532" s="1">
        <v>22470.5</v>
      </c>
    </row>
    <row r="1533" spans="1:10">
      <c r="A1533" s="2">
        <v>45729</v>
      </c>
      <c r="B1533" s="1">
        <v>1237.22</v>
      </c>
      <c r="C1533" s="1">
        <v>3330.1</v>
      </c>
      <c r="D1533" s="1">
        <v>828.22</v>
      </c>
      <c r="E1533" s="1">
        <v>1501.94</v>
      </c>
      <c r="F1533" s="1">
        <v>385.78</v>
      </c>
      <c r="G1533" s="1">
        <v>11277.26</v>
      </c>
      <c r="H1533" s="1">
        <v>1662.74</v>
      </c>
      <c r="I1533" s="1">
        <v>3127.3</v>
      </c>
      <c r="J1533" s="1">
        <v>22397.200000000001</v>
      </c>
    </row>
    <row r="1534" spans="1:10">
      <c r="A1534" s="2">
        <v>45733</v>
      </c>
      <c r="B1534" s="1">
        <v>1228.24</v>
      </c>
      <c r="C1534" s="1">
        <v>3317.44</v>
      </c>
      <c r="D1534" s="1">
        <v>830.07</v>
      </c>
      <c r="E1534" s="1">
        <v>1511.64</v>
      </c>
      <c r="F1534" s="1">
        <v>381.94</v>
      </c>
      <c r="G1534" s="1">
        <v>11316.34</v>
      </c>
      <c r="H1534" s="1">
        <v>1683.33</v>
      </c>
      <c r="I1534" s="1">
        <v>3113.71</v>
      </c>
      <c r="J1534" s="1">
        <v>22508.75</v>
      </c>
    </row>
    <row r="1535" spans="1:10">
      <c r="A1535" s="2">
        <v>45734</v>
      </c>
      <c r="B1535" s="1">
        <v>1228.24</v>
      </c>
      <c r="C1535" s="1">
        <v>3317.44</v>
      </c>
      <c r="D1535" s="1">
        <v>830.07</v>
      </c>
      <c r="E1535" s="1">
        <v>1511.64</v>
      </c>
      <c r="F1535" s="1">
        <v>383.02</v>
      </c>
      <c r="G1535" s="1">
        <v>11316.34</v>
      </c>
      <c r="H1535" s="1">
        <v>1683.33</v>
      </c>
      <c r="I1535" s="1">
        <v>3113.71</v>
      </c>
      <c r="J1535" s="1">
        <v>22834.3</v>
      </c>
    </row>
    <row r="1536" spans="1:10">
      <c r="A1536" s="2">
        <v>45735</v>
      </c>
      <c r="B1536" s="1">
        <v>1236.47</v>
      </c>
      <c r="C1536" s="1">
        <v>3316.87</v>
      </c>
      <c r="D1536" s="1">
        <v>846.42</v>
      </c>
      <c r="E1536" s="1">
        <v>1508.31</v>
      </c>
      <c r="F1536" s="1">
        <v>377.35</v>
      </c>
      <c r="G1536" s="1">
        <v>11376.92</v>
      </c>
      <c r="H1536" s="1">
        <v>1711.04</v>
      </c>
      <c r="I1536" s="1">
        <v>3257.06</v>
      </c>
      <c r="J1536" s="1">
        <v>22907.599999999999</v>
      </c>
    </row>
    <row r="1537" spans="1:10">
      <c r="A1537" s="2">
        <v>45736</v>
      </c>
      <c r="B1537" s="1">
        <v>1258.28</v>
      </c>
      <c r="C1537" s="1">
        <v>3379.52</v>
      </c>
      <c r="D1537" s="1">
        <v>858.38</v>
      </c>
      <c r="E1537" s="1">
        <v>1535.88</v>
      </c>
      <c r="F1537" s="1">
        <v>378.2</v>
      </c>
      <c r="G1537" s="1">
        <v>11489.21</v>
      </c>
      <c r="H1537" s="1">
        <v>1728.72</v>
      </c>
      <c r="I1537" s="1">
        <v>3287.97</v>
      </c>
      <c r="J1537" s="1">
        <v>23190.65</v>
      </c>
    </row>
    <row r="1538" spans="1:10">
      <c r="A1538" s="2">
        <v>45737</v>
      </c>
      <c r="B1538" s="1">
        <v>1265.42</v>
      </c>
      <c r="C1538" s="1">
        <v>3393.7</v>
      </c>
      <c r="D1538" s="1">
        <v>859.16</v>
      </c>
      <c r="E1538" s="1">
        <v>1514.01</v>
      </c>
      <c r="F1538" s="1">
        <v>379.69</v>
      </c>
      <c r="G1538" s="1">
        <v>11491.76</v>
      </c>
      <c r="H1538" s="1">
        <v>1762.55</v>
      </c>
      <c r="I1538" s="1">
        <v>3351.65</v>
      </c>
      <c r="J1538" s="1">
        <v>23350.400000000001</v>
      </c>
    </row>
    <row r="1539" spans="1:10">
      <c r="A1539" s="2">
        <v>45740</v>
      </c>
      <c r="B1539" s="1">
        <v>1290.95</v>
      </c>
      <c r="C1539" s="1">
        <v>3441.93</v>
      </c>
      <c r="D1539" s="1">
        <v>873.55</v>
      </c>
      <c r="E1539" s="1">
        <v>1514.2</v>
      </c>
      <c r="F1539" s="1">
        <v>384.7</v>
      </c>
      <c r="G1539" s="1">
        <v>11677.32</v>
      </c>
      <c r="H1539" s="1">
        <v>1762.84</v>
      </c>
      <c r="I1539" s="1">
        <v>3416.31</v>
      </c>
      <c r="J1539" s="1">
        <v>23658.35</v>
      </c>
    </row>
    <row r="1540" spans="1:10">
      <c r="A1540" s="2">
        <v>45741</v>
      </c>
      <c r="B1540" s="1">
        <v>1274.44</v>
      </c>
      <c r="C1540" s="1">
        <v>3469.24</v>
      </c>
      <c r="D1540" s="1">
        <v>883.96</v>
      </c>
      <c r="E1540" s="1">
        <v>1548.14</v>
      </c>
      <c r="F1540" s="1">
        <v>383.67</v>
      </c>
      <c r="G1540" s="1">
        <v>11625.06</v>
      </c>
      <c r="H1540" s="1">
        <v>1743.04</v>
      </c>
      <c r="I1540" s="1">
        <v>3404.29</v>
      </c>
      <c r="J1540" s="1">
        <v>23668.65</v>
      </c>
    </row>
    <row r="1541" spans="1:10">
      <c r="A1541" s="2">
        <v>45742</v>
      </c>
      <c r="B1541" s="1">
        <v>1262.1500000000001</v>
      </c>
      <c r="C1541" s="1">
        <v>3448.43</v>
      </c>
      <c r="D1541" s="1">
        <v>876.73</v>
      </c>
      <c r="E1541" s="1">
        <v>1520.57</v>
      </c>
      <c r="F1541" s="1">
        <v>381.38</v>
      </c>
      <c r="G1541" s="1">
        <v>11493.23</v>
      </c>
      <c r="H1541" s="1">
        <v>1737.31</v>
      </c>
      <c r="I1541" s="1">
        <v>3379.96</v>
      </c>
      <c r="J1541" s="1">
        <v>23486.85</v>
      </c>
    </row>
    <row r="1542" spans="1:10">
      <c r="A1542" s="2">
        <v>45743</v>
      </c>
      <c r="B1542" s="1">
        <v>1267.26</v>
      </c>
      <c r="C1542" s="1">
        <v>3463.03</v>
      </c>
      <c r="D1542" s="1">
        <v>885.85</v>
      </c>
      <c r="E1542" s="1">
        <v>1524.47</v>
      </c>
      <c r="F1542" s="1">
        <v>383.35</v>
      </c>
      <c r="G1542" s="1">
        <v>11481.13</v>
      </c>
      <c r="H1542" s="1">
        <v>1710.15</v>
      </c>
      <c r="I1542" s="1">
        <v>3435.69</v>
      </c>
      <c r="J1542" s="1">
        <v>23591.95</v>
      </c>
    </row>
    <row r="1543" spans="1:10">
      <c r="A1543" s="2">
        <v>45744</v>
      </c>
      <c r="B1543" s="1">
        <v>1264.18</v>
      </c>
      <c r="C1543" s="1">
        <v>3420.3</v>
      </c>
      <c r="D1543" s="1">
        <v>887.23</v>
      </c>
      <c r="E1543" s="1">
        <v>1493.19</v>
      </c>
      <c r="F1543" s="1">
        <v>383.63</v>
      </c>
      <c r="G1543" s="1">
        <v>11285.44</v>
      </c>
      <c r="H1543" s="1">
        <v>1713.36</v>
      </c>
      <c r="I1543" s="1">
        <v>3426.56</v>
      </c>
      <c r="J1543" s="1">
        <v>23519.35</v>
      </c>
    </row>
    <row r="1544" spans="1:10">
      <c r="A1544" s="2">
        <v>45748</v>
      </c>
      <c r="B1544" s="1">
        <v>1241.8800000000001</v>
      </c>
      <c r="C1544" s="1">
        <v>3367.81</v>
      </c>
      <c r="D1544" s="1">
        <v>857.95</v>
      </c>
      <c r="E1544" s="1">
        <v>1451.22</v>
      </c>
      <c r="F1544" s="1">
        <v>380.72</v>
      </c>
      <c r="G1544" s="1">
        <v>11245.23</v>
      </c>
      <c r="H1544" s="1">
        <v>1677.46</v>
      </c>
      <c r="I1544" s="1">
        <v>3372.11</v>
      </c>
      <c r="J1544" s="1">
        <v>23165.7</v>
      </c>
    </row>
    <row r="1545" spans="1:10">
      <c r="A1545" s="2">
        <v>45749</v>
      </c>
      <c r="B1545" s="1">
        <v>1240.44</v>
      </c>
      <c r="C1545" s="1">
        <v>3361.31</v>
      </c>
      <c r="D1545" s="1">
        <v>872.04</v>
      </c>
      <c r="E1545" s="1">
        <v>1473.7</v>
      </c>
      <c r="F1545" s="1">
        <v>382.97</v>
      </c>
      <c r="G1545" s="1">
        <v>11475.4</v>
      </c>
      <c r="H1545" s="1">
        <v>1692.57</v>
      </c>
      <c r="I1545" s="1">
        <v>3355.52</v>
      </c>
      <c r="J1545" s="1">
        <v>23332.35</v>
      </c>
    </row>
    <row r="1546" spans="1:10">
      <c r="A1546" s="2">
        <v>45750</v>
      </c>
      <c r="B1546" s="1">
        <v>1238.01</v>
      </c>
      <c r="C1546" s="1">
        <v>3227.77</v>
      </c>
      <c r="D1546" s="1">
        <v>871.05</v>
      </c>
      <c r="E1546" s="1">
        <v>1422.7</v>
      </c>
      <c r="F1546" s="1">
        <v>383.3</v>
      </c>
      <c r="G1546" s="1">
        <v>11447.98</v>
      </c>
      <c r="H1546" s="1">
        <v>1748.22</v>
      </c>
      <c r="I1546" s="1">
        <v>3355.77</v>
      </c>
      <c r="J1546" s="1">
        <v>23250.1</v>
      </c>
    </row>
    <row r="1547" spans="1:10">
      <c r="A1547" s="2">
        <v>45751</v>
      </c>
      <c r="B1547" s="1">
        <v>1194.3900000000001</v>
      </c>
      <c r="C1547" s="1">
        <v>3129.36</v>
      </c>
      <c r="D1547" s="1">
        <v>881.94</v>
      </c>
      <c r="E1547" s="1">
        <v>1380.06</v>
      </c>
      <c r="F1547" s="1">
        <v>383.58</v>
      </c>
      <c r="G1547" s="1">
        <v>11246.11</v>
      </c>
      <c r="H1547" s="1">
        <v>1688.32</v>
      </c>
      <c r="I1547" s="1">
        <v>3198.78</v>
      </c>
      <c r="J1547" s="1">
        <v>22904.45</v>
      </c>
    </row>
    <row r="1548" spans="1:10">
      <c r="A1548" s="2">
        <v>45754</v>
      </c>
      <c r="B1548" s="1">
        <v>1155.72</v>
      </c>
      <c r="C1548" s="1">
        <v>3105.32</v>
      </c>
      <c r="D1548" s="1">
        <v>853.02</v>
      </c>
      <c r="E1548" s="1">
        <v>1327.87</v>
      </c>
      <c r="F1548" s="1">
        <v>380.16</v>
      </c>
      <c r="G1548" s="1">
        <v>11096.99</v>
      </c>
      <c r="H1548" s="1">
        <v>1645.85</v>
      </c>
      <c r="I1548" s="1">
        <v>3010.74</v>
      </c>
      <c r="J1548" s="1">
        <v>22161.599999999999</v>
      </c>
    </row>
    <row r="1549" spans="1:10">
      <c r="A1549" s="2">
        <v>45755</v>
      </c>
      <c r="B1549" s="1">
        <v>1172.08</v>
      </c>
      <c r="C1549" s="1">
        <v>3123.24</v>
      </c>
      <c r="D1549" s="1">
        <v>858.58</v>
      </c>
      <c r="E1549" s="1">
        <v>1358.34</v>
      </c>
      <c r="F1549" s="1">
        <v>386.25</v>
      </c>
      <c r="G1549" s="1">
        <v>11223.49</v>
      </c>
      <c r="H1549" s="1">
        <v>1667.58</v>
      </c>
      <c r="I1549" s="1">
        <v>3101.6</v>
      </c>
      <c r="J1549" s="1">
        <v>22535.85</v>
      </c>
    </row>
    <row r="1550" spans="1:10">
      <c r="A1550" s="2">
        <v>45756</v>
      </c>
      <c r="B1550" s="1">
        <v>1175.2</v>
      </c>
      <c r="C1550" s="1">
        <v>3079.28</v>
      </c>
      <c r="D1550" s="1">
        <v>856.56</v>
      </c>
      <c r="E1550" s="1">
        <v>1334.48</v>
      </c>
      <c r="F1550" s="1">
        <v>389.76</v>
      </c>
      <c r="G1550" s="1">
        <v>11222.02</v>
      </c>
      <c r="H1550" s="1">
        <v>1631.87</v>
      </c>
      <c r="I1550" s="1">
        <v>2996.66</v>
      </c>
      <c r="J1550" s="1">
        <v>22399.15</v>
      </c>
    </row>
    <row r="1551" spans="1:10">
      <c r="A1551" s="2">
        <v>45758</v>
      </c>
      <c r="B1551" s="1">
        <v>1208.51</v>
      </c>
      <c r="C1551" s="1">
        <v>3064.96</v>
      </c>
      <c r="D1551" s="1">
        <v>876.82</v>
      </c>
      <c r="E1551" s="1">
        <v>1339.94</v>
      </c>
      <c r="F1551" s="1">
        <v>394.67</v>
      </c>
      <c r="G1551" s="1">
        <v>11360.76</v>
      </c>
      <c r="H1551" s="1">
        <v>1666.79</v>
      </c>
      <c r="I1551" s="1">
        <v>3057.3</v>
      </c>
      <c r="J1551" s="1">
        <v>22828.55</v>
      </c>
    </row>
    <row r="1552" spans="1:10">
      <c r="A1552" s="2">
        <v>45762</v>
      </c>
      <c r="B1552" s="1">
        <v>1229.48</v>
      </c>
      <c r="C1552" s="1">
        <v>3080.8</v>
      </c>
      <c r="D1552" s="1">
        <v>905.05</v>
      </c>
      <c r="E1552" s="1">
        <v>1355.68</v>
      </c>
      <c r="F1552" s="1">
        <v>393.6</v>
      </c>
      <c r="G1552" s="1">
        <v>11611.45</v>
      </c>
      <c r="H1552" s="1">
        <v>1684.02</v>
      </c>
      <c r="I1552" s="1">
        <v>3196.28</v>
      </c>
      <c r="J1552" s="1">
        <v>23328.55</v>
      </c>
    </row>
    <row r="1553" spans="1:10">
      <c r="A1553" s="2">
        <v>45763</v>
      </c>
      <c r="B1553" s="1">
        <v>1228.69</v>
      </c>
      <c r="C1553" s="1">
        <v>3105.08</v>
      </c>
      <c r="D1553" s="1">
        <v>911.4</v>
      </c>
      <c r="E1553" s="1">
        <v>1343.41</v>
      </c>
      <c r="F1553" s="1">
        <v>397.39</v>
      </c>
      <c r="G1553" s="1">
        <v>11424.37</v>
      </c>
      <c r="H1553" s="1">
        <v>1672.27</v>
      </c>
      <c r="I1553" s="1">
        <v>3166.94</v>
      </c>
      <c r="J1553" s="1">
        <v>23437.200000000001</v>
      </c>
    </row>
    <row r="1554" spans="1:10">
      <c r="A1554" s="2">
        <v>45764</v>
      </c>
      <c r="B1554" s="1">
        <v>1263.5899999999999</v>
      </c>
      <c r="C1554" s="1">
        <v>3128.89</v>
      </c>
      <c r="D1554" s="1">
        <v>925.33</v>
      </c>
      <c r="E1554" s="1">
        <v>1349.5</v>
      </c>
      <c r="F1554" s="1">
        <v>400.01</v>
      </c>
      <c r="G1554" s="1">
        <v>11454.74</v>
      </c>
      <c r="H1554" s="1">
        <v>1729.95</v>
      </c>
      <c r="I1554" s="1">
        <v>3186.17</v>
      </c>
      <c r="J1554" s="1">
        <v>23851.65</v>
      </c>
    </row>
    <row r="1555" spans="1:10">
      <c r="A1555" s="2">
        <v>45768</v>
      </c>
      <c r="B1555" s="1">
        <v>1284.4100000000001</v>
      </c>
      <c r="C1555" s="1">
        <v>3150.42</v>
      </c>
      <c r="D1555" s="1">
        <v>935.23</v>
      </c>
      <c r="E1555" s="1">
        <v>1379.44</v>
      </c>
      <c r="F1555" s="1">
        <v>395.89</v>
      </c>
      <c r="G1555" s="1">
        <v>11503.71</v>
      </c>
      <c r="H1555" s="1">
        <v>1723.43</v>
      </c>
      <c r="I1555" s="1">
        <v>3218.75</v>
      </c>
      <c r="J1555" s="1">
        <v>24125.55</v>
      </c>
    </row>
    <row r="1556" spans="1:10">
      <c r="A1556" s="2">
        <v>45769</v>
      </c>
      <c r="B1556" s="1">
        <v>1280.1400000000001</v>
      </c>
      <c r="C1556" s="1">
        <v>3143.59</v>
      </c>
      <c r="D1556" s="1">
        <v>952.02</v>
      </c>
      <c r="E1556" s="1">
        <v>1352.63</v>
      </c>
      <c r="F1556" s="1">
        <v>405.96</v>
      </c>
      <c r="G1556" s="1">
        <v>11492.93</v>
      </c>
      <c r="H1556" s="1">
        <v>1725.9</v>
      </c>
      <c r="I1556" s="1">
        <v>3196.48</v>
      </c>
      <c r="J1556" s="1">
        <v>24167.25</v>
      </c>
    </row>
    <row r="1557" spans="1:10">
      <c r="A1557" s="2">
        <v>45770</v>
      </c>
      <c r="B1557" s="1">
        <v>1288.8699999999999</v>
      </c>
      <c r="C1557" s="1">
        <v>3237.11</v>
      </c>
      <c r="D1557" s="1">
        <v>933.68</v>
      </c>
      <c r="E1557" s="1">
        <v>1402.16</v>
      </c>
      <c r="F1557" s="1">
        <v>403.38</v>
      </c>
      <c r="G1557" s="1">
        <v>11662.38</v>
      </c>
      <c r="H1557" s="1">
        <v>1766.79</v>
      </c>
      <c r="I1557" s="1">
        <v>3238.86</v>
      </c>
      <c r="J1557" s="1">
        <v>24328.95</v>
      </c>
    </row>
    <row r="1558" spans="1:10">
      <c r="A1558" s="2">
        <v>45771</v>
      </c>
      <c r="B1558" s="1">
        <v>1290.46</v>
      </c>
      <c r="C1558" s="1">
        <v>3226.3</v>
      </c>
      <c r="D1558" s="1">
        <v>930.23</v>
      </c>
      <c r="E1558" s="1">
        <v>1398.84</v>
      </c>
      <c r="F1558" s="1">
        <v>402.63</v>
      </c>
      <c r="G1558" s="1">
        <v>11649.65</v>
      </c>
      <c r="H1558" s="1">
        <v>1781.71</v>
      </c>
      <c r="I1558" s="1">
        <v>3238.47</v>
      </c>
      <c r="J1558" s="1">
        <v>24246.7</v>
      </c>
    </row>
    <row r="1559" spans="1:10">
      <c r="A1559" s="2">
        <v>45772</v>
      </c>
      <c r="B1559" s="1">
        <v>1289.27</v>
      </c>
      <c r="C1559" s="1">
        <v>3270.3</v>
      </c>
      <c r="D1559" s="1">
        <v>927.51</v>
      </c>
      <c r="E1559" s="1">
        <v>1407.2</v>
      </c>
      <c r="F1559" s="1">
        <v>400.53</v>
      </c>
      <c r="G1559" s="1">
        <v>11457.67</v>
      </c>
      <c r="H1559" s="1">
        <v>1765.41</v>
      </c>
      <c r="I1559" s="1">
        <v>3210.51</v>
      </c>
      <c r="J1559" s="1">
        <v>24039.35</v>
      </c>
    </row>
    <row r="1560" spans="1:10">
      <c r="A1560" s="2">
        <v>45775</v>
      </c>
      <c r="B1560" s="1">
        <v>1357.08</v>
      </c>
      <c r="C1560" s="1">
        <v>3266.04</v>
      </c>
      <c r="D1560" s="1">
        <v>931.88</v>
      </c>
      <c r="E1560" s="1">
        <v>1409.01</v>
      </c>
      <c r="F1560" s="1">
        <v>401.46</v>
      </c>
      <c r="G1560" s="1">
        <v>11602.63</v>
      </c>
      <c r="H1560" s="1">
        <v>1818.94</v>
      </c>
      <c r="I1560" s="1">
        <v>3264.67</v>
      </c>
      <c r="J1560" s="1">
        <v>24328.5</v>
      </c>
    </row>
    <row r="1561" spans="1:10">
      <c r="A1561" s="2">
        <v>45776</v>
      </c>
      <c r="B1561" s="1">
        <v>1387.72</v>
      </c>
      <c r="C1561" s="1">
        <v>3293.54</v>
      </c>
      <c r="D1561" s="1">
        <v>926.35</v>
      </c>
      <c r="E1561" s="1">
        <v>1423.65</v>
      </c>
      <c r="F1561" s="1">
        <v>398.84</v>
      </c>
      <c r="G1561" s="1">
        <v>11597.74</v>
      </c>
      <c r="H1561" s="1">
        <v>1783.29</v>
      </c>
      <c r="I1561" s="1">
        <v>3259.76</v>
      </c>
      <c r="J1561" s="1">
        <v>24335.95</v>
      </c>
    </row>
    <row r="1562" spans="1:10">
      <c r="A1562" s="2">
        <v>45777</v>
      </c>
      <c r="B1562" s="1">
        <v>1392.97</v>
      </c>
      <c r="C1562" s="1">
        <v>3275.71</v>
      </c>
      <c r="D1562" s="1">
        <v>934.21</v>
      </c>
      <c r="E1562" s="1">
        <v>1426.12</v>
      </c>
      <c r="F1562" s="1">
        <v>398.65</v>
      </c>
      <c r="G1562" s="1">
        <v>12005.19</v>
      </c>
      <c r="H1562" s="1">
        <v>1809.76</v>
      </c>
      <c r="I1562" s="1">
        <v>3278.11</v>
      </c>
      <c r="J1562" s="1">
        <v>24334.2</v>
      </c>
    </row>
    <row r="1563" spans="1:10">
      <c r="A1563" s="2">
        <v>45779</v>
      </c>
      <c r="B1563" s="1">
        <v>1407.64</v>
      </c>
      <c r="C1563" s="1">
        <v>3254.18</v>
      </c>
      <c r="D1563" s="1">
        <v>932.71</v>
      </c>
      <c r="E1563" s="1">
        <v>1432.59</v>
      </c>
      <c r="F1563" s="1">
        <v>402.12</v>
      </c>
      <c r="G1563" s="1">
        <v>12150.15</v>
      </c>
      <c r="H1563" s="1">
        <v>1802.15</v>
      </c>
      <c r="I1563" s="1">
        <v>3272.12</v>
      </c>
      <c r="J1563" s="1">
        <v>24346.7</v>
      </c>
    </row>
    <row r="1564" spans="1:10">
      <c r="A1564" s="2">
        <v>45782</v>
      </c>
      <c r="B1564" s="1">
        <v>1419.05</v>
      </c>
      <c r="C1564" s="1">
        <v>3276.28</v>
      </c>
      <c r="D1564" s="1">
        <v>939.94</v>
      </c>
      <c r="E1564" s="1">
        <v>1434.2</v>
      </c>
      <c r="F1564" s="1">
        <v>409.09</v>
      </c>
      <c r="G1564" s="1">
        <v>12202.06</v>
      </c>
      <c r="H1564" s="1">
        <v>1814.01</v>
      </c>
      <c r="I1564" s="1">
        <v>3267.51</v>
      </c>
      <c r="J1564" s="1">
        <v>24461.15</v>
      </c>
    </row>
    <row r="1565" spans="1:10">
      <c r="A1565" s="2">
        <v>45783</v>
      </c>
      <c r="B1565" s="1">
        <v>1408.73</v>
      </c>
      <c r="C1565" s="1">
        <v>3281.69</v>
      </c>
      <c r="D1565" s="1">
        <v>937.46</v>
      </c>
      <c r="E1565" s="1">
        <v>1436.96</v>
      </c>
      <c r="F1565" s="1">
        <v>407.78</v>
      </c>
      <c r="G1565" s="1">
        <v>12322.53</v>
      </c>
      <c r="H1565" s="1">
        <v>1796.72</v>
      </c>
      <c r="I1565" s="1">
        <v>3271.24</v>
      </c>
      <c r="J1565" s="1">
        <v>24379.599999999999</v>
      </c>
    </row>
    <row r="1566" spans="1:10">
      <c r="A1566" s="2">
        <v>45784</v>
      </c>
      <c r="B1566" s="1">
        <v>1393.96</v>
      </c>
      <c r="C1566" s="1">
        <v>3267.55</v>
      </c>
      <c r="D1566" s="1">
        <v>944.21</v>
      </c>
      <c r="E1566" s="1">
        <v>1433.92</v>
      </c>
      <c r="F1566" s="1">
        <v>403.66</v>
      </c>
      <c r="G1566" s="1">
        <v>12373.46</v>
      </c>
      <c r="H1566" s="1">
        <v>1759.39</v>
      </c>
      <c r="I1566" s="1">
        <v>3258.88</v>
      </c>
      <c r="J1566" s="1">
        <v>24414.400000000001</v>
      </c>
    </row>
    <row r="1567" spans="1:10">
      <c r="A1567" s="2">
        <v>45785</v>
      </c>
      <c r="B1567" s="1">
        <v>1394.95</v>
      </c>
      <c r="C1567" s="1">
        <v>3271.16</v>
      </c>
      <c r="D1567" s="1">
        <v>935.91</v>
      </c>
      <c r="E1567" s="1">
        <v>1436.86</v>
      </c>
      <c r="F1567" s="1">
        <v>403.15</v>
      </c>
      <c r="G1567" s="1">
        <v>12137.42</v>
      </c>
      <c r="H1567" s="1">
        <v>1745.46</v>
      </c>
      <c r="I1567" s="1">
        <v>3261.33</v>
      </c>
      <c r="J1567" s="1">
        <v>24273.8</v>
      </c>
    </row>
    <row r="1568" spans="1:10">
      <c r="A1568" s="2">
        <v>45786</v>
      </c>
      <c r="B1568" s="1">
        <v>1365.41</v>
      </c>
      <c r="C1568" s="1">
        <v>3263</v>
      </c>
      <c r="D1568" s="1">
        <v>917.08</v>
      </c>
      <c r="E1568" s="1">
        <v>1433.25</v>
      </c>
      <c r="F1568" s="1">
        <v>396.55</v>
      </c>
      <c r="G1568" s="1">
        <v>11998.33</v>
      </c>
      <c r="H1568" s="1">
        <v>1723.34</v>
      </c>
      <c r="I1568" s="1">
        <v>3379.07</v>
      </c>
      <c r="J1568" s="1">
        <v>24008</v>
      </c>
    </row>
    <row r="1569" spans="1:10">
      <c r="A1569" s="2">
        <v>45789</v>
      </c>
      <c r="B1569" s="1">
        <v>1424.2</v>
      </c>
      <c r="C1569" s="1">
        <v>3433.82</v>
      </c>
      <c r="D1569" s="1">
        <v>949.84</v>
      </c>
      <c r="E1569" s="1">
        <v>1546.67</v>
      </c>
      <c r="F1569" s="1">
        <v>407.74</v>
      </c>
      <c r="G1569" s="1">
        <v>12356.81</v>
      </c>
      <c r="H1569" s="1">
        <v>1665.46</v>
      </c>
      <c r="I1569" s="1">
        <v>3519.68</v>
      </c>
      <c r="J1569" s="1">
        <v>24924.7</v>
      </c>
    </row>
    <row r="1570" spans="1:10">
      <c r="A1570" s="2">
        <v>45790</v>
      </c>
      <c r="B1570" s="1">
        <v>1403.58</v>
      </c>
      <c r="C1570" s="1">
        <v>3333.85</v>
      </c>
      <c r="D1570" s="1">
        <v>933.05</v>
      </c>
      <c r="E1570" s="1">
        <v>1491.24</v>
      </c>
      <c r="F1570" s="1">
        <v>400.62</v>
      </c>
      <c r="G1570" s="1">
        <v>12225.57</v>
      </c>
      <c r="H1570" s="1">
        <v>1679.09</v>
      </c>
      <c r="I1570" s="1">
        <v>3499.86</v>
      </c>
      <c r="J1570" s="1">
        <v>24578.35</v>
      </c>
    </row>
    <row r="1571" spans="1:10">
      <c r="A1571" s="2">
        <v>45791</v>
      </c>
      <c r="B1571" s="1">
        <v>1412.2</v>
      </c>
      <c r="C1571" s="1">
        <v>3365.81</v>
      </c>
      <c r="D1571" s="1">
        <v>927.22</v>
      </c>
      <c r="E1571" s="1">
        <v>1513.87</v>
      </c>
      <c r="F1571" s="1">
        <v>401.74</v>
      </c>
      <c r="G1571" s="1">
        <v>12409.71</v>
      </c>
      <c r="H1571" s="1">
        <v>1687.19</v>
      </c>
      <c r="I1571" s="1">
        <v>3505.84</v>
      </c>
      <c r="J1571" s="1">
        <v>24666.9</v>
      </c>
    </row>
    <row r="1572" spans="1:10">
      <c r="A1572" s="2">
        <v>45792</v>
      </c>
      <c r="B1572" s="1">
        <v>1441.75</v>
      </c>
      <c r="C1572" s="1">
        <v>3395.41</v>
      </c>
      <c r="D1572" s="1">
        <v>938.48</v>
      </c>
      <c r="E1572" s="1">
        <v>1533.45</v>
      </c>
      <c r="F1572" s="1">
        <v>405.07</v>
      </c>
      <c r="G1572" s="1">
        <v>12685.91</v>
      </c>
      <c r="H1572" s="1">
        <v>1718.69</v>
      </c>
      <c r="I1572" s="1">
        <v>3550.09</v>
      </c>
      <c r="J1572" s="1">
        <v>25062.1</v>
      </c>
    </row>
    <row r="1573" spans="1:10">
      <c r="A1573" s="2">
        <v>45793</v>
      </c>
      <c r="B1573" s="1">
        <v>1443.93</v>
      </c>
      <c r="C1573" s="1">
        <v>3377.77</v>
      </c>
      <c r="D1573" s="1">
        <v>938.92</v>
      </c>
      <c r="E1573" s="1">
        <v>1511.49</v>
      </c>
      <c r="F1573" s="1">
        <v>407.92</v>
      </c>
      <c r="G1573" s="1">
        <v>12728.03</v>
      </c>
      <c r="H1573" s="1">
        <v>1713.56</v>
      </c>
      <c r="I1573" s="1">
        <v>3536.85</v>
      </c>
      <c r="J1573" s="1">
        <v>25019.8</v>
      </c>
    </row>
    <row r="1574" spans="1:10">
      <c r="A1574" s="2">
        <v>45796</v>
      </c>
      <c r="B1574" s="1">
        <v>1428.46</v>
      </c>
      <c r="C1574" s="1">
        <v>3337.46</v>
      </c>
      <c r="D1574" s="1">
        <v>940.86</v>
      </c>
      <c r="E1574" s="1">
        <v>1482.88</v>
      </c>
      <c r="F1574" s="1">
        <v>407.59</v>
      </c>
      <c r="G1574" s="1">
        <v>12722.15</v>
      </c>
      <c r="H1574" s="1">
        <v>1708.91</v>
      </c>
      <c r="I1574" s="1">
        <v>3532.43</v>
      </c>
      <c r="J1574" s="1">
        <v>24945.45</v>
      </c>
    </row>
    <row r="1575" spans="1:10">
      <c r="A1575" s="2">
        <v>45797</v>
      </c>
      <c r="B1575" s="1">
        <v>1412.4</v>
      </c>
      <c r="C1575" s="1">
        <v>3318.01</v>
      </c>
      <c r="D1575" s="1">
        <v>929.31</v>
      </c>
      <c r="E1575" s="1">
        <v>1483.64</v>
      </c>
      <c r="F1575" s="1">
        <v>407.17</v>
      </c>
      <c r="G1575" s="1">
        <v>12378.36</v>
      </c>
      <c r="H1575" s="1">
        <v>1686.79</v>
      </c>
      <c r="I1575" s="1">
        <v>3500.64</v>
      </c>
      <c r="J1575" s="1">
        <v>24683.9</v>
      </c>
    </row>
    <row r="1576" spans="1:10">
      <c r="A1576" s="2">
        <v>45798</v>
      </c>
      <c r="B1576" s="1">
        <v>1416.96</v>
      </c>
      <c r="C1576" s="1">
        <v>3344.09</v>
      </c>
      <c r="D1576" s="1">
        <v>935.09</v>
      </c>
      <c r="E1576" s="1">
        <v>1491.15</v>
      </c>
      <c r="F1576" s="1">
        <v>405.39</v>
      </c>
      <c r="G1576" s="1">
        <v>12355.83</v>
      </c>
      <c r="H1576" s="1">
        <v>1710.49</v>
      </c>
      <c r="I1576" s="1">
        <v>3521.44</v>
      </c>
      <c r="J1576" s="1">
        <v>24813.45</v>
      </c>
    </row>
    <row r="1577" spans="1:10">
      <c r="A1577" s="2">
        <v>45799</v>
      </c>
      <c r="B1577" s="1">
        <v>1397.33</v>
      </c>
      <c r="C1577" s="1">
        <v>3297.81</v>
      </c>
      <c r="D1577" s="1">
        <v>931.74</v>
      </c>
      <c r="E1577" s="1">
        <v>1471.18</v>
      </c>
      <c r="F1577" s="1">
        <v>398.93</v>
      </c>
      <c r="G1577" s="1">
        <v>12189.33</v>
      </c>
      <c r="H1577" s="1">
        <v>1697.56</v>
      </c>
      <c r="I1577" s="1">
        <v>3484.55</v>
      </c>
      <c r="J1577" s="1">
        <v>24609.7</v>
      </c>
    </row>
    <row r="1578" spans="1:10">
      <c r="A1578" s="2">
        <v>45800</v>
      </c>
      <c r="B1578" s="1">
        <v>1414.58</v>
      </c>
      <c r="C1578" s="1">
        <v>3333.47</v>
      </c>
      <c r="D1578" s="1">
        <v>938.39</v>
      </c>
      <c r="E1578" s="1">
        <v>1487.63</v>
      </c>
      <c r="F1578" s="1">
        <v>408.48</v>
      </c>
      <c r="G1578" s="1">
        <v>12197.16</v>
      </c>
      <c r="H1578" s="1">
        <v>1662.89</v>
      </c>
      <c r="I1578" s="1">
        <v>3532.14</v>
      </c>
      <c r="J1578" s="1">
        <v>24853.15</v>
      </c>
    </row>
    <row r="1579" spans="1:10">
      <c r="A1579" s="2">
        <v>45803</v>
      </c>
      <c r="B1579" s="1">
        <v>1422.52</v>
      </c>
      <c r="C1579" s="1">
        <v>3355</v>
      </c>
      <c r="D1579" s="1">
        <v>941.59</v>
      </c>
      <c r="E1579" s="1">
        <v>1502.56</v>
      </c>
      <c r="F1579" s="1">
        <v>414.66</v>
      </c>
      <c r="G1579" s="1">
        <v>12165.82</v>
      </c>
      <c r="H1579" s="1">
        <v>1655.48</v>
      </c>
      <c r="I1579" s="1">
        <v>3580.02</v>
      </c>
      <c r="J1579" s="1">
        <v>25001.15</v>
      </c>
    </row>
    <row r="1580" spans="1:10">
      <c r="A1580" s="2">
        <v>45804</v>
      </c>
      <c r="B1580" s="1">
        <v>1409.92</v>
      </c>
      <c r="C1580" s="1">
        <v>3318.39</v>
      </c>
      <c r="D1580" s="1">
        <v>934.84</v>
      </c>
      <c r="E1580" s="1">
        <v>1492.67</v>
      </c>
      <c r="F1580" s="1">
        <v>406.24</v>
      </c>
      <c r="G1580" s="1">
        <v>12158.96</v>
      </c>
      <c r="H1580" s="1">
        <v>1662.69</v>
      </c>
      <c r="I1580" s="1">
        <v>3571.48</v>
      </c>
      <c r="J1580" s="1">
        <v>24826.2</v>
      </c>
    </row>
    <row r="1581" spans="1:10">
      <c r="A1581" s="2">
        <v>45805</v>
      </c>
      <c r="B1581" s="1">
        <v>1400.8</v>
      </c>
      <c r="C1581" s="1">
        <v>3317.44</v>
      </c>
      <c r="D1581" s="1">
        <v>933.48</v>
      </c>
      <c r="E1581" s="1">
        <v>1494.29</v>
      </c>
      <c r="F1581" s="1">
        <v>400.66</v>
      </c>
      <c r="G1581" s="1">
        <v>12077.67</v>
      </c>
      <c r="H1581" s="1">
        <v>1645.9</v>
      </c>
      <c r="I1581" s="1">
        <v>3577.66</v>
      </c>
      <c r="J1581" s="1">
        <v>24752.45</v>
      </c>
    </row>
    <row r="1582" spans="1:10">
      <c r="A1582" s="2">
        <v>45806</v>
      </c>
      <c r="B1582" s="1">
        <v>1405.66</v>
      </c>
      <c r="C1582" s="1">
        <v>3317.82</v>
      </c>
      <c r="D1582" s="1">
        <v>935.43</v>
      </c>
      <c r="E1582" s="1">
        <v>1507.4</v>
      </c>
      <c r="F1582" s="1">
        <v>399.28</v>
      </c>
      <c r="G1582" s="1">
        <v>12137.42</v>
      </c>
      <c r="H1582" s="1">
        <v>1678.89</v>
      </c>
      <c r="I1582" s="1">
        <v>3586.49</v>
      </c>
      <c r="J1582" s="1">
        <v>24833.599999999999</v>
      </c>
    </row>
    <row r="1583" spans="1:10">
      <c r="A1583" s="2">
        <v>45807</v>
      </c>
      <c r="B1583" s="1">
        <v>1408.73</v>
      </c>
      <c r="C1583" s="1">
        <v>3284.91</v>
      </c>
      <c r="D1583" s="1">
        <v>943.87</v>
      </c>
      <c r="E1583" s="1">
        <v>1506.54</v>
      </c>
      <c r="F1583" s="1">
        <v>398.61</v>
      </c>
      <c r="G1583" s="1">
        <v>12065.92</v>
      </c>
      <c r="H1583" s="1">
        <v>1656.96</v>
      </c>
      <c r="I1583" s="1">
        <v>3605.92</v>
      </c>
      <c r="J1583" s="1">
        <v>24750.7</v>
      </c>
    </row>
    <row r="1584" spans="1:10">
      <c r="A1584" s="2">
        <v>45810</v>
      </c>
      <c r="B1584" s="1">
        <v>1401.6</v>
      </c>
      <c r="C1584" s="1">
        <v>3272.01</v>
      </c>
      <c r="D1584" s="1">
        <v>937.66</v>
      </c>
      <c r="E1584" s="1">
        <v>1497.96</v>
      </c>
      <c r="F1584" s="1">
        <v>399.8</v>
      </c>
      <c r="G1584" s="1">
        <v>12037.51</v>
      </c>
      <c r="H1584" s="1">
        <v>1654</v>
      </c>
      <c r="I1584" s="1">
        <v>3610.34</v>
      </c>
      <c r="J1584" s="1">
        <v>24716.6</v>
      </c>
    </row>
    <row r="1585" spans="1:10">
      <c r="A1585" s="2">
        <v>45811</v>
      </c>
      <c r="B1585" s="1">
        <v>1393.47</v>
      </c>
      <c r="C1585" s="1">
        <v>3229.71</v>
      </c>
      <c r="D1585" s="1">
        <v>934.02</v>
      </c>
      <c r="E1585" s="1">
        <v>1487.55</v>
      </c>
      <c r="F1585" s="1">
        <v>397.56</v>
      </c>
      <c r="G1585" s="1">
        <v>11878.84</v>
      </c>
      <c r="H1585" s="1">
        <v>1646.99</v>
      </c>
      <c r="I1585" s="1">
        <v>3609.54</v>
      </c>
      <c r="J1585" s="1">
        <v>24542.5</v>
      </c>
    </row>
    <row r="1586" spans="1:10">
      <c r="A1586" s="2">
        <v>45812</v>
      </c>
      <c r="B1586" s="1">
        <v>1411.31</v>
      </c>
      <c r="C1586" s="1">
        <v>3235.16</v>
      </c>
      <c r="D1586" s="1">
        <v>942.07</v>
      </c>
      <c r="E1586" s="1">
        <v>1495.45</v>
      </c>
      <c r="F1586" s="1">
        <v>397.61</v>
      </c>
      <c r="G1586" s="1">
        <v>11913.12</v>
      </c>
      <c r="H1586" s="1">
        <v>1644.42</v>
      </c>
      <c r="I1586" s="1">
        <v>3591.42</v>
      </c>
      <c r="J1586" s="1">
        <v>24620.2</v>
      </c>
    </row>
    <row r="1587" spans="1:10">
      <c r="A1587" s="2">
        <v>45813</v>
      </c>
      <c r="B1587" s="1">
        <v>1430.05</v>
      </c>
      <c r="C1587" s="1">
        <v>3225.79</v>
      </c>
      <c r="D1587" s="1">
        <v>946.15</v>
      </c>
      <c r="E1587" s="1">
        <v>1498.44</v>
      </c>
      <c r="F1587" s="1">
        <v>399.61</v>
      </c>
      <c r="G1587" s="1">
        <v>11876.88</v>
      </c>
      <c r="H1587" s="1">
        <v>1662.39</v>
      </c>
      <c r="I1587" s="1">
        <v>3607.37</v>
      </c>
      <c r="J1587" s="1">
        <v>24750.9</v>
      </c>
    </row>
    <row r="1588" spans="1:10">
      <c r="A1588" s="2">
        <v>45814</v>
      </c>
      <c r="B1588" s="1">
        <v>1431.14</v>
      </c>
      <c r="C1588" s="1">
        <v>3238.32</v>
      </c>
      <c r="D1588" s="1">
        <v>960.27</v>
      </c>
      <c r="E1588" s="1">
        <v>1507.6</v>
      </c>
      <c r="F1588" s="1">
        <v>401.47</v>
      </c>
      <c r="G1588" s="1">
        <v>12205.98</v>
      </c>
      <c r="H1588" s="1">
        <v>1658.54</v>
      </c>
      <c r="I1588" s="1">
        <v>3620.93</v>
      </c>
      <c r="J1588" s="1">
        <v>25003.05</v>
      </c>
    </row>
    <row r="1589" spans="1:10">
      <c r="A1589" s="2">
        <v>45817</v>
      </c>
      <c r="B1589" s="1">
        <v>1436.4</v>
      </c>
      <c r="C1589" s="1">
        <v>3274.4</v>
      </c>
      <c r="D1589" s="1">
        <v>960.37</v>
      </c>
      <c r="E1589" s="1">
        <v>1516.37</v>
      </c>
      <c r="F1589" s="1">
        <v>403.38</v>
      </c>
      <c r="G1589" s="1">
        <v>12377.38</v>
      </c>
      <c r="H1589" s="1">
        <v>1673.55</v>
      </c>
      <c r="I1589" s="1">
        <v>3643.31</v>
      </c>
      <c r="J1589" s="1">
        <v>25103.200000000001</v>
      </c>
    </row>
    <row r="1590" spans="1:10">
      <c r="A1590" s="2">
        <v>45818</v>
      </c>
      <c r="B1590" s="1">
        <v>1426.18</v>
      </c>
      <c r="C1590" s="1">
        <v>3313.63</v>
      </c>
      <c r="D1590" s="1">
        <v>953.77</v>
      </c>
      <c r="E1590" s="1">
        <v>1538.64</v>
      </c>
      <c r="F1590" s="1">
        <v>407.14</v>
      </c>
      <c r="G1590" s="1">
        <v>12262.79</v>
      </c>
      <c r="H1590" s="1">
        <v>1668.02</v>
      </c>
      <c r="I1590" s="1">
        <v>3644.21</v>
      </c>
      <c r="J1590" s="1">
        <v>25104.25</v>
      </c>
    </row>
    <row r="1591" spans="1:10">
      <c r="A1591" s="2">
        <v>45819</v>
      </c>
      <c r="B1591" s="1">
        <v>1436.49</v>
      </c>
      <c r="C1591" s="1">
        <v>3322.24</v>
      </c>
      <c r="D1591" s="1">
        <v>946.54</v>
      </c>
      <c r="E1591" s="1">
        <v>1572.48</v>
      </c>
      <c r="F1591" s="1">
        <v>406.33</v>
      </c>
      <c r="G1591" s="1">
        <v>12196.18</v>
      </c>
      <c r="H1591" s="1">
        <v>1669.8</v>
      </c>
      <c r="I1591" s="1">
        <v>3649.16</v>
      </c>
      <c r="J1591" s="1">
        <v>25141.4</v>
      </c>
    </row>
    <row r="1592" spans="1:10">
      <c r="A1592" s="2">
        <v>45820</v>
      </c>
      <c r="B1592" s="1">
        <v>1429.26</v>
      </c>
      <c r="C1592" s="1">
        <v>3286.17</v>
      </c>
      <c r="D1592" s="1">
        <v>943.14</v>
      </c>
      <c r="E1592" s="1">
        <v>1550.79</v>
      </c>
      <c r="F1592" s="1">
        <v>401.42</v>
      </c>
      <c r="G1592" s="1">
        <v>12135.46</v>
      </c>
      <c r="H1592" s="1">
        <v>1666.64</v>
      </c>
      <c r="I1592" s="1">
        <v>3569.04</v>
      </c>
      <c r="J1592" s="1">
        <v>24888.2</v>
      </c>
    </row>
    <row r="1593" spans="1:10">
      <c r="A1593" s="2">
        <v>45821</v>
      </c>
      <c r="B1593" s="1">
        <v>1415.67</v>
      </c>
      <c r="C1593" s="1">
        <v>3297.17</v>
      </c>
      <c r="D1593" s="1">
        <v>930.62</v>
      </c>
      <c r="E1593" s="1">
        <v>1544.42</v>
      </c>
      <c r="F1593" s="1">
        <v>394.65</v>
      </c>
      <c r="G1593" s="1">
        <v>12153.09</v>
      </c>
      <c r="H1593" s="1">
        <v>1667.04</v>
      </c>
      <c r="I1593" s="1">
        <v>3552.7</v>
      </c>
      <c r="J1593" s="1">
        <v>24718.6</v>
      </c>
    </row>
    <row r="1594" spans="1:10">
      <c r="A1594" s="2">
        <v>45824</v>
      </c>
      <c r="B1594" s="1">
        <v>1425.49</v>
      </c>
      <c r="C1594" s="1">
        <v>3345.59</v>
      </c>
      <c r="D1594" s="1">
        <v>939.26</v>
      </c>
      <c r="E1594" s="1">
        <v>1565.44</v>
      </c>
      <c r="F1594" s="1">
        <v>398.75</v>
      </c>
      <c r="G1594" s="1">
        <v>12272.58</v>
      </c>
      <c r="H1594" s="1">
        <v>1664.57</v>
      </c>
      <c r="I1594" s="1">
        <v>3593.6</v>
      </c>
      <c r="J1594" s="1">
        <v>24946.5</v>
      </c>
    </row>
    <row r="1595" spans="1:10">
      <c r="A1595" s="2">
        <v>45825</v>
      </c>
      <c r="B1595" s="1">
        <v>1418.95</v>
      </c>
      <c r="C1595" s="1">
        <v>3363.77</v>
      </c>
      <c r="D1595" s="1">
        <v>936.44</v>
      </c>
      <c r="E1595" s="1">
        <v>1580.96</v>
      </c>
      <c r="F1595" s="1">
        <v>397.99</v>
      </c>
      <c r="G1595" s="1">
        <v>12336.25</v>
      </c>
      <c r="H1595" s="1">
        <v>1629.9</v>
      </c>
      <c r="I1595" s="1">
        <v>3587.26</v>
      </c>
      <c r="J1595" s="1">
        <v>24853.4</v>
      </c>
    </row>
    <row r="1596" spans="1:10">
      <c r="A1596" s="2">
        <v>45826</v>
      </c>
      <c r="B1596" s="1">
        <v>1417.86</v>
      </c>
      <c r="C1596" s="1">
        <v>3302.62</v>
      </c>
      <c r="D1596" s="1">
        <v>938.53</v>
      </c>
      <c r="E1596" s="1">
        <v>1574.21</v>
      </c>
      <c r="F1596" s="1">
        <v>396.56</v>
      </c>
      <c r="G1596" s="1">
        <v>12486.1</v>
      </c>
      <c r="H1596" s="1">
        <v>1627.73</v>
      </c>
      <c r="I1596" s="1">
        <v>3566.66</v>
      </c>
      <c r="J1596" s="1">
        <v>24812.05</v>
      </c>
    </row>
    <row r="1597" spans="1:10">
      <c r="A1597" s="2">
        <v>45827</v>
      </c>
      <c r="B1597" s="1">
        <v>1421.03</v>
      </c>
      <c r="C1597" s="1">
        <v>3276.41</v>
      </c>
      <c r="D1597" s="1">
        <v>939.21</v>
      </c>
      <c r="E1597" s="1">
        <v>1560.24</v>
      </c>
      <c r="F1597" s="1">
        <v>396.65</v>
      </c>
      <c r="G1597" s="1">
        <v>12542.91</v>
      </c>
      <c r="H1597" s="1">
        <v>1627.33</v>
      </c>
      <c r="I1597" s="1">
        <v>3586.07</v>
      </c>
      <c r="J1597" s="1">
        <v>24793.25</v>
      </c>
    </row>
    <row r="1598" spans="1:10">
      <c r="A1598" s="2">
        <v>45828</v>
      </c>
      <c r="B1598" s="1">
        <v>1453.65</v>
      </c>
      <c r="C1598" s="1">
        <v>3287.6</v>
      </c>
      <c r="D1598" s="1">
        <v>953.48</v>
      </c>
      <c r="E1598" s="1">
        <v>1564.57</v>
      </c>
      <c r="F1598" s="1">
        <v>399.09</v>
      </c>
      <c r="G1598" s="1">
        <v>12528.22</v>
      </c>
      <c r="H1598" s="1">
        <v>1644.62</v>
      </c>
      <c r="I1598" s="1">
        <v>3626.58</v>
      </c>
      <c r="J1598" s="1">
        <v>25112.400000000001</v>
      </c>
    </row>
    <row r="1599" spans="1:10">
      <c r="A1599" s="2">
        <v>45831</v>
      </c>
      <c r="B1599" s="1">
        <v>1444.33</v>
      </c>
      <c r="C1599" s="1">
        <v>3247.32</v>
      </c>
      <c r="D1599" s="1">
        <v>945.57</v>
      </c>
      <c r="E1599" s="1">
        <v>1527.07</v>
      </c>
      <c r="F1599" s="1">
        <v>394.65</v>
      </c>
      <c r="G1599" s="1">
        <v>12438.11</v>
      </c>
      <c r="H1599" s="1">
        <v>1642.05</v>
      </c>
      <c r="I1599" s="1">
        <v>3549.04</v>
      </c>
      <c r="J1599" s="1">
        <v>24971.9</v>
      </c>
    </row>
    <row r="1600" spans="1:10">
      <c r="A1600" s="2">
        <v>45832</v>
      </c>
      <c r="B1600" s="1">
        <v>1438.38</v>
      </c>
      <c r="C1600" s="1">
        <v>3244.25</v>
      </c>
      <c r="D1600" s="1">
        <v>951.63</v>
      </c>
      <c r="E1600" s="1">
        <v>1524.76</v>
      </c>
      <c r="F1600" s="1">
        <v>395.08</v>
      </c>
      <c r="G1600" s="1">
        <v>12351.92</v>
      </c>
      <c r="H1600" s="1">
        <v>1641.26</v>
      </c>
      <c r="I1600" s="1">
        <v>3569.93</v>
      </c>
      <c r="J1600" s="1">
        <v>25044.35</v>
      </c>
    </row>
    <row r="1601" spans="1:10">
      <c r="A1601" s="2">
        <v>45833</v>
      </c>
      <c r="B1601" s="1">
        <v>1454.74</v>
      </c>
      <c r="C1601" s="1">
        <v>3296.31</v>
      </c>
      <c r="D1601" s="1">
        <v>961</v>
      </c>
      <c r="E1601" s="1">
        <v>1556.86</v>
      </c>
      <c r="F1601" s="1">
        <v>396.99</v>
      </c>
      <c r="G1601" s="1">
        <v>12504.71</v>
      </c>
      <c r="H1601" s="1">
        <v>1649.06</v>
      </c>
      <c r="I1601" s="1">
        <v>3584.79</v>
      </c>
      <c r="J1601" s="1">
        <v>25244.75</v>
      </c>
    </row>
    <row r="1602" spans="1:10">
      <c r="A1602" s="2">
        <v>45834</v>
      </c>
      <c r="B1602" s="1">
        <v>1482.5</v>
      </c>
      <c r="C1602" s="1">
        <v>3293.44</v>
      </c>
      <c r="D1602" s="1">
        <v>981.19</v>
      </c>
      <c r="E1602" s="1">
        <v>1557.92</v>
      </c>
      <c r="F1602" s="1">
        <v>400.75</v>
      </c>
      <c r="G1602" s="1">
        <v>12453.78</v>
      </c>
      <c r="H1602" s="1">
        <v>1649.26</v>
      </c>
      <c r="I1602" s="1">
        <v>3624.2</v>
      </c>
      <c r="J1602" s="1">
        <v>25549</v>
      </c>
    </row>
    <row r="1603" spans="1:10">
      <c r="A1603" s="2">
        <v>45835</v>
      </c>
      <c r="B1603" s="1">
        <v>1502.43</v>
      </c>
      <c r="C1603" s="1">
        <v>3292.77</v>
      </c>
      <c r="D1603" s="1">
        <v>988.6</v>
      </c>
      <c r="E1603" s="1">
        <v>1550.21</v>
      </c>
      <c r="F1603" s="1">
        <v>399.18</v>
      </c>
      <c r="G1603" s="1">
        <v>12382.28</v>
      </c>
      <c r="H1603" s="1">
        <v>1666.84</v>
      </c>
      <c r="I1603" s="1">
        <v>3643.61</v>
      </c>
      <c r="J1603" s="1">
        <v>25637.8</v>
      </c>
    </row>
    <row r="1604" spans="1:10">
      <c r="A1604" s="2">
        <v>45838</v>
      </c>
      <c r="B1604" s="1">
        <v>1487.75</v>
      </c>
      <c r="C1604" s="1">
        <v>3312.77</v>
      </c>
      <c r="D1604" s="1">
        <v>982.02</v>
      </c>
      <c r="E1604" s="1">
        <v>1544.23</v>
      </c>
      <c r="F1604" s="1">
        <v>397.08</v>
      </c>
      <c r="G1604" s="1">
        <v>12145.25</v>
      </c>
      <c r="H1604" s="1">
        <v>1655.08</v>
      </c>
      <c r="I1604" s="1">
        <v>3634.3</v>
      </c>
      <c r="J1604" s="1">
        <v>25517.05</v>
      </c>
    </row>
    <row r="1605" spans="1:10">
      <c r="A1605" s="2">
        <v>45839</v>
      </c>
      <c r="B1605" s="1">
        <v>1515.31</v>
      </c>
      <c r="C1605" s="1">
        <v>3281.86</v>
      </c>
      <c r="D1605" s="1">
        <v>987.22</v>
      </c>
      <c r="E1605" s="1">
        <v>1549.05</v>
      </c>
      <c r="F1605" s="1">
        <v>395.8</v>
      </c>
      <c r="G1605" s="1">
        <v>12186.39</v>
      </c>
      <c r="H1605" s="1">
        <v>1646.69</v>
      </c>
      <c r="I1605" s="1">
        <v>3631.23</v>
      </c>
      <c r="J1605" s="1">
        <v>25541.8</v>
      </c>
    </row>
    <row r="1606" spans="1:10">
      <c r="A1606" s="2">
        <v>45840</v>
      </c>
      <c r="B1606" s="1">
        <v>1505.8</v>
      </c>
      <c r="C1606" s="1">
        <v>3275.74</v>
      </c>
      <c r="D1606" s="1">
        <v>974.42</v>
      </c>
      <c r="E1606" s="1">
        <v>1552.62</v>
      </c>
      <c r="F1606" s="1">
        <v>393.75</v>
      </c>
      <c r="G1606" s="1">
        <v>12362.69</v>
      </c>
      <c r="H1606" s="1">
        <v>1656.86</v>
      </c>
      <c r="I1606" s="1">
        <v>3562.01</v>
      </c>
      <c r="J1606" s="1">
        <v>25453.4</v>
      </c>
    </row>
    <row r="1607" spans="1:10">
      <c r="A1607" s="2">
        <v>45841</v>
      </c>
      <c r="B1607" s="1">
        <v>1504.8</v>
      </c>
      <c r="C1607" s="1">
        <v>3254.21</v>
      </c>
      <c r="D1607" s="1">
        <v>974.96</v>
      </c>
      <c r="E1607" s="1">
        <v>1560.52</v>
      </c>
      <c r="F1607" s="1">
        <v>394.13</v>
      </c>
      <c r="G1607" s="1">
        <v>12490.02</v>
      </c>
      <c r="H1607" s="1">
        <v>1659.04</v>
      </c>
      <c r="I1607" s="1">
        <v>3548.24</v>
      </c>
      <c r="J1607" s="1">
        <v>25405.3</v>
      </c>
    </row>
    <row r="1608" spans="1:10">
      <c r="A1608" s="2">
        <v>45842</v>
      </c>
      <c r="B1608" s="1">
        <v>1514.22</v>
      </c>
      <c r="C1608" s="1">
        <v>3272.39</v>
      </c>
      <c r="D1608" s="1">
        <v>976.04</v>
      </c>
      <c r="E1608" s="1">
        <v>1581.73</v>
      </c>
      <c r="F1608" s="1">
        <v>393.36</v>
      </c>
      <c r="G1608" s="1">
        <v>12386.2</v>
      </c>
      <c r="H1608" s="1">
        <v>1655.68</v>
      </c>
      <c r="I1608" s="1">
        <v>3559.83</v>
      </c>
      <c r="J1608" s="1">
        <v>25461</v>
      </c>
    </row>
    <row r="1609" spans="1:10">
      <c r="A1609" s="2">
        <v>45845</v>
      </c>
      <c r="B1609" s="1">
        <v>1528.3</v>
      </c>
      <c r="C1609" s="1">
        <v>3264.64</v>
      </c>
      <c r="D1609" s="1">
        <v>975.11</v>
      </c>
      <c r="E1609" s="1">
        <v>1568.53</v>
      </c>
      <c r="F1609" s="1">
        <v>396.8</v>
      </c>
      <c r="G1609" s="1">
        <v>12262.79</v>
      </c>
      <c r="H1609" s="1">
        <v>1664.7</v>
      </c>
      <c r="I1609" s="1">
        <v>3546.76</v>
      </c>
      <c r="J1609" s="1">
        <v>25461.3</v>
      </c>
    </row>
    <row r="1610" spans="1:10">
      <c r="A1610" s="2">
        <v>45846</v>
      </c>
      <c r="B1610" s="1">
        <v>1524.43</v>
      </c>
      <c r="C1610" s="1">
        <v>3259.37</v>
      </c>
      <c r="D1610" s="1">
        <v>981.97</v>
      </c>
      <c r="E1610" s="1">
        <v>1579.81</v>
      </c>
      <c r="F1610" s="1">
        <v>397.8</v>
      </c>
      <c r="G1610" s="1">
        <v>12158.96</v>
      </c>
      <c r="H1610" s="1">
        <v>1657.36</v>
      </c>
      <c r="I1610" s="1">
        <v>3571.52</v>
      </c>
      <c r="J1610" s="1">
        <v>25522.5</v>
      </c>
    </row>
    <row r="1611" spans="1:10">
      <c r="A1611" s="2">
        <v>45847</v>
      </c>
      <c r="B1611" s="1">
        <v>1505.99</v>
      </c>
      <c r="C1611" s="1">
        <v>3237.94</v>
      </c>
      <c r="D1611" s="1">
        <v>986.78</v>
      </c>
      <c r="E1611" s="1">
        <v>1574.99</v>
      </c>
      <c r="F1611" s="1">
        <v>399.94</v>
      </c>
      <c r="G1611" s="1">
        <v>12213.81</v>
      </c>
      <c r="H1611" s="1">
        <v>1654.29</v>
      </c>
      <c r="I1611" s="1">
        <v>3545.07</v>
      </c>
      <c r="J1611" s="1">
        <v>25476.1</v>
      </c>
    </row>
    <row r="1612" spans="1:10">
      <c r="A1612" s="2">
        <v>45848</v>
      </c>
      <c r="B1612" s="1">
        <v>1504.21</v>
      </c>
      <c r="C1612" s="1">
        <v>3236.22</v>
      </c>
      <c r="D1612" s="1">
        <v>984.33</v>
      </c>
      <c r="E1612" s="1">
        <v>1557.73</v>
      </c>
      <c r="F1612" s="1">
        <v>397.46</v>
      </c>
      <c r="G1612" s="1">
        <v>12390.12</v>
      </c>
      <c r="H1612" s="1">
        <v>1647.45</v>
      </c>
      <c r="I1612" s="1">
        <v>3540.12</v>
      </c>
      <c r="J1612" s="1">
        <v>25355.25</v>
      </c>
    </row>
    <row r="1613" spans="1:10">
      <c r="A1613" s="2">
        <v>45849</v>
      </c>
      <c r="B1613" s="1">
        <v>1482.4</v>
      </c>
      <c r="C1613" s="1">
        <v>3125.22</v>
      </c>
      <c r="D1613" s="1">
        <v>973.29</v>
      </c>
      <c r="E1613" s="1">
        <v>1537.58</v>
      </c>
      <c r="F1613" s="1">
        <v>397.42</v>
      </c>
      <c r="G1613" s="1">
        <v>12315.68</v>
      </c>
      <c r="H1613" s="1">
        <v>1656.87</v>
      </c>
      <c r="I1613" s="1">
        <v>3506.35</v>
      </c>
      <c r="J1613" s="1">
        <v>25149.85</v>
      </c>
    </row>
    <row r="1614" spans="1:10">
      <c r="A1614" s="2">
        <v>45852</v>
      </c>
      <c r="B1614" s="1">
        <v>1471</v>
      </c>
      <c r="C1614" s="1">
        <v>3083.78</v>
      </c>
      <c r="D1614" s="1">
        <v>972.95</v>
      </c>
      <c r="E1614" s="1">
        <v>1513.86</v>
      </c>
      <c r="F1614" s="1">
        <v>399.9</v>
      </c>
      <c r="G1614" s="1">
        <v>12256.91</v>
      </c>
      <c r="H1614" s="1">
        <v>1667.37</v>
      </c>
      <c r="I1614" s="1">
        <v>3462.08</v>
      </c>
      <c r="J1614" s="1">
        <v>25082.3</v>
      </c>
    </row>
    <row r="1615" spans="1:10">
      <c r="A1615" s="2">
        <v>45853</v>
      </c>
      <c r="B1615" s="1">
        <v>1472.68</v>
      </c>
      <c r="C1615" s="1">
        <v>3112.11</v>
      </c>
      <c r="D1615" s="1">
        <v>979.08</v>
      </c>
      <c r="E1615" s="1">
        <v>1528.61</v>
      </c>
      <c r="F1615" s="1">
        <v>402.47</v>
      </c>
      <c r="G1615" s="1">
        <v>12278.46</v>
      </c>
      <c r="H1615" s="1">
        <v>1711.86</v>
      </c>
      <c r="I1615" s="1">
        <v>3460.2</v>
      </c>
      <c r="J1615" s="1">
        <v>25195.8</v>
      </c>
    </row>
    <row r="1616" spans="1:10">
      <c r="A1616" s="2">
        <v>45854</v>
      </c>
      <c r="B1616" s="1">
        <v>1472.88</v>
      </c>
      <c r="C1616" s="1">
        <v>3104.23</v>
      </c>
      <c r="D1616" s="1">
        <v>979.47</v>
      </c>
      <c r="E1616" s="1">
        <v>1550.11</v>
      </c>
      <c r="F1616" s="1">
        <v>404.85</v>
      </c>
      <c r="G1616" s="1">
        <v>12305.88</v>
      </c>
      <c r="H1616" s="1">
        <v>1685.6</v>
      </c>
      <c r="I1616" s="1">
        <v>3469.91</v>
      </c>
      <c r="J1616" s="1">
        <v>25212.05</v>
      </c>
    </row>
    <row r="1617" spans="1:10">
      <c r="A1617" s="2">
        <v>45855</v>
      </c>
      <c r="B1617" s="1">
        <v>1463.76</v>
      </c>
      <c r="C1617" s="1">
        <v>3081.29</v>
      </c>
      <c r="D1617" s="1">
        <v>974.86</v>
      </c>
      <c r="E1617" s="1">
        <v>1526.59</v>
      </c>
      <c r="F1617" s="1">
        <v>404.23</v>
      </c>
      <c r="G1617" s="1">
        <v>12219.69</v>
      </c>
      <c r="H1617" s="1">
        <v>1687.98</v>
      </c>
      <c r="I1617" s="1">
        <v>3440.4</v>
      </c>
      <c r="J1617" s="1">
        <v>25111.45</v>
      </c>
    </row>
    <row r="1618" spans="1:10">
      <c r="A1618" s="2">
        <v>45856</v>
      </c>
      <c r="B1618" s="1">
        <v>1463.36</v>
      </c>
      <c r="C1618" s="1">
        <v>3062.76</v>
      </c>
      <c r="D1618" s="1">
        <v>960.39</v>
      </c>
      <c r="E1618" s="1">
        <v>1529.1</v>
      </c>
      <c r="F1618" s="1">
        <v>403.09</v>
      </c>
      <c r="G1618" s="1">
        <v>12163.86</v>
      </c>
      <c r="H1618" s="1">
        <v>1678.27</v>
      </c>
      <c r="I1618" s="1">
        <v>3431.29</v>
      </c>
      <c r="J1618" s="1">
        <v>24968.400000000001</v>
      </c>
    </row>
    <row r="1619" spans="1:10">
      <c r="A1619" s="2">
        <v>45859</v>
      </c>
      <c r="B1619" s="1">
        <v>1416.37</v>
      </c>
      <c r="C1619" s="1">
        <v>3032.32</v>
      </c>
      <c r="D1619" s="1">
        <v>981.53</v>
      </c>
      <c r="E1619" s="1">
        <v>1527.36</v>
      </c>
      <c r="F1619" s="1">
        <v>400.56</v>
      </c>
      <c r="G1619" s="1">
        <v>12150.15</v>
      </c>
      <c r="H1619" s="1">
        <v>1676.98</v>
      </c>
      <c r="I1619" s="1">
        <v>3468.92</v>
      </c>
      <c r="J1619" s="1">
        <v>25090.7</v>
      </c>
    </row>
    <row r="1620" spans="1:10">
      <c r="A1620" s="2">
        <v>45860</v>
      </c>
      <c r="B1620" s="1">
        <v>1400.7</v>
      </c>
      <c r="C1620" s="1">
        <v>3033.66</v>
      </c>
      <c r="D1620" s="1">
        <v>984.77</v>
      </c>
      <c r="E1620" s="1">
        <v>1514.44</v>
      </c>
      <c r="F1620" s="1">
        <v>396.65</v>
      </c>
      <c r="G1620" s="1">
        <v>12235.36</v>
      </c>
      <c r="H1620" s="1">
        <v>1662.81</v>
      </c>
      <c r="I1620" s="1">
        <v>3431.09</v>
      </c>
      <c r="J1620" s="1">
        <v>25060.9</v>
      </c>
    </row>
    <row r="1621" spans="1:10">
      <c r="A1621" s="2">
        <v>45861</v>
      </c>
      <c r="B1621" s="1">
        <v>1412.4</v>
      </c>
      <c r="C1621" s="1">
        <v>3052.39</v>
      </c>
      <c r="D1621" s="1">
        <v>993.21</v>
      </c>
      <c r="E1621" s="1">
        <v>1517.91</v>
      </c>
      <c r="F1621" s="1">
        <v>395.65</v>
      </c>
      <c r="G1621" s="1">
        <v>12367.59</v>
      </c>
      <c r="H1621" s="1">
        <v>1667.27</v>
      </c>
      <c r="I1621" s="1">
        <v>3451.19</v>
      </c>
      <c r="J1621" s="1">
        <v>25219.9</v>
      </c>
    </row>
    <row r="1622" spans="1:10">
      <c r="A1622" s="2">
        <v>45862</v>
      </c>
      <c r="B1622" s="1">
        <v>1390.89</v>
      </c>
      <c r="C1622" s="1">
        <v>3022.53</v>
      </c>
      <c r="D1622" s="1">
        <v>988.25</v>
      </c>
      <c r="E1622" s="1">
        <v>1496.7</v>
      </c>
      <c r="F1622" s="1">
        <v>390.89</v>
      </c>
      <c r="G1622" s="1">
        <v>12299.03</v>
      </c>
      <c r="H1622" s="1">
        <v>1676.69</v>
      </c>
      <c r="I1622" s="1">
        <v>3443.86</v>
      </c>
      <c r="J1622" s="1">
        <v>25062.1</v>
      </c>
    </row>
    <row r="1623" spans="1:10">
      <c r="A1623" s="2">
        <v>45863</v>
      </c>
      <c r="B1623" s="1">
        <v>1379.78</v>
      </c>
      <c r="C1623" s="1">
        <v>3010.81</v>
      </c>
      <c r="D1623" s="1">
        <v>985.99</v>
      </c>
      <c r="E1623" s="1">
        <v>1461.23</v>
      </c>
      <c r="F1623" s="1">
        <v>390.36</v>
      </c>
      <c r="G1623" s="1">
        <v>12149.17</v>
      </c>
      <c r="H1623" s="1">
        <v>1683.62</v>
      </c>
      <c r="I1623" s="1">
        <v>3409.6</v>
      </c>
      <c r="J1623" s="1">
        <v>24837</v>
      </c>
    </row>
    <row r="1624" spans="1:10">
      <c r="A1624" s="2">
        <v>45866</v>
      </c>
      <c r="B1624" s="1">
        <v>1375.72</v>
      </c>
      <c r="C1624" s="1">
        <v>2956.56</v>
      </c>
      <c r="D1624" s="1">
        <v>987.91</v>
      </c>
      <c r="E1624" s="1">
        <v>1461.52</v>
      </c>
      <c r="F1624" s="1">
        <v>390.84</v>
      </c>
      <c r="G1624" s="1">
        <v>12086.48</v>
      </c>
      <c r="H1624" s="1">
        <v>1686.79</v>
      </c>
      <c r="I1624" s="1">
        <v>3389.1</v>
      </c>
      <c r="J1624" s="1">
        <v>24680.9</v>
      </c>
    </row>
    <row r="1625" spans="1:10">
      <c r="A1625" s="2">
        <v>45867</v>
      </c>
      <c r="B1625" s="1">
        <v>1404.97</v>
      </c>
      <c r="C1625" s="1">
        <v>2934.19</v>
      </c>
      <c r="D1625" s="1">
        <v>994.35</v>
      </c>
      <c r="E1625" s="1">
        <v>1459.3</v>
      </c>
      <c r="F1625" s="1">
        <v>389.46</v>
      </c>
      <c r="G1625" s="1">
        <v>12212.83</v>
      </c>
      <c r="H1625" s="1">
        <v>1695.02</v>
      </c>
      <c r="I1625" s="1">
        <v>3461.79</v>
      </c>
      <c r="J1625" s="1">
        <v>24821.1</v>
      </c>
    </row>
    <row r="1626" spans="1:10">
      <c r="A1626" s="2">
        <v>45868</v>
      </c>
      <c r="B1626" s="1">
        <v>1398.03</v>
      </c>
      <c r="C1626" s="1">
        <v>2931.89</v>
      </c>
      <c r="D1626" s="1">
        <v>996.42</v>
      </c>
      <c r="E1626" s="1">
        <v>1464.41</v>
      </c>
      <c r="F1626" s="1">
        <v>388.65</v>
      </c>
      <c r="G1626" s="1">
        <v>12358.77</v>
      </c>
      <c r="H1626" s="1">
        <v>1718.11</v>
      </c>
      <c r="I1626" s="1">
        <v>3629.65</v>
      </c>
      <c r="J1626" s="1">
        <v>24855.05</v>
      </c>
    </row>
    <row r="1627" spans="1:10">
      <c r="A1627" s="2">
        <v>45869</v>
      </c>
      <c r="B1627" s="1">
        <v>1378.3</v>
      </c>
      <c r="C1627" s="1">
        <v>2915.76</v>
      </c>
      <c r="D1627" s="1">
        <v>992.68</v>
      </c>
      <c r="E1627" s="1">
        <v>1454.77</v>
      </c>
      <c r="F1627" s="1">
        <v>392.79</v>
      </c>
      <c r="G1627" s="1">
        <v>12348.98</v>
      </c>
      <c r="H1627" s="1">
        <v>1691.25</v>
      </c>
      <c r="I1627" s="1">
        <v>3601.32</v>
      </c>
      <c r="J1627" s="1">
        <v>24768.35</v>
      </c>
    </row>
    <row r="1628" spans="1:10">
      <c r="A1628" s="2">
        <v>45870</v>
      </c>
      <c r="B1628" s="1">
        <v>1381.77</v>
      </c>
      <c r="C1628" s="1">
        <v>2883.31</v>
      </c>
      <c r="D1628" s="1">
        <v>989.73</v>
      </c>
      <c r="E1628" s="1">
        <v>1416.78</v>
      </c>
      <c r="F1628" s="1">
        <v>397.08</v>
      </c>
      <c r="G1628" s="1">
        <v>12179.68</v>
      </c>
      <c r="H1628" s="1">
        <v>1614.95</v>
      </c>
      <c r="I1628" s="1">
        <v>3552.6</v>
      </c>
      <c r="J1628" s="1">
        <v>24565.35</v>
      </c>
    </row>
    <row r="1629" spans="1:10">
      <c r="A1629" s="2">
        <v>45873</v>
      </c>
      <c r="B1629" s="1">
        <v>1399.41</v>
      </c>
      <c r="C1629" s="1">
        <v>2951.86</v>
      </c>
      <c r="D1629" s="1">
        <v>979.79</v>
      </c>
      <c r="E1629" s="1">
        <v>1427.29</v>
      </c>
      <c r="F1629" s="1">
        <v>397.46</v>
      </c>
      <c r="G1629" s="1">
        <v>12242.05</v>
      </c>
      <c r="H1629" s="1">
        <v>1626.74</v>
      </c>
      <c r="I1629" s="1">
        <v>3595.98</v>
      </c>
      <c r="J1629" s="1">
        <v>24722.75</v>
      </c>
    </row>
    <row r="1630" spans="1:10">
      <c r="A1630" s="2">
        <v>45874</v>
      </c>
      <c r="B1630" s="1">
        <v>1379.78</v>
      </c>
      <c r="C1630" s="1">
        <v>2941.78</v>
      </c>
      <c r="D1630" s="1">
        <v>972.71</v>
      </c>
      <c r="E1630" s="1">
        <v>1407.82</v>
      </c>
      <c r="F1630" s="1">
        <v>394.89</v>
      </c>
      <c r="G1630" s="1">
        <v>12412.34</v>
      </c>
      <c r="H1630" s="1">
        <v>1617.33</v>
      </c>
      <c r="I1630" s="1">
        <v>3617.27</v>
      </c>
      <c r="J1630" s="1">
        <v>24649.55</v>
      </c>
    </row>
    <row r="1631" spans="1:10">
      <c r="A1631" s="2">
        <v>45875</v>
      </c>
      <c r="B1631" s="1">
        <v>1380.87</v>
      </c>
      <c r="C1631" s="1">
        <v>2911.44</v>
      </c>
      <c r="D1631" s="1">
        <v>976.5</v>
      </c>
      <c r="E1631" s="1">
        <v>1385.07</v>
      </c>
      <c r="F1631" s="1">
        <v>392.84</v>
      </c>
      <c r="G1631" s="1">
        <v>12399.47</v>
      </c>
      <c r="H1631" s="1">
        <v>1580.76</v>
      </c>
      <c r="I1631" s="1">
        <v>3593.3</v>
      </c>
      <c r="J1631" s="1">
        <v>24574.2</v>
      </c>
    </row>
    <row r="1632" spans="1:10">
      <c r="A1632" s="2">
        <v>45876</v>
      </c>
      <c r="B1632" s="1">
        <v>1377.5</v>
      </c>
      <c r="C1632" s="1">
        <v>2925.55</v>
      </c>
      <c r="D1632" s="1">
        <v>981.47</v>
      </c>
      <c r="E1632" s="1">
        <v>1385.26</v>
      </c>
      <c r="F1632" s="1">
        <v>394.37</v>
      </c>
      <c r="G1632" s="1">
        <v>12506.4</v>
      </c>
      <c r="H1632" s="1">
        <v>1583.93</v>
      </c>
      <c r="I1632" s="1">
        <v>3606.38</v>
      </c>
      <c r="J1632" s="1">
        <v>24596.15</v>
      </c>
    </row>
    <row r="1633" spans="1:10">
      <c r="A1633" s="2">
        <v>45877</v>
      </c>
      <c r="B1633" s="1">
        <v>1356.09</v>
      </c>
      <c r="C1633" s="1">
        <v>2915.37</v>
      </c>
      <c r="D1633" s="1">
        <v>970.89</v>
      </c>
      <c r="E1633" s="1">
        <v>1371.95</v>
      </c>
      <c r="F1633" s="1">
        <v>395.22</v>
      </c>
      <c r="G1633" s="1">
        <v>12464.82</v>
      </c>
      <c r="H1633" s="1">
        <v>1572.54</v>
      </c>
      <c r="I1633" s="1">
        <v>3572.7</v>
      </c>
      <c r="J1633" s="1">
        <v>24363.3</v>
      </c>
    </row>
    <row r="1634" spans="1:10">
      <c r="A1634" s="2">
        <v>45880</v>
      </c>
      <c r="B1634" s="1">
        <v>1374.33</v>
      </c>
      <c r="C1634" s="1">
        <v>2919.6</v>
      </c>
      <c r="D1634" s="1">
        <v>981.57</v>
      </c>
      <c r="E1634" s="1">
        <v>1376.87</v>
      </c>
      <c r="F1634" s="1">
        <v>397.46</v>
      </c>
      <c r="G1634" s="1">
        <v>12471.75</v>
      </c>
      <c r="H1634" s="1">
        <v>1593.84</v>
      </c>
      <c r="I1634" s="1">
        <v>3632.92</v>
      </c>
      <c r="J1634" s="1">
        <v>24585.05</v>
      </c>
    </row>
    <row r="1635" spans="1:10">
      <c r="A1635" s="2">
        <v>45881</v>
      </c>
      <c r="B1635" s="1">
        <v>1368.58</v>
      </c>
      <c r="C1635" s="1">
        <v>2914.41</v>
      </c>
      <c r="D1635" s="1">
        <v>968.92</v>
      </c>
      <c r="E1635" s="1">
        <v>1372.92</v>
      </c>
      <c r="F1635" s="1">
        <v>396.99</v>
      </c>
      <c r="G1635" s="1">
        <v>12712.33</v>
      </c>
      <c r="H1635" s="1">
        <v>1607.52</v>
      </c>
      <c r="I1635" s="1">
        <v>3650.44</v>
      </c>
      <c r="J1635" s="1">
        <v>24487.4</v>
      </c>
    </row>
    <row r="1636" spans="1:10">
      <c r="A1636" s="2">
        <v>45882</v>
      </c>
      <c r="B1636" s="1">
        <v>1370.76</v>
      </c>
      <c r="C1636" s="1">
        <v>2915.18</v>
      </c>
      <c r="D1636" s="1">
        <v>974.04</v>
      </c>
      <c r="E1636" s="1">
        <v>1375.33</v>
      </c>
      <c r="F1636" s="1">
        <v>394.84</v>
      </c>
      <c r="G1636" s="1">
        <v>12706.39</v>
      </c>
      <c r="H1636" s="1">
        <v>1624.96</v>
      </c>
      <c r="I1636" s="1">
        <v>3657.97</v>
      </c>
      <c r="J1636" s="1">
        <v>24619.35</v>
      </c>
    </row>
    <row r="1637" spans="1:10">
      <c r="A1637" s="2">
        <v>45883</v>
      </c>
      <c r="B1637" s="1">
        <v>1367.48</v>
      </c>
      <c r="C1637" s="1">
        <v>2901.84</v>
      </c>
      <c r="D1637" s="1">
        <v>979.35</v>
      </c>
      <c r="E1637" s="1">
        <v>1395.67</v>
      </c>
      <c r="F1637" s="1">
        <v>392.32</v>
      </c>
      <c r="G1637" s="1">
        <v>12807.38</v>
      </c>
      <c r="H1637" s="1">
        <v>1626.54</v>
      </c>
      <c r="I1637" s="1">
        <v>3641.43</v>
      </c>
      <c r="J1637" s="1">
        <v>24631.3</v>
      </c>
    </row>
    <row r="1638" spans="1:10">
      <c r="A1638" s="2">
        <v>45887</v>
      </c>
      <c r="B1638" s="1">
        <v>1375.34</v>
      </c>
      <c r="C1638" s="1">
        <v>2891.18</v>
      </c>
      <c r="D1638" s="1">
        <v>985.5</v>
      </c>
      <c r="E1638" s="1">
        <v>1384.2</v>
      </c>
      <c r="F1638" s="1">
        <v>387.41</v>
      </c>
      <c r="G1638" s="1">
        <v>13928.12</v>
      </c>
      <c r="H1638" s="1">
        <v>1617.92</v>
      </c>
      <c r="I1638" s="1">
        <v>3599.94</v>
      </c>
      <c r="J1638" s="1">
        <v>24876.95</v>
      </c>
    </row>
    <row r="1639" spans="1:10">
      <c r="A1639" s="2">
        <v>45888</v>
      </c>
      <c r="B1639" s="1">
        <v>1413.56</v>
      </c>
      <c r="C1639" s="1">
        <v>2895.98</v>
      </c>
      <c r="D1639" s="1">
        <v>979.35</v>
      </c>
      <c r="E1639" s="1">
        <v>1388.25</v>
      </c>
      <c r="F1639" s="1">
        <v>390.08</v>
      </c>
      <c r="G1639" s="1">
        <v>14108.31</v>
      </c>
      <c r="H1639" s="1">
        <v>1611.88</v>
      </c>
      <c r="I1639" s="1">
        <v>3578.05</v>
      </c>
      <c r="J1639" s="1">
        <v>24980.65</v>
      </c>
    </row>
    <row r="1640" spans="1:10">
      <c r="A1640" s="2">
        <v>45889</v>
      </c>
      <c r="B1640" s="1">
        <v>1406.5</v>
      </c>
      <c r="C1640" s="1">
        <v>2975.1</v>
      </c>
      <c r="D1640" s="1">
        <v>977.93</v>
      </c>
      <c r="E1640" s="1">
        <v>1442.43</v>
      </c>
      <c r="F1640" s="1">
        <v>387.17</v>
      </c>
      <c r="G1640" s="1">
        <v>14079.6</v>
      </c>
      <c r="H1640" s="1">
        <v>1618.32</v>
      </c>
      <c r="I1640" s="1">
        <v>3557.55</v>
      </c>
      <c r="J1640" s="1">
        <v>25050.55</v>
      </c>
    </row>
    <row r="1641" spans="1:10">
      <c r="A1641" s="2">
        <v>45890</v>
      </c>
      <c r="B1641" s="1">
        <v>1418.24</v>
      </c>
      <c r="C1641" s="1">
        <v>2978.94</v>
      </c>
      <c r="D1641" s="1">
        <v>979.4</v>
      </c>
      <c r="E1641" s="1">
        <v>1442.62</v>
      </c>
      <c r="F1641" s="1">
        <v>386.69</v>
      </c>
      <c r="G1641" s="1">
        <v>14138.01</v>
      </c>
      <c r="H1641" s="1">
        <v>1625.35</v>
      </c>
      <c r="I1641" s="1">
        <v>3577.66</v>
      </c>
      <c r="J1641" s="1">
        <v>25083.75</v>
      </c>
    </row>
    <row r="1642" spans="1:10">
      <c r="A1642" s="2">
        <v>45891</v>
      </c>
      <c r="B1642" s="1">
        <v>1402.71</v>
      </c>
      <c r="C1642" s="1">
        <v>2932.27</v>
      </c>
      <c r="D1642" s="1">
        <v>966.32</v>
      </c>
      <c r="E1642" s="1">
        <v>1434.04</v>
      </c>
      <c r="F1642" s="1">
        <v>379.78</v>
      </c>
      <c r="G1642" s="1">
        <v>14206.33</v>
      </c>
      <c r="H1642" s="1">
        <v>1626.94</v>
      </c>
      <c r="I1642" s="1">
        <v>3561.02</v>
      </c>
      <c r="J1642" s="1">
        <v>24870.1</v>
      </c>
    </row>
    <row r="1643" spans="1:10">
      <c r="A1643" s="2">
        <v>45894</v>
      </c>
      <c r="B1643" s="1">
        <v>1406.1</v>
      </c>
      <c r="C1643" s="1">
        <v>3015.42</v>
      </c>
      <c r="D1643" s="1">
        <v>966.07</v>
      </c>
      <c r="E1643" s="1">
        <v>1477.04</v>
      </c>
      <c r="F1643" s="1">
        <v>380.78</v>
      </c>
      <c r="G1643" s="1">
        <v>14308.3</v>
      </c>
      <c r="H1643" s="1">
        <v>1641.71</v>
      </c>
      <c r="I1643" s="1">
        <v>3568.25</v>
      </c>
      <c r="J1643" s="1">
        <v>24967.75</v>
      </c>
    </row>
    <row r="1644" spans="1:10">
      <c r="A1644" s="2">
        <v>45895</v>
      </c>
      <c r="B1644" s="1">
        <v>1378.53</v>
      </c>
      <c r="C1644" s="1">
        <v>3031.36</v>
      </c>
      <c r="D1644" s="1">
        <v>957.56</v>
      </c>
      <c r="E1644" s="1">
        <v>1474.63</v>
      </c>
      <c r="F1644" s="1">
        <v>384.59</v>
      </c>
      <c r="G1644" s="1">
        <v>14567.7</v>
      </c>
      <c r="H1644" s="1">
        <v>1585.82</v>
      </c>
      <c r="I1644" s="1">
        <v>3507.05</v>
      </c>
      <c r="J1644" s="1">
        <v>24712.05</v>
      </c>
    </row>
    <row r="1645" spans="1:10">
      <c r="A1645" s="2">
        <v>45897</v>
      </c>
      <c r="B1645" s="1">
        <v>1379.52</v>
      </c>
      <c r="C1645" s="1">
        <v>2970.39</v>
      </c>
      <c r="D1645" s="1">
        <v>942.22</v>
      </c>
      <c r="E1645" s="1">
        <v>1446.19</v>
      </c>
      <c r="F1645" s="1">
        <v>382.26</v>
      </c>
      <c r="G1645" s="1">
        <v>14605.32</v>
      </c>
      <c r="H1645" s="1">
        <v>1571.35</v>
      </c>
      <c r="I1645" s="1">
        <v>3525.66</v>
      </c>
      <c r="J1645" s="1">
        <v>24500.9</v>
      </c>
    </row>
    <row r="1646" spans="1:10">
      <c r="A1646" s="2">
        <v>45898</v>
      </c>
      <c r="B1646" s="1">
        <v>1350.95</v>
      </c>
      <c r="C1646" s="1">
        <v>2961.75</v>
      </c>
      <c r="D1646" s="1">
        <v>936.12</v>
      </c>
      <c r="E1646" s="1">
        <v>1416.78</v>
      </c>
      <c r="F1646" s="1">
        <v>390.7</v>
      </c>
      <c r="G1646" s="1">
        <v>14643.93</v>
      </c>
      <c r="H1646" s="1">
        <v>1580.07</v>
      </c>
      <c r="I1646" s="1">
        <v>3566.17</v>
      </c>
      <c r="J1646" s="1">
        <v>24426.85</v>
      </c>
    </row>
    <row r="1647" spans="1:10">
      <c r="A1647" s="2">
        <v>45901</v>
      </c>
      <c r="B1647" s="1">
        <v>1347.67</v>
      </c>
      <c r="C1647" s="1">
        <v>2988.54</v>
      </c>
      <c r="D1647" s="1">
        <v>935.13</v>
      </c>
      <c r="E1647" s="1">
        <v>1445.51</v>
      </c>
      <c r="F1647" s="1">
        <v>386.98</v>
      </c>
      <c r="G1647" s="1">
        <v>14738.98</v>
      </c>
      <c r="H1647" s="1">
        <v>1549.15</v>
      </c>
      <c r="I1647" s="1">
        <v>3563.59</v>
      </c>
      <c r="J1647" s="1">
        <v>24625.05</v>
      </c>
    </row>
    <row r="1648" spans="1:10">
      <c r="A1648" s="2">
        <v>45902</v>
      </c>
      <c r="B1648" s="1">
        <v>1360.21</v>
      </c>
      <c r="C1648" s="1">
        <v>2987.48</v>
      </c>
      <c r="D1648" s="1">
        <v>929.13</v>
      </c>
      <c r="E1648" s="1">
        <v>1444.84</v>
      </c>
      <c r="F1648" s="1">
        <v>387.83</v>
      </c>
      <c r="G1648" s="1">
        <v>14694.42</v>
      </c>
      <c r="H1648" s="1">
        <v>1551.03</v>
      </c>
      <c r="I1648" s="1">
        <v>3540.32</v>
      </c>
      <c r="J1648" s="1">
        <v>24579.599999999999</v>
      </c>
    </row>
    <row r="1649" spans="1:10">
      <c r="A1649" s="2">
        <v>45903</v>
      </c>
      <c r="B1649" s="1">
        <v>1366.28</v>
      </c>
      <c r="C1649" s="1">
        <v>2974.04</v>
      </c>
      <c r="D1649" s="1">
        <v>938.92</v>
      </c>
      <c r="E1649" s="1">
        <v>1425.94</v>
      </c>
      <c r="F1649" s="1">
        <v>392.6</v>
      </c>
      <c r="G1649" s="1">
        <v>14778.58</v>
      </c>
      <c r="H1649" s="1">
        <v>1564.41</v>
      </c>
      <c r="I1649" s="1">
        <v>3565.97</v>
      </c>
      <c r="J1649" s="1">
        <v>24715.05</v>
      </c>
    </row>
    <row r="1650" spans="1:10">
      <c r="A1650" s="2">
        <v>45904</v>
      </c>
      <c r="B1650" s="1">
        <v>1353.04</v>
      </c>
      <c r="C1650" s="1">
        <v>2972.31</v>
      </c>
      <c r="D1650" s="1">
        <v>945.61</v>
      </c>
      <c r="E1650" s="1">
        <v>1410.42</v>
      </c>
      <c r="F1650" s="1">
        <v>396.56</v>
      </c>
      <c r="G1650" s="1">
        <v>14516.21</v>
      </c>
      <c r="H1650" s="1">
        <v>1567.98</v>
      </c>
      <c r="I1650" s="1">
        <v>3557.85</v>
      </c>
      <c r="J1650" s="1">
        <v>24734.3</v>
      </c>
    </row>
    <row r="1651" spans="1:10">
      <c r="A1651" s="2">
        <v>45905</v>
      </c>
      <c r="B1651" s="1">
        <v>1368.67</v>
      </c>
      <c r="C1651" s="1">
        <v>2926.8</v>
      </c>
      <c r="D1651" s="1">
        <v>947.73</v>
      </c>
      <c r="E1651" s="1">
        <v>1392.68</v>
      </c>
      <c r="F1651" s="1">
        <v>388.41</v>
      </c>
      <c r="G1651" s="1">
        <v>14746.9</v>
      </c>
      <c r="H1651" s="1">
        <v>1579.18</v>
      </c>
      <c r="I1651" s="1">
        <v>3519.23</v>
      </c>
      <c r="J1651" s="1">
        <v>24741</v>
      </c>
    </row>
    <row r="1652" spans="1:10">
      <c r="A1652" s="2">
        <v>45908</v>
      </c>
      <c r="B1652" s="1">
        <v>1372.16</v>
      </c>
      <c r="C1652" s="1">
        <v>2898.67</v>
      </c>
      <c r="D1652" s="1">
        <v>950.28</v>
      </c>
      <c r="E1652" s="1">
        <v>1381.4</v>
      </c>
      <c r="F1652" s="1">
        <v>388.6</v>
      </c>
      <c r="G1652" s="1">
        <v>15106.29</v>
      </c>
      <c r="H1652" s="1">
        <v>1566.69</v>
      </c>
      <c r="I1652" s="1">
        <v>3495.46</v>
      </c>
      <c r="J1652" s="1">
        <v>24773.15</v>
      </c>
    </row>
    <row r="1653" spans="1:10">
      <c r="A1653" s="2">
        <v>45909</v>
      </c>
      <c r="B1653" s="1">
        <v>1369.87</v>
      </c>
      <c r="C1653" s="1">
        <v>2927.86</v>
      </c>
      <c r="D1653" s="1">
        <v>949.45</v>
      </c>
      <c r="E1653" s="1">
        <v>1450.24</v>
      </c>
      <c r="F1653" s="1">
        <v>390.98</v>
      </c>
      <c r="G1653" s="1">
        <v>15212.22</v>
      </c>
      <c r="H1653" s="1">
        <v>1577.29</v>
      </c>
      <c r="I1653" s="1">
        <v>3490.9</v>
      </c>
      <c r="J1653" s="1">
        <v>24868.6</v>
      </c>
    </row>
    <row r="1654" spans="1:10">
      <c r="A1654" s="2">
        <v>45910</v>
      </c>
      <c r="B1654" s="1">
        <v>1370.66</v>
      </c>
      <c r="C1654" s="1">
        <v>2986.04</v>
      </c>
      <c r="D1654" s="1">
        <v>950.18</v>
      </c>
      <c r="E1654" s="1">
        <v>1477.52</v>
      </c>
      <c r="F1654" s="1">
        <v>393.84</v>
      </c>
      <c r="G1654" s="1">
        <v>14957.78</v>
      </c>
      <c r="H1654" s="1">
        <v>1578.98</v>
      </c>
      <c r="I1654" s="1">
        <v>3515.66</v>
      </c>
      <c r="J1654" s="1">
        <v>24973.1</v>
      </c>
    </row>
    <row r="1655" spans="1:10">
      <c r="A1655" s="2">
        <v>45911</v>
      </c>
      <c r="B1655" s="1">
        <v>1376.93</v>
      </c>
      <c r="C1655" s="1">
        <v>2999.67</v>
      </c>
      <c r="D1655" s="1">
        <v>952.05</v>
      </c>
      <c r="E1655" s="1">
        <v>1455.44</v>
      </c>
      <c r="F1655" s="1">
        <v>395.75</v>
      </c>
      <c r="G1655" s="1">
        <v>14944.91</v>
      </c>
      <c r="H1655" s="1">
        <v>1595.13</v>
      </c>
      <c r="I1655" s="1">
        <v>3505.46</v>
      </c>
      <c r="J1655" s="1">
        <v>25005.5</v>
      </c>
    </row>
    <row r="1656" spans="1:10">
      <c r="A1656" s="2">
        <v>45912</v>
      </c>
      <c r="B1656" s="1">
        <v>1388.58</v>
      </c>
      <c r="C1656" s="1">
        <v>3008.51</v>
      </c>
      <c r="D1656" s="1">
        <v>951.56</v>
      </c>
      <c r="E1656" s="1">
        <v>1470.77</v>
      </c>
      <c r="F1656" s="1">
        <v>394.51</v>
      </c>
      <c r="G1656" s="1">
        <v>15172.62</v>
      </c>
      <c r="H1656" s="1">
        <v>1601.97</v>
      </c>
      <c r="I1656" s="1">
        <v>3545.17</v>
      </c>
      <c r="J1656" s="1">
        <v>25114</v>
      </c>
    </row>
    <row r="1657" spans="1:10">
      <c r="A1657" s="2">
        <v>45915</v>
      </c>
      <c r="B1657" s="1">
        <v>1392.86</v>
      </c>
      <c r="C1657" s="1">
        <v>2987.87</v>
      </c>
      <c r="D1657" s="1">
        <v>951.32</v>
      </c>
      <c r="E1657" s="1">
        <v>1454.19</v>
      </c>
      <c r="F1657" s="1">
        <v>393.46</v>
      </c>
      <c r="G1657" s="1">
        <v>15113.22</v>
      </c>
      <c r="H1657" s="1">
        <v>1587.5</v>
      </c>
      <c r="I1657" s="1">
        <v>3551.51</v>
      </c>
      <c r="J1657" s="1">
        <v>25069.200000000001</v>
      </c>
    </row>
    <row r="1658" spans="1:10">
      <c r="A1658" s="2">
        <v>45916</v>
      </c>
      <c r="B1658" s="1">
        <v>1398.83</v>
      </c>
      <c r="C1658" s="1">
        <v>3020.32</v>
      </c>
      <c r="D1658" s="1">
        <v>951.12</v>
      </c>
      <c r="E1658" s="1">
        <v>1456.98</v>
      </c>
      <c r="F1658" s="1">
        <v>393.89</v>
      </c>
      <c r="G1658" s="1">
        <v>15418.15</v>
      </c>
      <c r="H1658" s="1">
        <v>1595.92</v>
      </c>
      <c r="I1658" s="1">
        <v>3632.32</v>
      </c>
      <c r="J1658" s="1">
        <v>25239.1</v>
      </c>
    </row>
    <row r="1659" spans="1:10">
      <c r="A1659" s="2">
        <v>45917</v>
      </c>
      <c r="B1659" s="1">
        <v>1407.29</v>
      </c>
      <c r="C1659" s="1">
        <v>3046.34</v>
      </c>
      <c r="D1659" s="1">
        <v>950.77</v>
      </c>
      <c r="E1659" s="1">
        <v>1467.69</v>
      </c>
      <c r="F1659" s="1">
        <v>390.27</v>
      </c>
      <c r="G1659" s="1">
        <v>15643.89</v>
      </c>
      <c r="H1659" s="1">
        <v>1605.54</v>
      </c>
      <c r="I1659" s="1">
        <v>3649.85</v>
      </c>
      <c r="J1659" s="1">
        <v>25330.25</v>
      </c>
    </row>
    <row r="1660" spans="1:10">
      <c r="A1660" s="2">
        <v>45918</v>
      </c>
      <c r="B1660" s="1">
        <v>1408.49</v>
      </c>
      <c r="C1660" s="1">
        <v>3050.08</v>
      </c>
      <c r="D1660" s="1">
        <v>961.01</v>
      </c>
      <c r="E1660" s="1">
        <v>1485.23</v>
      </c>
      <c r="F1660" s="1">
        <v>392.41</v>
      </c>
      <c r="G1660" s="1">
        <v>15659.73</v>
      </c>
      <c r="H1660" s="1">
        <v>1633.68</v>
      </c>
      <c r="I1660" s="1">
        <v>3650.35</v>
      </c>
      <c r="J1660" s="1">
        <v>25423.599999999999</v>
      </c>
    </row>
    <row r="1661" spans="1:10">
      <c r="A1661" s="2">
        <v>45919</v>
      </c>
      <c r="B1661" s="1">
        <v>1400.92</v>
      </c>
      <c r="C1661" s="1">
        <v>3042.88</v>
      </c>
      <c r="D1661" s="1">
        <v>951.17</v>
      </c>
      <c r="E1661" s="1">
        <v>1484.85</v>
      </c>
      <c r="F1661" s="1">
        <v>391.55</v>
      </c>
      <c r="G1661" s="1">
        <v>15706.26</v>
      </c>
      <c r="H1661" s="1">
        <v>1641.01</v>
      </c>
      <c r="I1661" s="1">
        <v>3639.85</v>
      </c>
      <c r="J1661" s="1">
        <v>25327.05</v>
      </c>
    </row>
    <row r="1662" spans="1:10">
      <c r="A1662" s="2">
        <v>45922</v>
      </c>
      <c r="B1662" s="1">
        <v>1384.2</v>
      </c>
      <c r="C1662" s="1">
        <v>2951.28</v>
      </c>
      <c r="D1662" s="1">
        <v>948.51</v>
      </c>
      <c r="E1662" s="1">
        <v>1445.61</v>
      </c>
      <c r="F1662" s="1">
        <v>388.03</v>
      </c>
      <c r="G1662" s="1">
        <v>15658.74</v>
      </c>
      <c r="H1662" s="1">
        <v>1629.12</v>
      </c>
      <c r="I1662" s="1">
        <v>3609.25</v>
      </c>
      <c r="J1662" s="1">
        <v>25202.35</v>
      </c>
    </row>
    <row r="1663" spans="1:10">
      <c r="A1663" s="2">
        <v>45923</v>
      </c>
      <c r="B1663" s="1">
        <v>1383.4</v>
      </c>
      <c r="C1663" s="1">
        <v>2940.34</v>
      </c>
      <c r="D1663" s="1">
        <v>941.63</v>
      </c>
      <c r="E1663" s="1">
        <v>1443.68</v>
      </c>
      <c r="F1663" s="1">
        <v>384.45</v>
      </c>
      <c r="G1663" s="1">
        <v>15936.94</v>
      </c>
      <c r="H1663" s="1">
        <v>1616.44</v>
      </c>
      <c r="I1663" s="1">
        <v>3622.22</v>
      </c>
      <c r="J1663" s="1">
        <v>25169.5</v>
      </c>
    </row>
    <row r="1664" spans="1:10">
      <c r="A1664" s="2">
        <v>45924</v>
      </c>
      <c r="B1664" s="1">
        <v>1376.64</v>
      </c>
      <c r="C1664" s="1">
        <v>2914.41</v>
      </c>
      <c r="D1664" s="1">
        <v>935.58</v>
      </c>
      <c r="E1664" s="1">
        <v>1440.88</v>
      </c>
      <c r="F1664" s="1">
        <v>382.35</v>
      </c>
      <c r="G1664" s="1">
        <v>16087.43</v>
      </c>
      <c r="H1664" s="1">
        <v>1612.37</v>
      </c>
      <c r="I1664" s="1">
        <v>3638.26</v>
      </c>
      <c r="J1664" s="1">
        <v>25056.9</v>
      </c>
    </row>
    <row r="1665" spans="1:10">
      <c r="A1665" s="2">
        <v>45925</v>
      </c>
      <c r="B1665" s="1">
        <v>1366.08</v>
      </c>
      <c r="C1665" s="1">
        <v>2839.52</v>
      </c>
      <c r="D1665" s="1">
        <v>934.4</v>
      </c>
      <c r="E1665" s="1">
        <v>1431.44</v>
      </c>
      <c r="F1665" s="1">
        <v>381.49</v>
      </c>
      <c r="G1665" s="1">
        <v>16107.23</v>
      </c>
      <c r="H1665" s="1">
        <v>1612.67</v>
      </c>
      <c r="I1665" s="1">
        <v>3609.15</v>
      </c>
      <c r="J1665" s="1">
        <v>24890.85</v>
      </c>
    </row>
    <row r="1666" spans="1:10">
      <c r="A1666" s="2">
        <v>45926</v>
      </c>
      <c r="B1666" s="1">
        <v>1371.26</v>
      </c>
      <c r="C1666" s="1">
        <v>2783.55</v>
      </c>
      <c r="D1666" s="1">
        <v>929.67</v>
      </c>
      <c r="E1666" s="1">
        <v>1396.83</v>
      </c>
      <c r="F1666" s="1">
        <v>386.26</v>
      </c>
      <c r="G1666" s="1">
        <v>16124.07</v>
      </c>
      <c r="H1666" s="1">
        <v>1572.34</v>
      </c>
      <c r="I1666" s="1">
        <v>3693.43</v>
      </c>
      <c r="J1666" s="1">
        <v>24654.7</v>
      </c>
    </row>
    <row r="1667" spans="1:10">
      <c r="A1667" s="2">
        <v>45929</v>
      </c>
      <c r="B1667" s="1">
        <v>1366.48</v>
      </c>
      <c r="C1667" s="1">
        <v>2780.67</v>
      </c>
      <c r="D1667" s="1">
        <v>934.84</v>
      </c>
      <c r="E1667" s="1">
        <v>1389.98</v>
      </c>
      <c r="F1667" s="1">
        <v>388.31</v>
      </c>
      <c r="G1667" s="1">
        <v>15825.07</v>
      </c>
      <c r="H1667" s="1">
        <v>1574.92</v>
      </c>
      <c r="I1667" s="1">
        <v>3652.72</v>
      </c>
      <c r="J1667" s="1">
        <v>24634.9</v>
      </c>
    </row>
    <row r="1668" spans="1:10">
      <c r="A1668" s="2">
        <v>45930</v>
      </c>
      <c r="B1668" s="1">
        <v>1357.72</v>
      </c>
      <c r="C1668" s="1">
        <v>2773.27</v>
      </c>
      <c r="D1668" s="1">
        <v>935.53</v>
      </c>
      <c r="E1668" s="1">
        <v>1389.98</v>
      </c>
      <c r="F1668" s="1">
        <v>382.88</v>
      </c>
      <c r="G1668" s="1">
        <v>15869.62</v>
      </c>
      <c r="H1668" s="1">
        <v>1579.87</v>
      </c>
      <c r="I1668" s="1">
        <v>3623.61</v>
      </c>
      <c r="J1668" s="1">
        <v>24611.1</v>
      </c>
    </row>
    <row r="1669" spans="1:10">
      <c r="A1669" s="2">
        <v>45931</v>
      </c>
      <c r="B1669" s="1">
        <v>1362.4</v>
      </c>
      <c r="C1669" s="1">
        <v>2798.05</v>
      </c>
      <c r="D1669" s="1">
        <v>949.55</v>
      </c>
      <c r="E1669" s="1">
        <v>1393.84</v>
      </c>
      <c r="F1669" s="1">
        <v>386.74</v>
      </c>
      <c r="G1669" s="1">
        <v>15806.26</v>
      </c>
      <c r="H1669" s="1">
        <v>1621.39</v>
      </c>
      <c r="I1669" s="1">
        <v>3634.8</v>
      </c>
      <c r="J1669" s="1">
        <v>24836.3</v>
      </c>
    </row>
    <row r="1670" spans="1:10">
      <c r="A1670" s="2">
        <v>45933</v>
      </c>
      <c r="B1670" s="1">
        <v>1357.13</v>
      </c>
      <c r="C1670" s="1">
        <v>2786.24</v>
      </c>
      <c r="D1670" s="1">
        <v>949.45</v>
      </c>
      <c r="E1670" s="1">
        <v>1394.61</v>
      </c>
      <c r="F1670" s="1">
        <v>385.5</v>
      </c>
      <c r="G1670" s="1">
        <v>15648.84</v>
      </c>
      <c r="H1670" s="1">
        <v>1616.44</v>
      </c>
      <c r="I1670" s="1">
        <v>3696.99</v>
      </c>
      <c r="J1670" s="1">
        <v>24894.25</v>
      </c>
    </row>
    <row r="1671" spans="1:10">
      <c r="A1671" s="2">
        <v>45936</v>
      </c>
      <c r="B1671" s="1">
        <v>1368.67</v>
      </c>
      <c r="C1671" s="1">
        <v>2869.29</v>
      </c>
      <c r="D1671" s="1">
        <v>957.61</v>
      </c>
      <c r="E1671" s="1">
        <v>1422.95</v>
      </c>
      <c r="F1671" s="1">
        <v>382.11</v>
      </c>
      <c r="G1671" s="1">
        <v>15838.93</v>
      </c>
      <c r="H1671" s="1">
        <v>1639.72</v>
      </c>
      <c r="I1671" s="1">
        <v>3700.85</v>
      </c>
      <c r="J1671" s="1">
        <v>25077.65</v>
      </c>
    </row>
    <row r="1672" spans="1:10">
      <c r="A1672" s="2">
        <v>45937</v>
      </c>
      <c r="B1672" s="1">
        <v>1378.43</v>
      </c>
      <c r="C1672" s="1">
        <v>2855.17</v>
      </c>
      <c r="D1672" s="1">
        <v>966.51</v>
      </c>
      <c r="E1672" s="1">
        <v>1406.08</v>
      </c>
      <c r="F1672" s="1">
        <v>381.21</v>
      </c>
      <c r="G1672" s="1">
        <v>15947.83</v>
      </c>
      <c r="H1672" s="1">
        <v>1638.14</v>
      </c>
      <c r="I1672" s="1">
        <v>3693.62</v>
      </c>
      <c r="J1672" s="1">
        <v>25108.3</v>
      </c>
    </row>
    <row r="1673" spans="1:10">
      <c r="A1673" s="2">
        <v>45938</v>
      </c>
      <c r="B1673" s="1">
        <v>1361.11</v>
      </c>
      <c r="C1673" s="1">
        <v>2906.54</v>
      </c>
      <c r="D1673" s="1">
        <v>962.78</v>
      </c>
      <c r="E1673" s="1">
        <v>1441.27</v>
      </c>
      <c r="F1673" s="1">
        <v>381.16</v>
      </c>
      <c r="G1673" s="1">
        <v>15852.79</v>
      </c>
      <c r="H1673" s="1">
        <v>1616.83</v>
      </c>
      <c r="I1673" s="1">
        <v>3693.72</v>
      </c>
      <c r="J1673" s="1">
        <v>25046.15</v>
      </c>
    </row>
    <row r="1674" spans="1:10">
      <c r="A1674" s="2">
        <v>45939</v>
      </c>
      <c r="B1674" s="1">
        <v>1371.46</v>
      </c>
      <c r="C1674" s="1">
        <v>2939.67</v>
      </c>
      <c r="D1674" s="1">
        <v>961.2</v>
      </c>
      <c r="E1674" s="1">
        <v>1455.06</v>
      </c>
      <c r="F1674" s="1">
        <v>381.3</v>
      </c>
      <c r="G1674" s="1">
        <v>15826.06</v>
      </c>
      <c r="H1674" s="1">
        <v>1643.49</v>
      </c>
      <c r="I1674" s="1">
        <v>3732.74</v>
      </c>
      <c r="J1674" s="1">
        <v>25181.8</v>
      </c>
    </row>
    <row r="1675" spans="1:10">
      <c r="A1675" s="2">
        <v>45940</v>
      </c>
      <c r="B1675" s="1">
        <v>1375.34</v>
      </c>
      <c r="C1675" s="1">
        <v>2907.6</v>
      </c>
      <c r="D1675" s="1">
        <v>964.94</v>
      </c>
      <c r="E1675" s="1">
        <v>1460.45</v>
      </c>
      <c r="F1675" s="1">
        <v>384.07</v>
      </c>
      <c r="G1675" s="1">
        <v>16103.27</v>
      </c>
      <c r="H1675" s="1">
        <v>1655.78</v>
      </c>
      <c r="I1675" s="1">
        <v>3747.4</v>
      </c>
      <c r="J1675" s="1">
        <v>25285.35</v>
      </c>
    </row>
    <row r="1676" spans="1:10">
      <c r="A1676" s="2">
        <v>45943</v>
      </c>
      <c r="B1676" s="1">
        <v>1368.67</v>
      </c>
      <c r="C1676" s="1">
        <v>2887.34</v>
      </c>
      <c r="D1676" s="1">
        <v>961.1</v>
      </c>
      <c r="E1676" s="1">
        <v>1439.53</v>
      </c>
      <c r="F1676" s="1">
        <v>380.68</v>
      </c>
      <c r="G1676" s="1">
        <v>16160.7</v>
      </c>
      <c r="H1676" s="1">
        <v>1653.3</v>
      </c>
      <c r="I1676" s="1">
        <v>3733.04</v>
      </c>
      <c r="J1676" s="1">
        <v>25227.35</v>
      </c>
    </row>
    <row r="1677" spans="1:10">
      <c r="A1677" s="2">
        <v>45944</v>
      </c>
      <c r="B1677" s="1">
        <v>1369.57</v>
      </c>
      <c r="C1677" s="1">
        <v>2842.31</v>
      </c>
      <c r="D1677" s="1">
        <v>961.25</v>
      </c>
      <c r="E1677" s="1">
        <v>1436.35</v>
      </c>
      <c r="F1677" s="1">
        <v>378.35</v>
      </c>
      <c r="G1677" s="1">
        <v>16099.31</v>
      </c>
      <c r="H1677" s="1">
        <v>1639.43</v>
      </c>
      <c r="I1677" s="1">
        <v>3708.08</v>
      </c>
      <c r="J1677" s="1">
        <v>25145.5</v>
      </c>
    </row>
    <row r="1678" spans="1:10">
      <c r="A1678" s="2">
        <v>45945</v>
      </c>
      <c r="B1678" s="1">
        <v>1367.98</v>
      </c>
      <c r="C1678" s="1">
        <v>2862.06</v>
      </c>
      <c r="D1678" s="1">
        <v>962.33</v>
      </c>
      <c r="E1678" s="1">
        <v>1421.41</v>
      </c>
      <c r="F1678" s="1">
        <v>381.3</v>
      </c>
      <c r="G1678" s="1">
        <v>16050.8</v>
      </c>
      <c r="H1678" s="1">
        <v>1640.12</v>
      </c>
      <c r="I1678" s="1">
        <v>3791.67</v>
      </c>
      <c r="J1678" s="1">
        <v>25323.55</v>
      </c>
    </row>
    <row r="1679" spans="1:10">
      <c r="A1679" s="2">
        <v>45946</v>
      </c>
      <c r="B1679" s="1">
        <v>1391.86</v>
      </c>
      <c r="C1679" s="1">
        <v>2862.93</v>
      </c>
      <c r="D1679" s="1">
        <v>978.17</v>
      </c>
      <c r="E1679" s="1">
        <v>1418.61</v>
      </c>
      <c r="F1679" s="1">
        <v>386.31</v>
      </c>
      <c r="G1679" s="1">
        <v>16135.95</v>
      </c>
      <c r="H1679" s="1">
        <v>1643.98</v>
      </c>
      <c r="I1679" s="1">
        <v>3824.45</v>
      </c>
      <c r="J1679" s="1">
        <v>25585.3</v>
      </c>
    </row>
    <row r="1680" spans="1:10">
      <c r="A1680" s="2">
        <v>45947</v>
      </c>
      <c r="B1680" s="1">
        <v>1410.28</v>
      </c>
      <c r="C1680" s="1">
        <v>2854.74</v>
      </c>
      <c r="D1680" s="1">
        <v>986.24</v>
      </c>
      <c r="E1680" s="1">
        <v>1389.31</v>
      </c>
      <c r="F1680" s="1">
        <v>392.98</v>
      </c>
      <c r="G1680" s="1">
        <v>16237.92</v>
      </c>
      <c r="H1680" s="1">
        <v>1663.9</v>
      </c>
      <c r="I1680" s="1">
        <v>3802.26</v>
      </c>
      <c r="J1680" s="1">
        <v>25709.85</v>
      </c>
    </row>
    <row r="1681" spans="1:10">
      <c r="A1681" s="2">
        <v>45950</v>
      </c>
      <c r="B1681" s="1">
        <v>1460.05</v>
      </c>
      <c r="C1681" s="1">
        <v>2905.82</v>
      </c>
      <c r="D1681" s="1">
        <v>986.63</v>
      </c>
      <c r="E1681" s="1">
        <v>1408.4</v>
      </c>
      <c r="F1681" s="1">
        <v>393.84</v>
      </c>
      <c r="G1681" s="1">
        <v>16260.69</v>
      </c>
      <c r="H1681" s="1">
        <v>1673.32</v>
      </c>
      <c r="I1681" s="1">
        <v>3835.24</v>
      </c>
      <c r="J1681" s="1">
        <v>25843.15</v>
      </c>
    </row>
    <row r="1682" spans="1:10">
      <c r="A1682" s="2">
        <v>45951</v>
      </c>
      <c r="B1682" s="1">
        <v>1458.46</v>
      </c>
      <c r="C1682" s="1">
        <v>2897.63</v>
      </c>
      <c r="D1682" s="1">
        <v>991.3</v>
      </c>
      <c r="E1682" s="1">
        <v>1419.48</v>
      </c>
      <c r="F1682" s="1">
        <v>393.65</v>
      </c>
      <c r="G1682" s="1">
        <v>16232.97</v>
      </c>
      <c r="H1682" s="1">
        <v>1675.2</v>
      </c>
      <c r="I1682" s="1">
        <v>3850.59</v>
      </c>
      <c r="J1682" s="1">
        <v>25868.6</v>
      </c>
    </row>
    <row r="1683" spans="1:10">
      <c r="A1683" s="2">
        <v>45953</v>
      </c>
      <c r="B1683" s="1">
        <v>1441.73</v>
      </c>
      <c r="C1683" s="1">
        <v>2961.71</v>
      </c>
      <c r="D1683" s="1">
        <v>992.39</v>
      </c>
      <c r="E1683" s="1">
        <v>1473.57</v>
      </c>
      <c r="F1683" s="1">
        <v>396.61</v>
      </c>
      <c r="G1683" s="1">
        <v>16230</v>
      </c>
      <c r="H1683" s="1">
        <v>1674.6</v>
      </c>
      <c r="I1683" s="1">
        <v>3880.79</v>
      </c>
      <c r="J1683" s="1">
        <v>25891.4</v>
      </c>
    </row>
    <row r="1684" spans="1:10">
      <c r="A1684" s="2">
        <v>45954</v>
      </c>
      <c r="B1684" s="1">
        <v>1444.92</v>
      </c>
      <c r="C1684" s="1">
        <v>2952.08</v>
      </c>
      <c r="D1684" s="1">
        <v>978.57</v>
      </c>
      <c r="E1684" s="1">
        <v>1470.58</v>
      </c>
      <c r="F1684" s="1">
        <v>397.42</v>
      </c>
      <c r="G1684" s="1">
        <v>16112.18</v>
      </c>
      <c r="H1684" s="1">
        <v>1683.62</v>
      </c>
      <c r="I1684" s="1">
        <v>3867.13</v>
      </c>
      <c r="J1684" s="1">
        <v>25795.15</v>
      </c>
    </row>
    <row r="1685" spans="1:10">
      <c r="A1685" s="2">
        <v>45957</v>
      </c>
      <c r="B1685" s="1">
        <v>1477.27</v>
      </c>
      <c r="C1685" s="1">
        <v>2972.99</v>
      </c>
      <c r="D1685" s="1">
        <v>986.63</v>
      </c>
      <c r="E1685" s="1">
        <v>1472.63</v>
      </c>
      <c r="F1685" s="1">
        <v>401.09</v>
      </c>
      <c r="G1685" s="1">
        <v>16225.05</v>
      </c>
      <c r="H1685" s="1">
        <v>1678.27</v>
      </c>
      <c r="I1685" s="1">
        <v>3885.85</v>
      </c>
      <c r="J1685" s="1">
        <v>25966.05</v>
      </c>
    </row>
    <row r="1686" spans="1:10">
      <c r="A1686" s="2">
        <v>45958</v>
      </c>
      <c r="B1686" s="1">
        <v>1480.06</v>
      </c>
      <c r="C1686" s="1">
        <v>2946.97</v>
      </c>
      <c r="D1686" s="1">
        <v>987.22</v>
      </c>
      <c r="E1686" s="1">
        <v>1468.42</v>
      </c>
      <c r="F1686" s="1">
        <v>398.47</v>
      </c>
      <c r="G1686" s="1">
        <v>16148.82</v>
      </c>
      <c r="H1686" s="1">
        <v>1671.73</v>
      </c>
      <c r="I1686" s="1">
        <v>3934.37</v>
      </c>
      <c r="J1686" s="1">
        <v>25936.2</v>
      </c>
    </row>
    <row r="1687" spans="1:10">
      <c r="A1687" s="2">
        <v>45959</v>
      </c>
      <c r="B1687" s="1">
        <v>1497.28</v>
      </c>
      <c r="C1687" s="1">
        <v>2946.68</v>
      </c>
      <c r="D1687" s="1">
        <v>991.45</v>
      </c>
      <c r="E1687" s="1">
        <v>1478.41</v>
      </c>
      <c r="F1687" s="1">
        <v>401.99</v>
      </c>
      <c r="G1687" s="1">
        <v>15977.54</v>
      </c>
      <c r="H1687" s="1">
        <v>1700.37</v>
      </c>
      <c r="I1687" s="1">
        <v>3919.81</v>
      </c>
      <c r="J1687" s="1">
        <v>26053.9</v>
      </c>
    </row>
    <row r="1688" spans="1:10">
      <c r="A1688" s="2">
        <v>45960</v>
      </c>
      <c r="B1688" s="1">
        <v>1481.65</v>
      </c>
      <c r="C1688" s="1">
        <v>2925.19</v>
      </c>
      <c r="D1688" s="1">
        <v>981.91</v>
      </c>
      <c r="E1688" s="1">
        <v>1462.16</v>
      </c>
      <c r="F1688" s="1">
        <v>399.28</v>
      </c>
      <c r="G1688" s="1">
        <v>16044.86</v>
      </c>
      <c r="H1688" s="1">
        <v>1687.98</v>
      </c>
      <c r="I1688" s="1">
        <v>3948.93</v>
      </c>
      <c r="J1688" s="1">
        <v>25877.85</v>
      </c>
    </row>
    <row r="1689" spans="1:10">
      <c r="A1689" s="2">
        <v>45961</v>
      </c>
      <c r="B1689" s="1">
        <v>1479.56</v>
      </c>
      <c r="C1689" s="1">
        <v>2947.06</v>
      </c>
      <c r="D1689" s="1">
        <v>971.24</v>
      </c>
      <c r="E1689" s="1">
        <v>1450.9</v>
      </c>
      <c r="F1689" s="1">
        <v>400.8</v>
      </c>
      <c r="G1689" s="1">
        <v>16025.06</v>
      </c>
      <c r="H1689" s="1">
        <v>1675.4</v>
      </c>
      <c r="I1689" s="1">
        <v>3991.91</v>
      </c>
      <c r="J1689" s="1">
        <v>25722.1</v>
      </c>
    </row>
    <row r="1690" spans="1:10">
      <c r="A1690" s="2">
        <v>45964</v>
      </c>
      <c r="B1690" s="1">
        <v>1477.87</v>
      </c>
      <c r="C1690" s="1">
        <v>2907.36</v>
      </c>
      <c r="D1690" s="1">
        <v>976.5</v>
      </c>
      <c r="E1690" s="1">
        <v>1454.04</v>
      </c>
      <c r="F1690" s="1">
        <v>394.7</v>
      </c>
      <c r="G1690" s="1">
        <v>15495.38</v>
      </c>
      <c r="H1690" s="1">
        <v>1690.96</v>
      </c>
      <c r="I1690" s="1">
        <v>3942</v>
      </c>
      <c r="J1690" s="1">
        <v>25763.35</v>
      </c>
    </row>
    <row r="1691" spans="1:10">
      <c r="A1691" s="2">
        <v>45965</v>
      </c>
      <c r="B1691" s="1">
        <v>1466.32</v>
      </c>
      <c r="C1691" s="1">
        <v>2881.72</v>
      </c>
      <c r="D1691" s="1">
        <v>969.22</v>
      </c>
      <c r="E1691" s="1">
        <v>1436.81</v>
      </c>
      <c r="F1691" s="1">
        <v>389.88</v>
      </c>
      <c r="G1691" s="1">
        <v>15221.13</v>
      </c>
      <c r="H1691" s="1">
        <v>1674.7</v>
      </c>
      <c r="I1691" s="1">
        <v>3886.44</v>
      </c>
      <c r="J1691" s="1">
        <v>25597.65</v>
      </c>
    </row>
    <row r="1692" spans="1:10">
      <c r="A1692" s="2">
        <v>45967</v>
      </c>
      <c r="B1692" s="1">
        <v>1489.21</v>
      </c>
      <c r="C1692" s="1">
        <v>2901.67</v>
      </c>
      <c r="D1692" s="1">
        <v>968.63</v>
      </c>
      <c r="E1692" s="1">
        <v>1435.63</v>
      </c>
      <c r="F1692" s="1">
        <v>388.55</v>
      </c>
      <c r="G1692" s="1">
        <v>15298.36</v>
      </c>
      <c r="H1692" s="1">
        <v>1670.64</v>
      </c>
      <c r="I1692" s="1">
        <v>3844.05</v>
      </c>
      <c r="J1692" s="1">
        <v>25509.7</v>
      </c>
    </row>
    <row r="1693" spans="1:10">
      <c r="A1693" s="2">
        <v>45968</v>
      </c>
      <c r="B1693" s="1">
        <v>1471.2</v>
      </c>
      <c r="C1693" s="1">
        <v>2883.27</v>
      </c>
      <c r="D1693" s="1">
        <v>966.32</v>
      </c>
      <c r="E1693" s="1">
        <v>1445.52</v>
      </c>
      <c r="F1693" s="1">
        <v>385.26</v>
      </c>
      <c r="G1693" s="1">
        <v>15325.09</v>
      </c>
      <c r="H1693" s="1">
        <v>1676.09</v>
      </c>
      <c r="I1693" s="1">
        <v>3844.95</v>
      </c>
      <c r="J1693" s="1">
        <v>25492.3</v>
      </c>
    </row>
    <row r="1694" spans="1:10">
      <c r="A1694" s="2">
        <v>45971</v>
      </c>
      <c r="B1694" s="1">
        <v>1482.45</v>
      </c>
      <c r="C1694" s="1">
        <v>2915.45</v>
      </c>
      <c r="D1694" s="1">
        <v>968.48</v>
      </c>
      <c r="E1694" s="1">
        <v>1481.44</v>
      </c>
      <c r="F1694" s="1">
        <v>386.69</v>
      </c>
      <c r="G1694" s="1">
        <v>15428.06</v>
      </c>
      <c r="H1694" s="1">
        <v>1682.43</v>
      </c>
      <c r="I1694" s="1">
        <v>3880.6</v>
      </c>
      <c r="J1694" s="1">
        <v>25574.35</v>
      </c>
    </row>
    <row r="1695" spans="1:10">
      <c r="A1695" s="2">
        <v>45972</v>
      </c>
      <c r="B1695" s="1">
        <v>1486.53</v>
      </c>
      <c r="C1695" s="1">
        <v>2936.46</v>
      </c>
      <c r="D1695" s="1">
        <v>975.56</v>
      </c>
      <c r="E1695" s="1">
        <v>1497.89</v>
      </c>
      <c r="F1695" s="1">
        <v>387.93</v>
      </c>
      <c r="G1695" s="1">
        <v>15489.44</v>
      </c>
      <c r="H1695" s="1">
        <v>1700.57</v>
      </c>
      <c r="I1695" s="1">
        <v>3916.74</v>
      </c>
      <c r="J1695" s="1">
        <v>25694.95</v>
      </c>
    </row>
    <row r="1696" spans="1:10">
      <c r="A1696" s="2">
        <v>45973</v>
      </c>
      <c r="B1696" s="1">
        <v>1504.54</v>
      </c>
      <c r="C1696" s="1">
        <v>3018.19</v>
      </c>
      <c r="D1696" s="1">
        <v>973.4</v>
      </c>
      <c r="E1696" s="1">
        <v>1518.83</v>
      </c>
      <c r="F1696" s="1">
        <v>388.07</v>
      </c>
      <c r="G1696" s="1">
        <v>15539.93</v>
      </c>
      <c r="H1696" s="1">
        <v>1716.42</v>
      </c>
      <c r="I1696" s="1">
        <v>3916.35</v>
      </c>
      <c r="J1696" s="1">
        <v>25875.8</v>
      </c>
    </row>
    <row r="1697" spans="1:10">
      <c r="A1697" s="2">
        <v>45974</v>
      </c>
      <c r="B1697" s="1">
        <v>1503.95</v>
      </c>
      <c r="C1697" s="1">
        <v>2993.03</v>
      </c>
      <c r="D1697" s="1">
        <v>970.6</v>
      </c>
      <c r="E1697" s="1">
        <v>1509.14</v>
      </c>
      <c r="F1697" s="1">
        <v>386.83</v>
      </c>
      <c r="G1697" s="1">
        <v>15592.4</v>
      </c>
      <c r="H1697" s="1">
        <v>1721.67</v>
      </c>
      <c r="I1697" s="1">
        <v>3963.78</v>
      </c>
      <c r="J1697" s="1">
        <v>25879.15</v>
      </c>
    </row>
    <row r="1698" spans="1:10">
      <c r="A1698" s="2">
        <v>45975</v>
      </c>
      <c r="B1698" s="1">
        <v>1511.91</v>
      </c>
      <c r="C1698" s="1">
        <v>2993.32</v>
      </c>
      <c r="D1698" s="1">
        <v>973.5</v>
      </c>
      <c r="E1698" s="1">
        <v>1470.97</v>
      </c>
      <c r="F1698" s="1">
        <v>389.17</v>
      </c>
      <c r="G1698" s="1">
        <v>15528.05</v>
      </c>
      <c r="H1698" s="1">
        <v>1741.2</v>
      </c>
      <c r="I1698" s="1">
        <v>3965.67</v>
      </c>
      <c r="J1698" s="1">
        <v>25910.05</v>
      </c>
    </row>
    <row r="1699" spans="1:10">
      <c r="A1699" s="2">
        <v>45978</v>
      </c>
      <c r="B1699" s="1">
        <v>1511.31</v>
      </c>
      <c r="C1699" s="1">
        <v>2989.66</v>
      </c>
      <c r="D1699" s="1">
        <v>980.34</v>
      </c>
      <c r="E1699" s="1">
        <v>1475.67</v>
      </c>
      <c r="F1699" s="1">
        <v>388.17</v>
      </c>
      <c r="G1699" s="1">
        <v>15720.12</v>
      </c>
      <c r="H1699" s="1">
        <v>1747.93</v>
      </c>
      <c r="I1699" s="1">
        <v>3988.74</v>
      </c>
      <c r="J1699" s="1">
        <v>26013.45</v>
      </c>
    </row>
    <row r="1700" spans="1:10">
      <c r="A1700" s="2">
        <v>45979</v>
      </c>
      <c r="B1700" s="1">
        <v>1512.41</v>
      </c>
      <c r="C1700" s="1">
        <v>2975.11</v>
      </c>
      <c r="D1700" s="1">
        <v>976.3</v>
      </c>
      <c r="E1700" s="1">
        <v>1454.92</v>
      </c>
      <c r="F1700" s="1">
        <v>386.98</v>
      </c>
      <c r="G1700" s="1">
        <v>15771.61</v>
      </c>
      <c r="H1700" s="1">
        <v>1742.88</v>
      </c>
      <c r="I1700" s="1">
        <v>3960.91</v>
      </c>
      <c r="J1700" s="1">
        <v>25910.05</v>
      </c>
    </row>
    <row r="1701" spans="1:10">
      <c r="A1701" s="2">
        <v>45980</v>
      </c>
      <c r="B1701" s="1">
        <v>1511.91</v>
      </c>
      <c r="C1701" s="1">
        <v>3033.51</v>
      </c>
      <c r="D1701" s="1">
        <v>978.42</v>
      </c>
      <c r="E1701" s="1">
        <v>1508.46</v>
      </c>
      <c r="F1701" s="1">
        <v>384.78</v>
      </c>
      <c r="G1701" s="1">
        <v>15611.22</v>
      </c>
      <c r="H1701" s="1">
        <v>1767.95</v>
      </c>
      <c r="I1701" s="1">
        <v>3980.72</v>
      </c>
      <c r="J1701" s="1">
        <v>26052.65</v>
      </c>
    </row>
    <row r="1702" spans="1:10">
      <c r="A1702" s="2">
        <v>45981</v>
      </c>
      <c r="B1702" s="1">
        <v>1541.97</v>
      </c>
      <c r="C1702" s="1">
        <v>3030.72</v>
      </c>
      <c r="D1702" s="1">
        <v>992.44</v>
      </c>
      <c r="E1702" s="1">
        <v>1503.96</v>
      </c>
      <c r="F1702" s="1">
        <v>386.6</v>
      </c>
      <c r="G1702" s="1">
        <v>15643.89</v>
      </c>
      <c r="H1702" s="1">
        <v>1761.31</v>
      </c>
      <c r="I1702" s="1">
        <v>3998.35</v>
      </c>
      <c r="J1702" s="1">
        <v>26192.15</v>
      </c>
    </row>
    <row r="1703" spans="1:10">
      <c r="A1703" s="2">
        <v>45982</v>
      </c>
      <c r="B1703" s="1">
        <v>1539.48</v>
      </c>
      <c r="C1703" s="1">
        <v>3036.31</v>
      </c>
      <c r="D1703" s="1">
        <v>981.81</v>
      </c>
      <c r="E1703" s="1">
        <v>1512.28</v>
      </c>
      <c r="F1703" s="1">
        <v>388.88</v>
      </c>
      <c r="G1703" s="1">
        <v>15818.14</v>
      </c>
      <c r="H1703" s="1">
        <v>1763.59</v>
      </c>
      <c r="I1703" s="1">
        <v>3985.97</v>
      </c>
      <c r="J1703" s="1">
        <v>26068.15</v>
      </c>
    </row>
    <row r="1704" spans="1:10">
      <c r="A1704" s="2">
        <v>45985</v>
      </c>
      <c r="B1704" s="1">
        <v>1528.83</v>
      </c>
      <c r="C1704" s="1">
        <v>3027.25</v>
      </c>
      <c r="D1704" s="1">
        <v>982.89</v>
      </c>
      <c r="E1704" s="1">
        <v>1515.21</v>
      </c>
      <c r="F1704" s="1">
        <v>384.78</v>
      </c>
      <c r="G1704" s="1">
        <v>15799.33</v>
      </c>
      <c r="H1704" s="1">
        <v>1764.68</v>
      </c>
      <c r="I1704" s="1">
        <v>3974.48</v>
      </c>
      <c r="J1704" s="1">
        <v>25959.5</v>
      </c>
    </row>
    <row r="1705" spans="1:10">
      <c r="A1705" s="2">
        <v>45986</v>
      </c>
      <c r="B1705" s="1">
        <v>1532.61</v>
      </c>
      <c r="C1705" s="1">
        <v>3006.04</v>
      </c>
      <c r="D1705" s="1">
        <v>973.7</v>
      </c>
      <c r="E1705" s="1">
        <v>1498.18</v>
      </c>
      <c r="F1705" s="1">
        <v>382.16</v>
      </c>
      <c r="G1705" s="1">
        <v>15731.01</v>
      </c>
      <c r="H1705" s="1">
        <v>1760.72</v>
      </c>
      <c r="I1705" s="1">
        <v>3958.04</v>
      </c>
      <c r="J1705" s="1">
        <v>25884.799999999999</v>
      </c>
    </row>
    <row r="1706" spans="1:10">
      <c r="A1706" s="2">
        <v>45987</v>
      </c>
      <c r="B1706" s="1">
        <v>1562.67</v>
      </c>
      <c r="C1706" s="1">
        <v>3048.16</v>
      </c>
      <c r="D1706" s="1">
        <v>987.57</v>
      </c>
      <c r="E1706" s="1">
        <v>1524.9</v>
      </c>
      <c r="F1706" s="1">
        <v>383.59</v>
      </c>
      <c r="G1706" s="1">
        <v>15995.36</v>
      </c>
      <c r="H1706" s="1">
        <v>1788.56</v>
      </c>
      <c r="I1706" s="1">
        <v>4022.71</v>
      </c>
      <c r="J1706" s="1">
        <v>26205.3</v>
      </c>
    </row>
    <row r="1707" spans="1:10">
      <c r="A1707" s="2">
        <v>45988</v>
      </c>
      <c r="B1707" s="1">
        <v>1556.2</v>
      </c>
      <c r="C1707" s="1">
        <v>3022.81</v>
      </c>
      <c r="D1707" s="1">
        <v>993.08</v>
      </c>
      <c r="E1707" s="1">
        <v>1533.22</v>
      </c>
      <c r="F1707" s="1">
        <v>385.5</v>
      </c>
      <c r="G1707" s="1">
        <v>15744.87</v>
      </c>
      <c r="H1707" s="1">
        <v>1793.92</v>
      </c>
      <c r="I1707" s="1">
        <v>4041.82</v>
      </c>
      <c r="J1707" s="1">
        <v>26215.55</v>
      </c>
    </row>
    <row r="1708" spans="1:10">
      <c r="A1708" s="2">
        <v>45989</v>
      </c>
      <c r="B1708" s="1">
        <v>1560.29</v>
      </c>
      <c r="C1708" s="1">
        <v>3023.68</v>
      </c>
      <c r="D1708" s="1">
        <v>991.21</v>
      </c>
      <c r="E1708" s="1">
        <v>1527.06</v>
      </c>
      <c r="F1708" s="1">
        <v>385.45</v>
      </c>
      <c r="G1708" s="1">
        <v>15741.9</v>
      </c>
      <c r="H1708" s="1">
        <v>1815.02</v>
      </c>
      <c r="I1708" s="1">
        <v>4030.24</v>
      </c>
      <c r="J1708" s="1">
        <v>26202.95</v>
      </c>
    </row>
    <row r="1709" spans="1:10">
      <c r="A1709" s="2">
        <v>45992</v>
      </c>
      <c r="B1709" s="1">
        <v>1558.89</v>
      </c>
      <c r="C1709" s="1">
        <v>3019.73</v>
      </c>
      <c r="D1709" s="1">
        <v>985.8</v>
      </c>
      <c r="E1709" s="1">
        <v>1530.87</v>
      </c>
      <c r="F1709" s="1">
        <v>385.45</v>
      </c>
      <c r="G1709" s="1">
        <v>15936.94</v>
      </c>
      <c r="H1709" s="1">
        <v>1791.04</v>
      </c>
      <c r="I1709" s="1">
        <v>4033.8</v>
      </c>
      <c r="J1709" s="1">
        <v>26175.75</v>
      </c>
    </row>
    <row r="1710" spans="1:10">
      <c r="A1710" s="2">
        <v>45993</v>
      </c>
      <c r="B1710" s="1">
        <v>1539.18</v>
      </c>
      <c r="C1710" s="1">
        <v>3021.95</v>
      </c>
      <c r="D1710" s="1">
        <v>973.7</v>
      </c>
      <c r="E1710" s="1">
        <v>1527.94</v>
      </c>
      <c r="F1710" s="1">
        <v>382.3</v>
      </c>
      <c r="G1710" s="1">
        <v>16077.53</v>
      </c>
      <c r="H1710" s="1">
        <v>1783.21</v>
      </c>
      <c r="I1710" s="1">
        <v>3991.51</v>
      </c>
      <c r="J1710" s="1">
        <v>26032.2</v>
      </c>
    </row>
    <row r="1711" spans="1:10">
      <c r="A1711" s="2">
        <v>45994</v>
      </c>
      <c r="B1711" s="1">
        <v>1531.72</v>
      </c>
      <c r="C1711" s="1">
        <v>3064.64</v>
      </c>
      <c r="D1711" s="1">
        <v>984.22</v>
      </c>
      <c r="E1711" s="1">
        <v>1545.26</v>
      </c>
      <c r="F1711" s="1">
        <v>381.88</v>
      </c>
      <c r="G1711" s="1">
        <v>15922.09</v>
      </c>
      <c r="H1711" s="1">
        <v>1790.35</v>
      </c>
      <c r="I1711" s="1">
        <v>3949.42</v>
      </c>
      <c r="J1711" s="1">
        <v>25986</v>
      </c>
    </row>
    <row r="1712" spans="1:10">
      <c r="A1712" s="2">
        <v>45995</v>
      </c>
      <c r="B1712" s="1">
        <v>1528.53</v>
      </c>
      <c r="C1712" s="1">
        <v>3112.05</v>
      </c>
      <c r="D1712" s="1">
        <v>980.98</v>
      </c>
      <c r="E1712" s="1">
        <v>1563.76</v>
      </c>
      <c r="F1712" s="1">
        <v>384.31</v>
      </c>
      <c r="G1712" s="1">
        <v>15834.97</v>
      </c>
      <c r="H1712" s="1">
        <v>1801.84</v>
      </c>
      <c r="I1712" s="1">
        <v>3945.07</v>
      </c>
      <c r="J1712" s="1">
        <v>26033.75</v>
      </c>
    </row>
    <row r="1713" spans="1:10">
      <c r="A1713" s="2">
        <v>45996</v>
      </c>
      <c r="B1713" s="1">
        <v>1533.51</v>
      </c>
      <c r="C1713" s="1">
        <v>3120.73</v>
      </c>
      <c r="D1713" s="1">
        <v>986.98</v>
      </c>
      <c r="E1713" s="1">
        <v>1581.97</v>
      </c>
      <c r="F1713" s="1">
        <v>386.12</v>
      </c>
      <c r="G1713" s="1">
        <v>16120.11</v>
      </c>
      <c r="H1713" s="1">
        <v>1788.96</v>
      </c>
      <c r="I1713" s="1">
        <v>3999.14</v>
      </c>
      <c r="J1713" s="1">
        <v>26186.45</v>
      </c>
    </row>
    <row r="1714" spans="1:10">
      <c r="A1714" s="2">
        <v>45999</v>
      </c>
      <c r="B1714" s="1">
        <v>1535.9</v>
      </c>
      <c r="C1714" s="1">
        <v>3119.09</v>
      </c>
      <c r="D1714" s="1">
        <v>986.78</v>
      </c>
      <c r="E1714" s="1">
        <v>1576.68</v>
      </c>
      <c r="F1714" s="1">
        <v>383.59</v>
      </c>
      <c r="G1714" s="1">
        <v>16026.05</v>
      </c>
      <c r="H1714" s="1">
        <v>1779.94</v>
      </c>
      <c r="I1714" s="1">
        <v>3958.04</v>
      </c>
      <c r="J1714" s="1">
        <v>25960.55</v>
      </c>
    </row>
    <row r="1715" spans="1:10">
      <c r="A1715" s="2">
        <v>46000</v>
      </c>
      <c r="B1715" s="1">
        <v>1522.36</v>
      </c>
      <c r="C1715" s="1">
        <v>3091.91</v>
      </c>
      <c r="D1715" s="1">
        <v>980.88</v>
      </c>
      <c r="E1715" s="1">
        <v>1565.13</v>
      </c>
      <c r="F1715" s="1">
        <v>382.4</v>
      </c>
      <c r="G1715" s="1">
        <v>15860.71</v>
      </c>
      <c r="H1715" s="1">
        <v>1759.93</v>
      </c>
      <c r="I1715" s="1">
        <v>3958.83</v>
      </c>
      <c r="J1715" s="1">
        <v>25839.65</v>
      </c>
    </row>
    <row r="1716" spans="1:10">
      <c r="A1716" s="2">
        <v>46001</v>
      </c>
      <c r="B1716" s="1">
        <v>1529.83</v>
      </c>
      <c r="C1716" s="1">
        <v>3073.5</v>
      </c>
      <c r="D1716" s="1">
        <v>973.7</v>
      </c>
      <c r="E1716" s="1">
        <v>1551.23</v>
      </c>
      <c r="F1716" s="1">
        <v>384.4</v>
      </c>
      <c r="G1716" s="1">
        <v>15859.72</v>
      </c>
      <c r="H1716" s="1">
        <v>1769.34</v>
      </c>
      <c r="I1716" s="1">
        <v>3952.69</v>
      </c>
      <c r="J1716" s="1">
        <v>25758</v>
      </c>
    </row>
    <row r="1717" spans="1:10">
      <c r="A1717" s="2">
        <v>46002</v>
      </c>
      <c r="B1717" s="1">
        <v>1537.89</v>
      </c>
      <c r="C1717" s="1">
        <v>3076.11</v>
      </c>
      <c r="D1717" s="1">
        <v>984.02</v>
      </c>
      <c r="E1717" s="1">
        <v>1564.15</v>
      </c>
      <c r="F1717" s="1">
        <v>384.16</v>
      </c>
      <c r="G1717" s="1">
        <v>16086.44</v>
      </c>
      <c r="H1717" s="1">
        <v>1790.84</v>
      </c>
      <c r="I1717" s="1">
        <v>3965.17</v>
      </c>
      <c r="J1717" s="1">
        <v>25898.55</v>
      </c>
    </row>
    <row r="1718" spans="1:10">
      <c r="A1718" s="2">
        <v>46003</v>
      </c>
      <c r="B1718" s="1">
        <v>1549.34</v>
      </c>
      <c r="C1718" s="1">
        <v>3103.67</v>
      </c>
      <c r="D1718" s="1">
        <v>985.21</v>
      </c>
      <c r="E1718" s="1">
        <v>1564.35</v>
      </c>
      <c r="F1718" s="1">
        <v>381.49</v>
      </c>
      <c r="G1718" s="1">
        <v>16357.72</v>
      </c>
      <c r="H1718" s="1">
        <v>1777.27</v>
      </c>
      <c r="I1718" s="1">
        <v>4034.69</v>
      </c>
      <c r="J1718" s="1">
        <v>26046.95</v>
      </c>
    </row>
    <row r="1719" spans="1:10">
      <c r="A1719" s="2">
        <v>46006</v>
      </c>
      <c r="B1719" s="1">
        <v>1549.04</v>
      </c>
      <c r="C1719" s="1">
        <v>3113.02</v>
      </c>
      <c r="D1719" s="1">
        <v>979.89</v>
      </c>
      <c r="E1719" s="1">
        <v>1572.77</v>
      </c>
      <c r="F1719" s="1">
        <v>383.59</v>
      </c>
      <c r="G1719" s="1">
        <v>16251.78</v>
      </c>
      <c r="H1719" s="1">
        <v>1780.83</v>
      </c>
      <c r="I1719" s="1">
        <v>4052.72</v>
      </c>
      <c r="J1719" s="1">
        <v>26027.3</v>
      </c>
    </row>
    <row r="1720" spans="1:10">
      <c r="A1720" s="2">
        <v>46007</v>
      </c>
      <c r="B1720" s="1">
        <v>1535.2</v>
      </c>
      <c r="C1720" s="1">
        <v>3088.83</v>
      </c>
      <c r="D1720" s="1">
        <v>978.12</v>
      </c>
      <c r="E1720" s="1">
        <v>1559.16</v>
      </c>
      <c r="F1720" s="1">
        <v>383.02</v>
      </c>
      <c r="G1720" s="1">
        <v>16191.39</v>
      </c>
      <c r="H1720" s="1">
        <v>1765.18</v>
      </c>
      <c r="I1720" s="1">
        <v>4024.49</v>
      </c>
      <c r="J1720" s="1">
        <v>25860.1</v>
      </c>
    </row>
    <row r="1721" spans="1:10">
      <c r="A1721" s="2">
        <v>46008</v>
      </c>
      <c r="B1721" s="1">
        <v>1537.29</v>
      </c>
      <c r="C1721" s="1">
        <v>3101.07</v>
      </c>
      <c r="D1721" s="1">
        <v>967.99</v>
      </c>
      <c r="E1721" s="1">
        <v>1568.07</v>
      </c>
      <c r="F1721" s="1">
        <v>381.21</v>
      </c>
      <c r="G1721" s="1">
        <v>16234.95</v>
      </c>
      <c r="H1721" s="1">
        <v>1776.67</v>
      </c>
      <c r="I1721" s="1">
        <v>4023.1</v>
      </c>
      <c r="J1721" s="1">
        <v>25818.55</v>
      </c>
    </row>
    <row r="1722" spans="1:10">
      <c r="A1722" s="2">
        <v>46009</v>
      </c>
      <c r="B1722" s="1">
        <v>1537.29</v>
      </c>
      <c r="C1722" s="1">
        <v>3161.78</v>
      </c>
      <c r="D1722" s="1">
        <v>963.76</v>
      </c>
      <c r="E1722" s="1">
        <v>1592.34</v>
      </c>
      <c r="F1722" s="1">
        <v>381.78</v>
      </c>
      <c r="G1722" s="1">
        <v>16166.64</v>
      </c>
      <c r="H1722" s="1">
        <v>1730.1</v>
      </c>
      <c r="I1722" s="1">
        <v>3992.11</v>
      </c>
      <c r="J1722" s="1">
        <v>25815.55</v>
      </c>
    </row>
    <row r="1723" spans="1:10">
      <c r="A1723" s="2">
        <v>46010</v>
      </c>
      <c r="B1723" s="1">
        <v>1557.9</v>
      </c>
      <c r="C1723" s="1">
        <v>3162.94</v>
      </c>
      <c r="D1723" s="1">
        <v>969.47</v>
      </c>
      <c r="E1723" s="1">
        <v>1603.99</v>
      </c>
      <c r="F1723" s="1">
        <v>382.4</v>
      </c>
      <c r="G1723" s="1">
        <v>16250.79</v>
      </c>
      <c r="H1723" s="1">
        <v>1729.11</v>
      </c>
      <c r="I1723" s="1">
        <v>4034.1</v>
      </c>
      <c r="J1723" s="1">
        <v>25966.400000000001</v>
      </c>
    </row>
    <row r="1724" spans="1:10">
      <c r="A1724" s="2">
        <v>46013</v>
      </c>
      <c r="B1724" s="1">
        <v>1568.15</v>
      </c>
      <c r="C1724" s="1">
        <v>3204.28</v>
      </c>
      <c r="D1724" s="1">
        <v>971.63</v>
      </c>
      <c r="E1724" s="1">
        <v>1653.81</v>
      </c>
      <c r="F1724" s="1">
        <v>383.97</v>
      </c>
      <c r="G1724" s="1">
        <v>16483.46</v>
      </c>
      <c r="H1724" s="1">
        <v>1753.78</v>
      </c>
      <c r="I1724" s="1">
        <v>4033.01</v>
      </c>
      <c r="J1724" s="1">
        <v>26172.400000000001</v>
      </c>
    </row>
    <row r="1725" spans="1:10">
      <c r="A1725" s="2">
        <v>46014</v>
      </c>
      <c r="B1725" s="1">
        <v>1563.47</v>
      </c>
      <c r="C1725" s="1">
        <v>3189.92</v>
      </c>
      <c r="D1725" s="1">
        <v>980.38</v>
      </c>
      <c r="E1725" s="1">
        <v>1632.96</v>
      </c>
      <c r="F1725" s="1">
        <v>388.41</v>
      </c>
      <c r="G1725" s="1">
        <v>16420.09</v>
      </c>
      <c r="H1725" s="1">
        <v>1740.01</v>
      </c>
      <c r="I1725" s="1">
        <v>4019.54</v>
      </c>
      <c r="J1725" s="1">
        <v>26177.15</v>
      </c>
    </row>
    <row r="1726" spans="1:10">
      <c r="A1726" s="2">
        <v>46015</v>
      </c>
      <c r="B1726" s="1">
        <v>1551.03</v>
      </c>
      <c r="C1726" s="1">
        <v>3198.6</v>
      </c>
      <c r="D1726" s="1">
        <v>980.98</v>
      </c>
      <c r="E1726" s="1">
        <v>1628.17</v>
      </c>
      <c r="F1726" s="1">
        <v>387.69</v>
      </c>
      <c r="G1726" s="1">
        <v>16536.919999999998</v>
      </c>
      <c r="H1726" s="1">
        <v>1721.28</v>
      </c>
      <c r="I1726" s="1">
        <v>4014.39</v>
      </c>
      <c r="J1726" s="1">
        <v>26142.1</v>
      </c>
    </row>
    <row r="1727" spans="1:10">
      <c r="A1727" s="2">
        <v>46017</v>
      </c>
      <c r="B1727" s="1">
        <v>1552.02</v>
      </c>
      <c r="C1727" s="1">
        <v>3161.01</v>
      </c>
      <c r="D1727" s="1">
        <v>975.96</v>
      </c>
      <c r="E1727" s="1">
        <v>1621.02</v>
      </c>
      <c r="F1727" s="1">
        <v>385.36</v>
      </c>
      <c r="G1727" s="1">
        <v>16430.98</v>
      </c>
      <c r="H1727" s="1">
        <v>1703.94</v>
      </c>
      <c r="I1727" s="1">
        <v>4008.15</v>
      </c>
      <c r="J1727" s="1">
        <v>26042.3</v>
      </c>
    </row>
    <row r="1728" spans="1:10">
      <c r="A1728" s="2">
        <v>46020</v>
      </c>
      <c r="B1728" s="1">
        <v>1538.49</v>
      </c>
      <c r="C1728" s="1">
        <v>3133.54</v>
      </c>
      <c r="D1728" s="1">
        <v>975.56</v>
      </c>
      <c r="E1728" s="1">
        <v>1609.86</v>
      </c>
      <c r="F1728" s="1">
        <v>383.88</v>
      </c>
      <c r="G1728" s="1">
        <v>16377.52</v>
      </c>
      <c r="H1728" s="1">
        <v>1701.66</v>
      </c>
      <c r="I1728" s="1">
        <v>3999.63</v>
      </c>
      <c r="J1728" s="1">
        <v>25942.1</v>
      </c>
    </row>
    <row r="1729" spans="1:10">
      <c r="A1729" s="2">
        <v>46021</v>
      </c>
      <c r="B1729" s="1">
        <v>1532.71</v>
      </c>
      <c r="C1729" s="1">
        <v>3129.02</v>
      </c>
      <c r="D1729" s="1">
        <v>974.78</v>
      </c>
      <c r="E1729" s="1">
        <v>1587.25</v>
      </c>
      <c r="F1729" s="1">
        <v>381.97</v>
      </c>
      <c r="G1729" s="1">
        <v>16481.48</v>
      </c>
      <c r="H1729" s="1">
        <v>1704.63</v>
      </c>
      <c r="I1729" s="1">
        <v>4012.81</v>
      </c>
      <c r="J1729" s="1">
        <v>25938.85</v>
      </c>
    </row>
    <row r="1730" spans="1:10">
      <c r="A1730" s="2">
        <v>46022</v>
      </c>
      <c r="B1730" s="1">
        <v>1563.17</v>
      </c>
      <c r="C1730" s="1">
        <v>3089.89</v>
      </c>
      <c r="D1730" s="1">
        <v>975.07</v>
      </c>
      <c r="E1730" s="1">
        <v>1581.18</v>
      </c>
      <c r="F1730" s="1">
        <v>384.26</v>
      </c>
      <c r="G1730" s="1">
        <v>16530.98</v>
      </c>
      <c r="H1730" s="1">
        <v>1704.14</v>
      </c>
      <c r="I1730" s="1">
        <v>4044</v>
      </c>
      <c r="J1730" s="1">
        <v>26129.599999999999</v>
      </c>
    </row>
    <row r="1731" spans="1:10">
      <c r="A1731" s="2">
        <v>46023</v>
      </c>
      <c r="B1731" s="1">
        <v>1568.35</v>
      </c>
      <c r="C1731" s="1">
        <v>3110.32</v>
      </c>
      <c r="D1731" s="1">
        <v>975.02</v>
      </c>
      <c r="E1731" s="1">
        <v>1595.28</v>
      </c>
      <c r="F1731" s="1">
        <v>346.93</v>
      </c>
      <c r="G1731" s="1">
        <v>16541.87</v>
      </c>
      <c r="H1731" s="1">
        <v>1705.52</v>
      </c>
      <c r="I1731" s="1">
        <v>4100.3500000000004</v>
      </c>
      <c r="J1731" s="1">
        <v>26146.55</v>
      </c>
    </row>
    <row r="1732" spans="1:10">
      <c r="A1732" s="2">
        <v>46024</v>
      </c>
      <c r="B1732" s="1">
        <v>1584.97</v>
      </c>
      <c r="C1732" s="1">
        <v>3132.77</v>
      </c>
      <c r="D1732" s="1">
        <v>985.3</v>
      </c>
      <c r="E1732" s="1">
        <v>1605.65</v>
      </c>
      <c r="F1732" s="1">
        <v>333.77</v>
      </c>
      <c r="G1732" s="1">
        <v>16791.36</v>
      </c>
      <c r="H1732" s="1">
        <v>1712.36</v>
      </c>
      <c r="I1732" s="1">
        <v>4123.13</v>
      </c>
      <c r="J1732" s="1">
        <v>26328.55</v>
      </c>
    </row>
    <row r="1733" spans="1:10">
      <c r="A1733" s="2">
        <v>46027</v>
      </c>
      <c r="B1733" s="1">
        <v>1570.84</v>
      </c>
      <c r="C1733" s="1">
        <v>3099.43</v>
      </c>
      <c r="D1733" s="1">
        <v>961.6</v>
      </c>
      <c r="E1733" s="1">
        <v>1572.37</v>
      </c>
      <c r="F1733" s="1">
        <v>333.44</v>
      </c>
      <c r="G1733" s="1">
        <v>16984.419999999998</v>
      </c>
      <c r="H1733" s="1">
        <v>1713.25</v>
      </c>
      <c r="I1733" s="1">
        <v>4110.25</v>
      </c>
      <c r="J1733" s="1">
        <v>26250.3</v>
      </c>
    </row>
    <row r="1734" spans="1:10">
      <c r="A1734" s="2">
        <v>46028</v>
      </c>
      <c r="B1734" s="1">
        <v>1500.66</v>
      </c>
      <c r="C1734" s="1">
        <v>3137.69</v>
      </c>
      <c r="D1734" s="1">
        <v>946.54</v>
      </c>
      <c r="E1734" s="1">
        <v>1578.05</v>
      </c>
      <c r="F1734" s="1">
        <v>326.52</v>
      </c>
      <c r="G1734" s="1">
        <v>17120.060000000001</v>
      </c>
      <c r="H1734" s="1">
        <v>1744.27</v>
      </c>
      <c r="I1734" s="1">
        <v>4100.55</v>
      </c>
      <c r="J1734" s="1">
        <v>26178.7</v>
      </c>
    </row>
    <row r="1735" spans="1:10">
      <c r="A1735" s="2">
        <v>46029</v>
      </c>
      <c r="B1735" s="1">
        <v>1497.28</v>
      </c>
      <c r="C1735" s="1">
        <v>3176.04</v>
      </c>
      <c r="D1735" s="1">
        <v>933.61</v>
      </c>
      <c r="E1735" s="1">
        <v>1604.28</v>
      </c>
      <c r="F1735" s="1">
        <v>325.38</v>
      </c>
      <c r="G1735" s="1">
        <v>16641.87</v>
      </c>
      <c r="H1735" s="1">
        <v>1766.47</v>
      </c>
      <c r="I1735" s="1">
        <v>4116.79</v>
      </c>
      <c r="J1735" s="1">
        <v>26140.75</v>
      </c>
    </row>
    <row r="1736" spans="1:10">
      <c r="A1736" s="2">
        <v>46030</v>
      </c>
      <c r="B1736" s="1">
        <v>1463.83</v>
      </c>
      <c r="C1736" s="1">
        <v>3087.67</v>
      </c>
      <c r="D1736" s="1">
        <v>931.3</v>
      </c>
      <c r="E1736" s="1">
        <v>1579.13</v>
      </c>
      <c r="F1736" s="1">
        <v>325.05</v>
      </c>
      <c r="G1736" s="1">
        <v>16498.310000000001</v>
      </c>
      <c r="H1736" s="1">
        <v>1744.76</v>
      </c>
      <c r="I1736" s="1">
        <v>3989.43</v>
      </c>
      <c r="J1736" s="1">
        <v>25876.85</v>
      </c>
    </row>
    <row r="1737" spans="1:10">
      <c r="A1737" s="2">
        <v>46031</v>
      </c>
      <c r="B1737" s="1">
        <v>1468.51</v>
      </c>
      <c r="C1737" s="1">
        <v>3091.43</v>
      </c>
      <c r="D1737" s="1">
        <v>923.72</v>
      </c>
      <c r="E1737" s="1">
        <v>1579.91</v>
      </c>
      <c r="F1737" s="1">
        <v>321.47000000000003</v>
      </c>
      <c r="G1737" s="1">
        <v>16336.93</v>
      </c>
      <c r="H1737" s="1">
        <v>1714.24</v>
      </c>
      <c r="I1737" s="1">
        <v>3986.26</v>
      </c>
      <c r="J1737" s="1">
        <v>25683.3</v>
      </c>
    </row>
    <row r="1738" spans="1:10">
      <c r="A1738" s="2">
        <v>46034</v>
      </c>
      <c r="B1738" s="1">
        <v>1476.37</v>
      </c>
      <c r="C1738" s="1">
        <v>3122.08</v>
      </c>
      <c r="D1738" s="1">
        <v>921.71</v>
      </c>
      <c r="E1738" s="1">
        <v>1562.1</v>
      </c>
      <c r="F1738" s="1">
        <v>322.66000000000003</v>
      </c>
      <c r="G1738" s="1">
        <v>16417.12</v>
      </c>
      <c r="H1738" s="1">
        <v>1720.29</v>
      </c>
      <c r="I1738" s="1">
        <v>3980.12</v>
      </c>
      <c r="J1738" s="1">
        <v>25790.25</v>
      </c>
    </row>
    <row r="1739" spans="1:10">
      <c r="A1739" s="2">
        <v>46035</v>
      </c>
      <c r="B1739" s="1">
        <v>1446.11</v>
      </c>
      <c r="C1739" s="1">
        <v>3149.45</v>
      </c>
      <c r="D1739" s="1">
        <v>922.1</v>
      </c>
      <c r="E1739" s="1">
        <v>1565.13</v>
      </c>
      <c r="F1739" s="1">
        <v>319.14</v>
      </c>
      <c r="G1739" s="1">
        <v>16262.67</v>
      </c>
      <c r="H1739" s="1">
        <v>1713.05</v>
      </c>
      <c r="I1739" s="1">
        <v>3849.8</v>
      </c>
      <c r="J1739" s="1">
        <v>25732.3</v>
      </c>
    </row>
    <row r="1740" spans="1:10">
      <c r="A1740" s="2">
        <v>46036</v>
      </c>
      <c r="B1740" s="1">
        <v>1452.09</v>
      </c>
      <c r="C1740" s="1">
        <v>3076.68</v>
      </c>
      <c r="D1740" s="1">
        <v>910.39</v>
      </c>
      <c r="E1740" s="1">
        <v>1565.91</v>
      </c>
      <c r="F1740" s="1">
        <v>319.18</v>
      </c>
      <c r="G1740" s="1">
        <v>15991.4</v>
      </c>
      <c r="H1740" s="1">
        <v>1685.31</v>
      </c>
      <c r="I1740" s="1">
        <v>3828.41</v>
      </c>
      <c r="J1740" s="1">
        <v>25665.599999999999</v>
      </c>
    </row>
    <row r="1741" spans="1:10">
      <c r="A1741" s="2">
        <v>46037</v>
      </c>
      <c r="B1741" s="1">
        <v>1452.09</v>
      </c>
      <c r="C1741" s="1">
        <v>3076.68</v>
      </c>
      <c r="D1741" s="1">
        <v>910.39</v>
      </c>
      <c r="E1741" s="1">
        <v>1565.91</v>
      </c>
      <c r="F1741" s="1">
        <v>319.18</v>
      </c>
      <c r="G1741" s="1">
        <v>15991.4</v>
      </c>
      <c r="H1741" s="1">
        <v>1685.31</v>
      </c>
      <c r="I1741" s="1">
        <v>3828.41</v>
      </c>
      <c r="J1741" s="1">
        <v>25665.599999999999</v>
      </c>
    </row>
    <row r="1742" spans="1:10">
      <c r="A1742" s="2">
        <v>46038</v>
      </c>
      <c r="B1742" s="1">
        <v>1451.19</v>
      </c>
      <c r="C1742" s="1">
        <v>3146.55</v>
      </c>
      <c r="D1742" s="1">
        <v>915.95</v>
      </c>
      <c r="E1742" s="1">
        <v>1654.01</v>
      </c>
      <c r="F1742" s="1">
        <v>313.89</v>
      </c>
      <c r="G1742" s="1">
        <v>15701.31</v>
      </c>
      <c r="H1742" s="1">
        <v>1653.79</v>
      </c>
      <c r="I1742" s="1">
        <v>3819.1</v>
      </c>
      <c r="J1742" s="1">
        <v>25694.35</v>
      </c>
    </row>
    <row r="1743" spans="1:10">
      <c r="A1743" s="2">
        <v>46041</v>
      </c>
      <c r="B1743" s="1">
        <v>1407.09</v>
      </c>
      <c r="C1743" s="1">
        <v>3104.26</v>
      </c>
      <c r="D1743" s="1">
        <v>912.8</v>
      </c>
      <c r="E1743" s="1">
        <v>1645.59</v>
      </c>
      <c r="F1743" s="1">
        <v>317.7</v>
      </c>
      <c r="G1743" s="1">
        <v>16015.16</v>
      </c>
      <c r="H1743" s="1">
        <v>1660.24</v>
      </c>
      <c r="I1743" s="1">
        <v>3832.37</v>
      </c>
      <c r="J1743" s="1">
        <v>25585.5</v>
      </c>
    </row>
    <row r="1744" spans="1:10">
      <c r="A1744" s="2">
        <v>46042</v>
      </c>
      <c r="B1744" s="1">
        <v>1387.58</v>
      </c>
      <c r="C1744" s="1">
        <v>3044.11</v>
      </c>
      <c r="D1744" s="1">
        <v>916.05</v>
      </c>
      <c r="E1744" s="1">
        <v>1623.76</v>
      </c>
      <c r="F1744" s="1">
        <v>311.13</v>
      </c>
      <c r="G1744" s="1">
        <v>15721.11</v>
      </c>
      <c r="H1744" s="1">
        <v>1599.19</v>
      </c>
      <c r="I1744" s="1">
        <v>3773.64</v>
      </c>
      <c r="J1744" s="1">
        <v>25232.5</v>
      </c>
    </row>
    <row r="1745" spans="1:10">
      <c r="A1745" s="2">
        <v>46043</v>
      </c>
      <c r="B1745" s="1">
        <v>1398.14</v>
      </c>
      <c r="C1745" s="1">
        <v>3064.03</v>
      </c>
      <c r="D1745" s="1">
        <v>905.38</v>
      </c>
      <c r="E1745" s="1">
        <v>1619.36</v>
      </c>
      <c r="F1745" s="1">
        <v>309.64999999999998</v>
      </c>
      <c r="G1745" s="1">
        <v>15613.2</v>
      </c>
      <c r="H1745" s="1">
        <v>1598.3</v>
      </c>
      <c r="I1745" s="1">
        <v>3730.07</v>
      </c>
      <c r="J1745" s="1">
        <v>25157.5</v>
      </c>
    </row>
    <row r="1746" spans="1:10">
      <c r="A1746" s="2">
        <v>46044</v>
      </c>
      <c r="B1746" s="1">
        <v>1396.05</v>
      </c>
      <c r="C1746" s="1">
        <v>3091.31</v>
      </c>
      <c r="D1746" s="1">
        <v>903.75</v>
      </c>
      <c r="E1746" s="1">
        <v>1628.27</v>
      </c>
      <c r="F1746" s="1">
        <v>309.74</v>
      </c>
      <c r="G1746" s="1">
        <v>15608.25</v>
      </c>
      <c r="H1746" s="1">
        <v>1619.41</v>
      </c>
      <c r="I1746" s="1">
        <v>3757.1</v>
      </c>
      <c r="J1746" s="1">
        <v>25289.9</v>
      </c>
    </row>
    <row r="1747" spans="1:10">
      <c r="A1747" s="2">
        <v>46045</v>
      </c>
      <c r="B1747" s="1">
        <v>1379.72</v>
      </c>
      <c r="C1747" s="1">
        <v>3103.18</v>
      </c>
      <c r="D1747" s="1">
        <v>901.19</v>
      </c>
      <c r="E1747" s="1">
        <v>1635.41</v>
      </c>
      <c r="F1747" s="1">
        <v>308.36</v>
      </c>
      <c r="G1747" s="1">
        <v>15315.19</v>
      </c>
      <c r="H1747" s="1">
        <v>1617.13</v>
      </c>
      <c r="I1747" s="1">
        <v>3707.59</v>
      </c>
      <c r="J1747" s="1">
        <v>25048.65</v>
      </c>
    </row>
    <row r="1748" spans="1:10">
      <c r="A1748" s="2">
        <v>46049</v>
      </c>
      <c r="B1748" s="1">
        <v>1374.15</v>
      </c>
      <c r="C1748" s="1">
        <v>3098.76</v>
      </c>
      <c r="D1748" s="1">
        <v>911.33</v>
      </c>
      <c r="E1748" s="1">
        <v>1647.06</v>
      </c>
      <c r="F1748" s="1">
        <v>303.83</v>
      </c>
      <c r="G1748" s="1">
        <v>15093.42</v>
      </c>
      <c r="H1748" s="1">
        <v>1624.07</v>
      </c>
      <c r="I1748" s="1">
        <v>3751.16</v>
      </c>
      <c r="J1748" s="1">
        <v>25175.4</v>
      </c>
    </row>
    <row r="1749" spans="1:10">
      <c r="A1749" s="2">
        <v>46050</v>
      </c>
      <c r="B1749" s="1">
        <v>1390.27</v>
      </c>
      <c r="C1749" s="1">
        <v>3140.07</v>
      </c>
      <c r="D1749" s="1">
        <v>917.52</v>
      </c>
      <c r="E1749" s="1">
        <v>1631.2</v>
      </c>
      <c r="F1749" s="1">
        <v>306.22000000000003</v>
      </c>
      <c r="G1749" s="1">
        <v>14729.08</v>
      </c>
      <c r="H1749" s="1">
        <v>1596.02</v>
      </c>
      <c r="I1749" s="1">
        <v>3757.3</v>
      </c>
      <c r="J1749" s="1">
        <v>25342.75</v>
      </c>
    </row>
    <row r="1750" spans="1:10">
      <c r="A1750" s="2">
        <v>46051</v>
      </c>
      <c r="B1750" s="1">
        <v>1384.6</v>
      </c>
      <c r="C1750" s="1">
        <v>3085.42</v>
      </c>
      <c r="D1750" s="1">
        <v>920.28</v>
      </c>
      <c r="E1750" s="1">
        <v>1624.35</v>
      </c>
      <c r="F1750" s="1">
        <v>303.77999999999997</v>
      </c>
      <c r="G1750" s="1">
        <v>14357.8</v>
      </c>
      <c r="H1750" s="1">
        <v>1574.92</v>
      </c>
      <c r="I1750" s="1">
        <v>3894.86</v>
      </c>
      <c r="J1750" s="1">
        <v>25418.9</v>
      </c>
    </row>
    <row r="1751" spans="1:10">
      <c r="A1751" s="2">
        <v>46052</v>
      </c>
      <c r="B1751" s="1">
        <v>1388.98</v>
      </c>
      <c r="C1751" s="1">
        <v>3065.3</v>
      </c>
      <c r="D1751" s="1">
        <v>914.13</v>
      </c>
      <c r="E1751" s="1">
        <v>1606.24</v>
      </c>
      <c r="F1751" s="1">
        <v>307.17</v>
      </c>
      <c r="G1751" s="1">
        <v>14453.84</v>
      </c>
      <c r="H1751" s="1">
        <v>1580.86</v>
      </c>
      <c r="I1751" s="1">
        <v>3894.26</v>
      </c>
      <c r="J1751" s="1">
        <v>25320.65</v>
      </c>
    </row>
    <row r="1752" spans="1:10">
      <c r="A1752" s="2">
        <v>46055</v>
      </c>
      <c r="B1752" s="1">
        <v>1384</v>
      </c>
      <c r="C1752" s="1">
        <v>3110.15</v>
      </c>
      <c r="D1752" s="1">
        <v>913</v>
      </c>
      <c r="E1752" s="1">
        <v>1594.89</v>
      </c>
      <c r="F1752" s="1">
        <v>300.07</v>
      </c>
      <c r="G1752" s="1">
        <v>14240.98</v>
      </c>
      <c r="H1752" s="1">
        <v>1613.17</v>
      </c>
      <c r="I1752" s="1">
        <v>3883.37</v>
      </c>
      <c r="J1752" s="1">
        <v>25088.400000000001</v>
      </c>
    </row>
    <row r="1753" spans="1:10">
      <c r="A1753" s="2">
        <v>46056</v>
      </c>
      <c r="B1753" s="1">
        <v>1430.49</v>
      </c>
      <c r="C1753" s="1">
        <v>3164.8</v>
      </c>
      <c r="D1753" s="1">
        <v>933.26</v>
      </c>
      <c r="E1753" s="1">
        <v>1620.92</v>
      </c>
      <c r="F1753" s="1">
        <v>301.92</v>
      </c>
      <c r="G1753" s="1">
        <v>14635.02</v>
      </c>
      <c r="H1753" s="1">
        <v>1686.69</v>
      </c>
      <c r="I1753" s="1">
        <v>3999.73</v>
      </c>
      <c r="J1753" s="1">
        <v>25727.55</v>
      </c>
    </row>
    <row r="1754" spans="1:10">
      <c r="A1754" s="2">
        <v>46057</v>
      </c>
      <c r="B1754" s="1">
        <v>1450.1</v>
      </c>
      <c r="C1754" s="1">
        <v>2942.84</v>
      </c>
      <c r="D1754" s="1">
        <v>937.59</v>
      </c>
      <c r="E1754" s="1">
        <v>1503.27</v>
      </c>
      <c r="F1754" s="1">
        <v>305.52999999999997</v>
      </c>
      <c r="G1754" s="1">
        <v>14921.15</v>
      </c>
      <c r="H1754" s="1">
        <v>1688.97</v>
      </c>
      <c r="I1754" s="1">
        <v>4047.57</v>
      </c>
      <c r="J1754" s="1">
        <v>25776</v>
      </c>
    </row>
    <row r="1755" spans="1:10">
      <c r="A1755" s="2">
        <v>46058</v>
      </c>
      <c r="B1755" s="1">
        <v>1436.76</v>
      </c>
      <c r="C1755" s="1">
        <v>2935.39</v>
      </c>
      <c r="D1755" s="1">
        <v>934.25</v>
      </c>
      <c r="E1755" s="1">
        <v>1488</v>
      </c>
      <c r="F1755" s="1">
        <v>301.97000000000003</v>
      </c>
      <c r="G1755" s="1">
        <v>14909.27</v>
      </c>
      <c r="H1755" s="1">
        <v>1698.15</v>
      </c>
      <c r="I1755" s="1">
        <v>4024</v>
      </c>
      <c r="J1755" s="1">
        <v>25642.799999999999</v>
      </c>
    </row>
    <row r="1756" spans="1:10">
      <c r="A1756" s="2">
        <v>46059</v>
      </c>
      <c r="B1756" s="1">
        <v>1444.12</v>
      </c>
      <c r="C1756" s="1">
        <v>2886.42</v>
      </c>
      <c r="D1756" s="1">
        <v>925.79</v>
      </c>
      <c r="E1756" s="1">
        <v>1475.18</v>
      </c>
      <c r="F1756" s="1">
        <v>317.16000000000003</v>
      </c>
      <c r="G1756" s="1">
        <v>14847.88</v>
      </c>
      <c r="H1756" s="1">
        <v>1690.67</v>
      </c>
      <c r="I1756" s="1">
        <v>4028.75</v>
      </c>
      <c r="J1756" s="1">
        <v>25693.7</v>
      </c>
    </row>
    <row r="1757" spans="1:10">
      <c r="A1757" s="2">
        <v>46062</v>
      </c>
      <c r="B1757" s="1">
        <v>1454.87</v>
      </c>
      <c r="C1757" s="1">
        <v>2892.9</v>
      </c>
      <c r="D1757" s="1">
        <v>922</v>
      </c>
      <c r="E1757" s="1">
        <v>1465.49</v>
      </c>
      <c r="F1757" s="1">
        <v>314.24</v>
      </c>
      <c r="G1757" s="1">
        <v>14829.07</v>
      </c>
      <c r="H1757" s="1">
        <v>1700.14</v>
      </c>
      <c r="I1757" s="1">
        <v>4073.81</v>
      </c>
      <c r="J1757" s="1">
        <v>25867.3</v>
      </c>
    </row>
    <row r="1758" spans="1:10">
      <c r="A1758" s="2">
        <v>46063</v>
      </c>
      <c r="B1758" s="1">
        <v>1451.79</v>
      </c>
      <c r="C1758" s="1">
        <v>2928.62</v>
      </c>
      <c r="D1758" s="1">
        <v>917.23</v>
      </c>
      <c r="E1758" s="1">
        <v>1466.08</v>
      </c>
      <c r="F1758" s="1">
        <v>312.88</v>
      </c>
      <c r="G1758" s="1">
        <v>14995.4</v>
      </c>
      <c r="H1758" s="1">
        <v>1703.34</v>
      </c>
      <c r="I1758" s="1">
        <v>4128.67</v>
      </c>
      <c r="J1758" s="1">
        <v>25935.15</v>
      </c>
    </row>
    <row r="1759" spans="1:10">
      <c r="A1759" s="2">
        <v>46064</v>
      </c>
      <c r="B1759" s="1">
        <v>1461.94</v>
      </c>
      <c r="C1759" s="1">
        <v>2855.22</v>
      </c>
      <c r="D1759" s="1">
        <v>912.02</v>
      </c>
      <c r="E1759" s="1">
        <v>1440.72</v>
      </c>
      <c r="F1759" s="1">
        <v>309.81</v>
      </c>
      <c r="G1759" s="1">
        <v>15258.76</v>
      </c>
      <c r="H1759" s="1">
        <v>1706.63</v>
      </c>
      <c r="I1759" s="1">
        <v>4130.0600000000004</v>
      </c>
      <c r="J1759" s="1">
        <v>25953.85</v>
      </c>
    </row>
    <row r="1760" spans="1:10">
      <c r="A1760" s="2">
        <v>46065</v>
      </c>
      <c r="B1760" s="1">
        <v>1442.23</v>
      </c>
      <c r="C1760" s="1">
        <v>2698.51</v>
      </c>
      <c r="D1760" s="1">
        <v>905.62</v>
      </c>
      <c r="E1760" s="1">
        <v>1356.64</v>
      </c>
      <c r="F1760" s="1">
        <v>309.02999999999997</v>
      </c>
      <c r="G1760" s="1">
        <v>15173.61</v>
      </c>
      <c r="H1760" s="1">
        <v>1710.42</v>
      </c>
      <c r="I1760" s="1">
        <v>4145.41</v>
      </c>
      <c r="J1760" s="1">
        <v>25807.200000000001</v>
      </c>
    </row>
    <row r="1761" spans="1:10">
      <c r="A1761" s="2">
        <v>46066</v>
      </c>
      <c r="B1761" s="1">
        <v>1413.07</v>
      </c>
      <c r="C1761" s="1">
        <v>2641.7</v>
      </c>
      <c r="D1761" s="1">
        <v>889.19</v>
      </c>
      <c r="E1761" s="1">
        <v>1340.1</v>
      </c>
      <c r="F1761" s="1">
        <v>305.43</v>
      </c>
      <c r="G1761" s="1">
        <v>15085.5</v>
      </c>
      <c r="H1761" s="1">
        <v>1693.06</v>
      </c>
      <c r="I1761" s="1">
        <v>4133.53</v>
      </c>
      <c r="J1761" s="1">
        <v>25471.1</v>
      </c>
    </row>
    <row r="1762" spans="1:10">
      <c r="A1762" s="2">
        <v>46069</v>
      </c>
      <c r="B1762" s="1">
        <v>1430.49</v>
      </c>
      <c r="C1762" s="1">
        <v>2655.83</v>
      </c>
      <c r="D1762" s="1">
        <v>910.74</v>
      </c>
      <c r="E1762" s="1">
        <v>1336.68</v>
      </c>
      <c r="F1762" s="1">
        <v>309.52</v>
      </c>
      <c r="G1762" s="1">
        <v>14901.34</v>
      </c>
      <c r="H1762" s="1">
        <v>1696.05</v>
      </c>
      <c r="I1762" s="1">
        <v>4160.8599999999997</v>
      </c>
      <c r="J1762" s="1">
        <v>25682.75</v>
      </c>
    </row>
    <row r="1763" spans="1:10">
      <c r="A1763" s="2">
        <v>46070</v>
      </c>
      <c r="B1763" s="1">
        <v>1416.45</v>
      </c>
      <c r="C1763" s="1">
        <v>2666.43</v>
      </c>
      <c r="D1763" s="1">
        <v>910.64</v>
      </c>
      <c r="E1763" s="1">
        <v>1361.73</v>
      </c>
      <c r="F1763" s="1">
        <v>316.82</v>
      </c>
      <c r="G1763" s="1">
        <v>15028.07</v>
      </c>
      <c r="H1763" s="1">
        <v>1712.61</v>
      </c>
      <c r="I1763" s="1">
        <v>4238.3999999999996</v>
      </c>
      <c r="J1763" s="1">
        <v>25725.4</v>
      </c>
    </row>
    <row r="1764" spans="1:10">
      <c r="A1764" s="2">
        <v>46071</v>
      </c>
      <c r="B1764" s="1">
        <v>1434.67</v>
      </c>
      <c r="C1764" s="1">
        <v>2644.35</v>
      </c>
      <c r="D1764" s="1">
        <v>909.65</v>
      </c>
      <c r="E1764" s="1">
        <v>1344.6</v>
      </c>
      <c r="F1764" s="1">
        <v>323.63</v>
      </c>
      <c r="G1764" s="1">
        <v>15013.22</v>
      </c>
      <c r="H1764" s="1">
        <v>1719.89</v>
      </c>
      <c r="I1764" s="1">
        <v>4284.0600000000004</v>
      </c>
      <c r="J1764" s="1">
        <v>25819.35</v>
      </c>
    </row>
    <row r="1765" spans="1:10">
      <c r="A1765" s="2">
        <v>46072</v>
      </c>
      <c r="B1765" s="1">
        <v>1403.01</v>
      </c>
      <c r="C1765" s="1">
        <v>2627.67</v>
      </c>
      <c r="D1765" s="1">
        <v>900.7</v>
      </c>
      <c r="E1765" s="1">
        <v>1341.47</v>
      </c>
      <c r="F1765" s="1">
        <v>317.35000000000002</v>
      </c>
      <c r="G1765" s="1">
        <v>14754.82</v>
      </c>
      <c r="H1765" s="1">
        <v>1708.92</v>
      </c>
      <c r="I1765" s="1">
        <v>4239.1000000000004</v>
      </c>
      <c r="J1765" s="1">
        <v>25454.35</v>
      </c>
    </row>
    <row r="1766" spans="1:10">
      <c r="A1766" s="2">
        <v>46073</v>
      </c>
      <c r="B1766" s="1">
        <v>1412.87</v>
      </c>
      <c r="C1766" s="1">
        <v>2635.81</v>
      </c>
      <c r="D1766" s="1">
        <v>897.01</v>
      </c>
      <c r="E1766" s="1">
        <v>1324.54</v>
      </c>
      <c r="F1766" s="1">
        <v>318.33</v>
      </c>
      <c r="G1766" s="1">
        <v>14828.08</v>
      </c>
      <c r="H1766" s="1">
        <v>1719.89</v>
      </c>
      <c r="I1766" s="1">
        <v>4338.2299999999996</v>
      </c>
      <c r="J1766" s="1">
        <v>25571.25</v>
      </c>
    </row>
    <row r="1767" spans="1:10">
      <c r="A1767" s="2">
        <v>46076</v>
      </c>
      <c r="B1767" s="1">
        <v>1421.43</v>
      </c>
      <c r="C1767" s="1">
        <v>2626.1</v>
      </c>
      <c r="D1767" s="1">
        <v>908.57</v>
      </c>
      <c r="E1767" s="1">
        <v>1299.3800000000001</v>
      </c>
      <c r="F1767" s="1">
        <v>316.77</v>
      </c>
      <c r="G1767" s="1">
        <v>14922.14</v>
      </c>
      <c r="H1767" s="1">
        <v>1727.77</v>
      </c>
      <c r="I1767" s="1">
        <v>4375.3599999999997</v>
      </c>
      <c r="J1767" s="1">
        <v>25713</v>
      </c>
    </row>
    <row r="1768" spans="1:10">
      <c r="A1768" s="2">
        <v>46077</v>
      </c>
      <c r="B1768" s="1">
        <v>1422.22</v>
      </c>
      <c r="C1768" s="1">
        <v>2525.42</v>
      </c>
      <c r="D1768" s="1">
        <v>895.69</v>
      </c>
      <c r="E1768" s="1">
        <v>1248.48</v>
      </c>
      <c r="F1768" s="1">
        <v>314.92</v>
      </c>
      <c r="G1768" s="1">
        <v>14777.59</v>
      </c>
      <c r="H1768" s="1">
        <v>1727.27</v>
      </c>
      <c r="I1768" s="1">
        <v>4218</v>
      </c>
      <c r="J1768" s="1">
        <v>25424.65</v>
      </c>
    </row>
    <row r="1769" spans="1:10">
      <c r="A1769" s="2">
        <v>46078</v>
      </c>
      <c r="B1769" s="1">
        <v>1392.06</v>
      </c>
      <c r="C1769" s="1">
        <v>2579.98</v>
      </c>
      <c r="D1769" s="1">
        <v>892.83</v>
      </c>
      <c r="E1769" s="1">
        <v>1262.77</v>
      </c>
      <c r="F1769" s="1">
        <v>311.27</v>
      </c>
      <c r="G1769" s="1">
        <v>14920.16</v>
      </c>
      <c r="H1769" s="1">
        <v>1759.59</v>
      </c>
      <c r="I1769" s="1">
        <v>4256.92</v>
      </c>
      <c r="J1769" s="1">
        <v>25482.5</v>
      </c>
    </row>
    <row r="1770" spans="1:10">
      <c r="A1770" s="2">
        <v>46079</v>
      </c>
      <c r="B1770" s="1">
        <v>1400.33</v>
      </c>
      <c r="C1770" s="1">
        <v>2598.04</v>
      </c>
      <c r="D1770" s="1">
        <v>883.98</v>
      </c>
      <c r="E1770" s="1">
        <v>1261.8</v>
      </c>
      <c r="F1770" s="1">
        <v>309.86</v>
      </c>
      <c r="G1770" s="1">
        <v>15061.73</v>
      </c>
      <c r="H1770" s="1">
        <v>1781.03</v>
      </c>
      <c r="I1770" s="1">
        <v>4245.04</v>
      </c>
      <c r="J1770" s="1">
        <v>25496.55</v>
      </c>
    </row>
    <row r="1771" spans="1:10">
      <c r="A1771" s="2">
        <v>46080</v>
      </c>
      <c r="B1771" s="1">
        <v>1387.48</v>
      </c>
      <c r="C1771" s="1">
        <v>2587.9299999999998</v>
      </c>
      <c r="D1771" s="1">
        <v>873.31</v>
      </c>
      <c r="E1771" s="1">
        <v>1272.56</v>
      </c>
      <c r="F1771" s="1">
        <v>305.27999999999997</v>
      </c>
      <c r="G1771" s="1">
        <v>14709.27</v>
      </c>
      <c r="H1771" s="1">
        <v>1732.46</v>
      </c>
      <c r="I1771" s="1">
        <v>4236.92</v>
      </c>
      <c r="J1771" s="1">
        <v>25178.65</v>
      </c>
    </row>
    <row r="1772" spans="1:10">
      <c r="A1772" s="2">
        <v>46083</v>
      </c>
      <c r="B1772" s="1">
        <v>1351.75</v>
      </c>
      <c r="C1772" s="1">
        <v>2564.48</v>
      </c>
      <c r="D1772" s="1">
        <v>865.09</v>
      </c>
      <c r="E1772" s="1">
        <v>1261.5999999999999</v>
      </c>
      <c r="F1772" s="1">
        <v>306.55</v>
      </c>
      <c r="G1772" s="1">
        <v>14244.94</v>
      </c>
      <c r="H1772" s="1">
        <v>1747.92</v>
      </c>
      <c r="I1772" s="1">
        <v>4027.36</v>
      </c>
      <c r="J1772" s="1">
        <v>24865.7</v>
      </c>
    </row>
    <row r="1773" spans="1:10">
      <c r="A1773" s="2">
        <v>46085</v>
      </c>
      <c r="B1773" s="1">
        <v>1338.81</v>
      </c>
      <c r="C1773" s="1">
        <v>2539.2600000000002</v>
      </c>
      <c r="D1773" s="1">
        <v>854.52</v>
      </c>
      <c r="E1773" s="1">
        <v>1279.71</v>
      </c>
      <c r="F1773" s="1">
        <v>303.68</v>
      </c>
      <c r="G1773" s="1">
        <v>14017.22</v>
      </c>
      <c r="H1773" s="1">
        <v>1745.92</v>
      </c>
      <c r="I1773" s="1">
        <v>3845.04</v>
      </c>
      <c r="J1773" s="1">
        <v>24480.5</v>
      </c>
    </row>
    <row r="1774" spans="1:10">
      <c r="A1774" s="2">
        <v>46086</v>
      </c>
      <c r="B1774" s="1">
        <v>1383.01</v>
      </c>
      <c r="C1774" s="1">
        <v>2530.4299999999998</v>
      </c>
      <c r="D1774" s="1">
        <v>863.47</v>
      </c>
      <c r="E1774" s="1">
        <v>1278.1400000000001</v>
      </c>
      <c r="F1774" s="1">
        <v>303.24</v>
      </c>
      <c r="G1774" s="1">
        <v>14271.67</v>
      </c>
      <c r="H1774" s="1">
        <v>1779.84</v>
      </c>
      <c r="I1774" s="1">
        <v>3999.63</v>
      </c>
      <c r="J1774" s="1">
        <v>24765.9</v>
      </c>
    </row>
    <row r="1775" spans="1:10">
      <c r="A1775" s="2">
        <v>46087</v>
      </c>
      <c r="B1775" s="1">
        <v>1398.33</v>
      </c>
      <c r="C1775" s="1">
        <v>2509.63</v>
      </c>
      <c r="D1775" s="1">
        <v>843.11</v>
      </c>
      <c r="E1775" s="1">
        <v>1280.69</v>
      </c>
      <c r="F1775" s="1">
        <v>301.49</v>
      </c>
      <c r="G1775" s="1">
        <v>14018.21</v>
      </c>
      <c r="H1775" s="1">
        <v>1794.7</v>
      </c>
      <c r="I1775" s="1">
        <v>3911.59</v>
      </c>
      <c r="J1775" s="1">
        <v>24450.45</v>
      </c>
    </row>
    <row r="1776" spans="1:10">
      <c r="A1776" s="2">
        <v>46090</v>
      </c>
      <c r="B1776" s="1">
        <v>1417.45</v>
      </c>
      <c r="C1776" s="1">
        <v>2479.9899999999998</v>
      </c>
      <c r="D1776" s="1">
        <v>827.02</v>
      </c>
      <c r="E1776" s="1">
        <v>1287.1500000000001</v>
      </c>
      <c r="F1776" s="1">
        <v>297.88</v>
      </c>
      <c r="G1776" s="1">
        <v>13373.69</v>
      </c>
      <c r="H1776" s="1">
        <v>1802.68</v>
      </c>
      <c r="I1776" s="1">
        <v>3804.94</v>
      </c>
      <c r="J1776" s="1">
        <v>24028.05</v>
      </c>
    </row>
    <row r="1777" spans="1:10">
      <c r="A1777" s="2">
        <v>46091</v>
      </c>
      <c r="B1777" s="1">
        <v>1402.32</v>
      </c>
      <c r="C1777" s="1">
        <v>2465.96</v>
      </c>
      <c r="D1777" s="1">
        <v>835.63</v>
      </c>
      <c r="E1777" s="1">
        <v>1268.1600000000001</v>
      </c>
      <c r="F1777" s="1">
        <v>300.85000000000002</v>
      </c>
      <c r="G1777" s="1">
        <v>13729.12</v>
      </c>
      <c r="H1777" s="1">
        <v>1808.06</v>
      </c>
      <c r="I1777" s="1">
        <v>3838.51</v>
      </c>
      <c r="J1777" s="1">
        <v>24261.599999999999</v>
      </c>
    </row>
    <row r="1778" spans="1:10">
      <c r="A1778" s="2">
        <v>46092</v>
      </c>
      <c r="B1778" s="1">
        <v>1383.8</v>
      </c>
      <c r="C1778" s="1">
        <v>2418.66</v>
      </c>
      <c r="D1778" s="1">
        <v>820.38</v>
      </c>
      <c r="E1778" s="1">
        <v>1249.27</v>
      </c>
      <c r="F1778" s="1">
        <v>300.81</v>
      </c>
      <c r="G1778" s="1">
        <v>13362.8</v>
      </c>
      <c r="H1778" s="1">
        <v>1821.13</v>
      </c>
      <c r="I1778" s="1">
        <v>3801.67</v>
      </c>
      <c r="J1778" s="1">
        <v>23866.85</v>
      </c>
    </row>
    <row r="1779" spans="1:10">
      <c r="A1779" s="2">
        <v>46093</v>
      </c>
      <c r="B1779" s="1">
        <v>1385.79</v>
      </c>
      <c r="C1779" s="1">
        <v>2396.59</v>
      </c>
      <c r="D1779" s="1">
        <v>819.2</v>
      </c>
      <c r="E1779" s="1">
        <v>1238.99</v>
      </c>
      <c r="F1779" s="1">
        <v>296.04000000000002</v>
      </c>
      <c r="G1779" s="1">
        <v>12881.63</v>
      </c>
      <c r="H1779" s="1">
        <v>1820.53</v>
      </c>
      <c r="I1779" s="1">
        <v>3683.52</v>
      </c>
      <c r="J1779" s="1">
        <v>23639.15</v>
      </c>
    </row>
    <row r="1780" spans="1:10">
      <c r="A1780" s="2">
        <v>46094</v>
      </c>
      <c r="B1780" s="1">
        <v>1374.35</v>
      </c>
      <c r="C1780" s="1">
        <v>2365.2800000000002</v>
      </c>
      <c r="D1780" s="1">
        <v>803.71</v>
      </c>
      <c r="E1780" s="1">
        <v>1221.8599999999999</v>
      </c>
      <c r="F1780" s="1">
        <v>293.45999999999998</v>
      </c>
      <c r="G1780" s="1">
        <v>12465.81</v>
      </c>
      <c r="H1780" s="1">
        <v>1796.89</v>
      </c>
      <c r="I1780" s="1">
        <v>3405.73</v>
      </c>
      <c r="J1780" s="1">
        <v>23151.1</v>
      </c>
    </row>
    <row r="1781" spans="1:10">
      <c r="A1781" s="2">
        <v>46097</v>
      </c>
      <c r="B1781" s="1">
        <v>1388.68</v>
      </c>
      <c r="C1781" s="1">
        <v>2364.0100000000002</v>
      </c>
      <c r="D1781" s="1">
        <v>826.92</v>
      </c>
      <c r="E1781" s="1">
        <v>1223.33</v>
      </c>
      <c r="F1781" s="1">
        <v>300.07</v>
      </c>
      <c r="G1781" s="1">
        <v>12630.15</v>
      </c>
      <c r="H1781" s="1">
        <v>1778.54</v>
      </c>
      <c r="I1781" s="1">
        <v>3435.84</v>
      </c>
      <c r="J1781" s="1">
        <v>23408.799999999999</v>
      </c>
    </row>
    <row r="1782" spans="1:10">
      <c r="A1782" s="2">
        <v>46098</v>
      </c>
      <c r="B1782" s="1">
        <v>1391.17</v>
      </c>
      <c r="C1782" s="1">
        <v>2346.84</v>
      </c>
      <c r="D1782" s="1">
        <v>831.6</v>
      </c>
      <c r="E1782" s="1">
        <v>1206.79</v>
      </c>
      <c r="F1782" s="1">
        <v>296.77</v>
      </c>
      <c r="G1782" s="1">
        <v>12843.02</v>
      </c>
      <c r="H1782" s="1">
        <v>1789.71</v>
      </c>
      <c r="I1782" s="1">
        <v>3508.53</v>
      </c>
      <c r="J1782" s="1">
        <v>23581.15</v>
      </c>
    </row>
    <row r="1783" spans="1:10">
      <c r="A1783" s="2">
        <v>46099</v>
      </c>
      <c r="B1783" s="1">
        <v>1401.62</v>
      </c>
      <c r="C1783" s="1">
        <v>2395.02</v>
      </c>
      <c r="D1783" s="1">
        <v>829.33</v>
      </c>
      <c r="E1783" s="1">
        <v>1240.26</v>
      </c>
      <c r="F1783" s="1">
        <v>295.99</v>
      </c>
      <c r="G1783" s="1">
        <v>12918.26</v>
      </c>
      <c r="H1783" s="1">
        <v>1773.65</v>
      </c>
      <c r="I1783" s="1">
        <v>3573</v>
      </c>
      <c r="J1783" s="1">
        <v>23777.8</v>
      </c>
    </row>
    <row r="1784" spans="1:10">
      <c r="A1784" s="2">
        <v>46100</v>
      </c>
      <c r="B1784" s="1">
        <v>1378.43</v>
      </c>
      <c r="C1784" s="1">
        <v>2311.81</v>
      </c>
      <c r="D1784" s="1">
        <v>785.21</v>
      </c>
      <c r="E1784" s="1">
        <v>1194.94</v>
      </c>
      <c r="F1784" s="1">
        <v>290.10000000000002</v>
      </c>
      <c r="G1784" s="1">
        <v>12473.73</v>
      </c>
      <c r="H1784" s="1">
        <v>1739.84</v>
      </c>
      <c r="I1784" s="1">
        <v>3401.28</v>
      </c>
      <c r="J1784" s="1">
        <v>23002.15</v>
      </c>
    </row>
    <row r="1785" spans="1:10">
      <c r="A1785" s="2">
        <v>46101</v>
      </c>
      <c r="B1785" s="1">
        <v>1407.89</v>
      </c>
      <c r="C1785" s="1">
        <v>2345.7600000000002</v>
      </c>
      <c r="D1785" s="1">
        <v>767.75</v>
      </c>
      <c r="E1785" s="1">
        <v>1229.3</v>
      </c>
      <c r="F1785" s="1">
        <v>292</v>
      </c>
      <c r="G1785" s="1">
        <v>12475.71</v>
      </c>
      <c r="H1785" s="1">
        <v>1772.45</v>
      </c>
      <c r="I1785" s="1">
        <v>3401.58</v>
      </c>
      <c r="J1785" s="1">
        <v>23114.5</v>
      </c>
    </row>
    <row r="1786" spans="1:10">
      <c r="A1786" s="2">
        <v>46104</v>
      </c>
      <c r="B1786" s="1">
        <v>1401.32</v>
      </c>
      <c r="C1786" s="1">
        <v>2339.09</v>
      </c>
      <c r="D1786" s="1">
        <v>732.04</v>
      </c>
      <c r="E1786" s="1">
        <v>1230.18</v>
      </c>
      <c r="F1786" s="1">
        <v>282.75</v>
      </c>
      <c r="G1786" s="1">
        <v>12232.15</v>
      </c>
      <c r="H1786" s="1">
        <v>1753.8</v>
      </c>
      <c r="I1786" s="1">
        <v>3310.07</v>
      </c>
      <c r="J1786" s="1">
        <v>22512.65</v>
      </c>
    </row>
    <row r="1787" spans="1:10">
      <c r="A1787" s="2">
        <v>46105</v>
      </c>
      <c r="B1787" s="1">
        <v>1405.3</v>
      </c>
      <c r="C1787" s="1">
        <v>2353.8000000000002</v>
      </c>
      <c r="D1787" s="1">
        <v>752.45</v>
      </c>
      <c r="E1787" s="1">
        <v>1251.22</v>
      </c>
      <c r="F1787" s="1">
        <v>283.52999999999997</v>
      </c>
      <c r="G1787" s="1">
        <v>12340.07</v>
      </c>
      <c r="H1787" s="1">
        <v>1748.72</v>
      </c>
      <c r="I1787" s="1">
        <v>3482.78</v>
      </c>
      <c r="J1787" s="1">
        <v>22912.400000000001</v>
      </c>
    </row>
    <row r="1788" spans="1:10">
      <c r="A1788" s="2">
        <v>46106</v>
      </c>
      <c r="B1788" s="1">
        <v>1406.6</v>
      </c>
      <c r="C1788" s="1">
        <v>2332.81</v>
      </c>
      <c r="D1788" s="1">
        <v>769.57</v>
      </c>
      <c r="E1788" s="1">
        <v>1252.01</v>
      </c>
      <c r="F1788" s="1">
        <v>287.86</v>
      </c>
      <c r="G1788" s="1">
        <v>12584.61</v>
      </c>
      <c r="H1788" s="1">
        <v>1790.71</v>
      </c>
      <c r="I1788" s="1">
        <v>3614</v>
      </c>
      <c r="J1788" s="1">
        <v>23306.45</v>
      </c>
    </row>
    <row r="1789" spans="1:10">
      <c r="A1789" s="2">
        <v>46108</v>
      </c>
      <c r="B1789" s="1">
        <v>1341.9</v>
      </c>
      <c r="C1789" s="1">
        <v>2344.9699999999998</v>
      </c>
      <c r="D1789" s="1">
        <v>743.9</v>
      </c>
      <c r="E1789" s="1">
        <v>1242.81</v>
      </c>
      <c r="F1789" s="1">
        <v>286.88</v>
      </c>
      <c r="G1789" s="1">
        <v>12265.81</v>
      </c>
      <c r="H1789" s="1">
        <v>1788.91</v>
      </c>
      <c r="I1789" s="1">
        <v>3529.62</v>
      </c>
      <c r="J1789" s="1">
        <v>22819.599999999999</v>
      </c>
    </row>
    <row r="1790" spans="1:10">
      <c r="A1790" s="2">
        <v>46111</v>
      </c>
      <c r="B1790" s="1">
        <v>1337.71</v>
      </c>
      <c r="C1790" s="1">
        <v>2314.65</v>
      </c>
      <c r="D1790" s="1">
        <v>719.65</v>
      </c>
      <c r="E1790" s="1">
        <v>1224.1099999999999</v>
      </c>
      <c r="F1790" s="1">
        <v>280.07</v>
      </c>
      <c r="G1790" s="1">
        <v>12183.64</v>
      </c>
      <c r="H1790" s="1">
        <v>1752.61</v>
      </c>
      <c r="I1790" s="1">
        <v>3470.21</v>
      </c>
      <c r="J1790" s="1">
        <v>22331.4</v>
      </c>
    </row>
    <row r="1791" spans="1:10">
      <c r="A1791" s="2">
        <v>46113</v>
      </c>
      <c r="B1791" s="1">
        <v>1362.9</v>
      </c>
      <c r="C1791" s="1">
        <v>2363.0300000000002</v>
      </c>
      <c r="D1791" s="1">
        <v>730.17</v>
      </c>
      <c r="E1791" s="1">
        <v>1248.68</v>
      </c>
      <c r="F1791" s="1">
        <v>283.95999999999998</v>
      </c>
      <c r="G1791" s="1">
        <v>12384.62</v>
      </c>
      <c r="H1791" s="1">
        <v>1723.98</v>
      </c>
      <c r="I1791" s="1">
        <v>3572.6</v>
      </c>
      <c r="J1791" s="1">
        <v>22679.4</v>
      </c>
    </row>
    <row r="1792" spans="1:10">
      <c r="A1792" s="2">
        <v>46114</v>
      </c>
      <c r="B1792" s="1">
        <v>1344.28</v>
      </c>
      <c r="C1792" s="1">
        <v>2404.73</v>
      </c>
      <c r="D1792" s="1">
        <v>738.68</v>
      </c>
      <c r="E1792" s="1">
        <v>1273.25</v>
      </c>
      <c r="F1792" s="1">
        <v>285.08</v>
      </c>
      <c r="G1792" s="1">
        <v>12505.41</v>
      </c>
      <c r="H1792" s="1">
        <v>1689.17</v>
      </c>
      <c r="I1792" s="1">
        <v>3578.15</v>
      </c>
      <c r="J1792" s="1">
        <v>22713.1</v>
      </c>
    </row>
    <row r="1793" spans="1:10">
      <c r="A1793" s="2">
        <v>46118</v>
      </c>
      <c r="B1793" s="1">
        <v>1298.7</v>
      </c>
      <c r="C1793" s="1">
        <v>2427.5</v>
      </c>
      <c r="D1793" s="1">
        <v>758.46</v>
      </c>
      <c r="E1793" s="1">
        <v>1278.53</v>
      </c>
      <c r="F1793" s="1">
        <v>287.02999999999997</v>
      </c>
      <c r="G1793" s="1">
        <v>12561.84</v>
      </c>
      <c r="H1793" s="1">
        <v>1690.17</v>
      </c>
      <c r="I1793" s="1">
        <v>3691.64</v>
      </c>
      <c r="J1793" s="1">
        <v>22968.25</v>
      </c>
    </row>
    <row r="1794" spans="1:10">
      <c r="A1794" s="2">
        <v>46119</v>
      </c>
      <c r="B1794" s="1">
        <v>1298.5999999999999</v>
      </c>
      <c r="C1794" s="1">
        <v>2492.16</v>
      </c>
      <c r="D1794" s="1">
        <v>759.44</v>
      </c>
      <c r="E1794" s="1">
        <v>1311.03</v>
      </c>
      <c r="F1794" s="1">
        <v>290.52999999999997</v>
      </c>
      <c r="G1794" s="1">
        <v>12670.75</v>
      </c>
      <c r="H1794" s="1">
        <v>1713.51</v>
      </c>
      <c r="I1794" s="1">
        <v>3687.28</v>
      </c>
      <c r="J1794" s="1">
        <v>23123.65</v>
      </c>
    </row>
    <row r="1795" spans="1:10">
      <c r="A1795" s="2">
        <v>46120</v>
      </c>
      <c r="B1795" s="1">
        <v>1341.6</v>
      </c>
      <c r="C1795" s="1">
        <v>2511.1999999999998</v>
      </c>
      <c r="D1795" s="1">
        <v>802.82</v>
      </c>
      <c r="E1795" s="1">
        <v>1317.69</v>
      </c>
      <c r="F1795" s="1">
        <v>294.43</v>
      </c>
      <c r="G1795" s="1">
        <v>13466.75</v>
      </c>
      <c r="H1795" s="1">
        <v>1710.12</v>
      </c>
      <c r="I1795" s="1">
        <v>3967.15</v>
      </c>
      <c r="J1795" s="1">
        <v>23997.35</v>
      </c>
    </row>
    <row r="1796" spans="1:10">
      <c r="A1796" s="2">
        <v>46121</v>
      </c>
      <c r="B1796" s="1">
        <v>1323.88</v>
      </c>
      <c r="C1796" s="1">
        <v>2540.44</v>
      </c>
      <c r="D1796" s="1">
        <v>784.72</v>
      </c>
      <c r="E1796" s="1">
        <v>1303.4000000000001</v>
      </c>
      <c r="F1796" s="1">
        <v>294.95999999999998</v>
      </c>
      <c r="G1796" s="1">
        <v>13453.88</v>
      </c>
      <c r="H1796" s="1">
        <v>1712.61</v>
      </c>
      <c r="I1796" s="1">
        <v>3858.51</v>
      </c>
      <c r="J1796" s="1">
        <v>23775.1</v>
      </c>
    </row>
    <row r="1797" spans="1:10">
      <c r="A1797" s="2">
        <v>46122</v>
      </c>
      <c r="B1797" s="1">
        <v>1343.99</v>
      </c>
      <c r="C1797" s="1">
        <v>2476.9499999999998</v>
      </c>
      <c r="D1797" s="1">
        <v>797.12</v>
      </c>
      <c r="E1797" s="1">
        <v>1265.1199999999999</v>
      </c>
      <c r="F1797" s="1">
        <v>296.18</v>
      </c>
      <c r="G1797" s="1">
        <v>13572.69</v>
      </c>
      <c r="H1797" s="1">
        <v>1650.57</v>
      </c>
      <c r="I1797" s="1">
        <v>3921.6</v>
      </c>
      <c r="J1797" s="1">
        <v>24050.6</v>
      </c>
    </row>
    <row r="1798" spans="1:10">
      <c r="A1798" s="2">
        <v>46125</v>
      </c>
      <c r="B1798" s="1">
        <v>1309.05</v>
      </c>
      <c r="C1798" s="1">
        <v>2426.2199999999998</v>
      </c>
      <c r="D1798" s="1">
        <v>781.77</v>
      </c>
      <c r="E1798" s="1">
        <v>1249.76</v>
      </c>
      <c r="F1798" s="1">
        <v>290.73</v>
      </c>
      <c r="G1798" s="1">
        <v>12945.98</v>
      </c>
      <c r="H1798" s="1">
        <v>1647.88</v>
      </c>
      <c r="I1798" s="1">
        <v>3916.05</v>
      </c>
      <c r="J1798" s="1">
        <v>23842.65</v>
      </c>
    </row>
    <row r="1799" spans="1:10">
      <c r="A1799" s="2">
        <v>46127</v>
      </c>
      <c r="B1799" s="1">
        <v>1337.91</v>
      </c>
      <c r="C1799" s="1">
        <v>2506.98</v>
      </c>
      <c r="D1799" s="1">
        <v>796.72</v>
      </c>
      <c r="E1799" s="1">
        <v>1277.6500000000001</v>
      </c>
      <c r="F1799" s="1">
        <v>294.04000000000002</v>
      </c>
      <c r="G1799" s="1">
        <v>13156.87</v>
      </c>
      <c r="H1799" s="1">
        <v>1692.17</v>
      </c>
      <c r="I1799" s="1">
        <v>4036.87</v>
      </c>
      <c r="J1799" s="1">
        <v>24231.3</v>
      </c>
    </row>
    <row r="1800" spans="1:10">
      <c r="A1800" s="2">
        <v>46128</v>
      </c>
      <c r="B1800" s="1">
        <v>1337.12</v>
      </c>
      <c r="C1800" s="1">
        <v>2528.56</v>
      </c>
      <c r="D1800" s="1">
        <v>782.51</v>
      </c>
      <c r="E1800" s="1">
        <v>1291.26</v>
      </c>
      <c r="F1800" s="1">
        <v>295.35000000000002</v>
      </c>
      <c r="G1800" s="1">
        <v>13202.41</v>
      </c>
      <c r="H1800" s="1">
        <v>1688.67</v>
      </c>
      <c r="I1800" s="1">
        <v>4079.95</v>
      </c>
      <c r="J1800" s="1">
        <v>24196.75</v>
      </c>
    </row>
    <row r="1801" spans="1:10">
      <c r="A1801" s="2">
        <v>46129</v>
      </c>
      <c r="B1801" s="1">
        <v>1358.72</v>
      </c>
      <c r="C1801" s="1">
        <v>2533.08</v>
      </c>
      <c r="D1801" s="1">
        <v>786.89</v>
      </c>
      <c r="E1801" s="1">
        <v>1290.77</v>
      </c>
      <c r="F1801" s="1">
        <v>298.66000000000003</v>
      </c>
      <c r="G1801" s="1">
        <v>13319.23</v>
      </c>
      <c r="H1801" s="1">
        <v>1671.12</v>
      </c>
      <c r="I1801" s="1">
        <v>4056.48</v>
      </c>
      <c r="J1801" s="1">
        <v>24353.55</v>
      </c>
    </row>
    <row r="1802" spans="1:10">
      <c r="A1802" s="2">
        <v>46132</v>
      </c>
      <c r="B1802" s="1">
        <v>1357.03</v>
      </c>
      <c r="C1802" s="1">
        <v>2531.21</v>
      </c>
      <c r="D1802" s="1">
        <v>782.51</v>
      </c>
      <c r="E1802" s="1">
        <v>1284.8</v>
      </c>
      <c r="F1802" s="1">
        <v>296.91000000000003</v>
      </c>
      <c r="G1802" s="1">
        <v>13316.26</v>
      </c>
      <c r="H1802" s="1">
        <v>1664.24</v>
      </c>
      <c r="I1802" s="1">
        <v>4011.82</v>
      </c>
      <c r="J1802" s="1">
        <v>24364.85</v>
      </c>
    </row>
    <row r="1803" spans="1:10">
      <c r="A1803" s="2">
        <v>46133</v>
      </c>
      <c r="B1803" s="1">
        <v>1347.07</v>
      </c>
      <c r="C1803" s="1">
        <v>2561.5300000000002</v>
      </c>
      <c r="D1803" s="1">
        <v>798.54</v>
      </c>
      <c r="E1803" s="1">
        <v>1285.3900000000001</v>
      </c>
      <c r="F1803" s="1">
        <v>301.44</v>
      </c>
      <c r="G1803" s="1">
        <v>13327.15</v>
      </c>
      <c r="H1803" s="1">
        <v>1660.85</v>
      </c>
      <c r="I1803" s="1">
        <v>4035.98</v>
      </c>
      <c r="J1803" s="1">
        <v>24576.6</v>
      </c>
    </row>
    <row r="1804" spans="1:10">
      <c r="A1804" s="2">
        <v>46134</v>
      </c>
      <c r="B1804" s="1">
        <v>1355.83</v>
      </c>
      <c r="C1804" s="1">
        <v>2490.88</v>
      </c>
      <c r="D1804" s="1">
        <v>786.89</v>
      </c>
      <c r="E1804" s="1">
        <v>1241.73</v>
      </c>
      <c r="F1804" s="1">
        <v>297.39999999999998</v>
      </c>
      <c r="G1804" s="1">
        <v>13204.39</v>
      </c>
      <c r="H1804" s="1">
        <v>1665.44</v>
      </c>
      <c r="I1804" s="1">
        <v>3982.2</v>
      </c>
      <c r="J1804" s="1">
        <v>24378.1</v>
      </c>
    </row>
    <row r="1805" spans="1:10">
      <c r="A1805" s="2">
        <v>46135</v>
      </c>
      <c r="B1805" s="1">
        <v>1337.22</v>
      </c>
      <c r="C1805" s="1">
        <v>2474.5</v>
      </c>
      <c r="D1805" s="1">
        <v>771.59</v>
      </c>
      <c r="E1805" s="1">
        <v>1214.32</v>
      </c>
      <c r="F1805" s="1">
        <v>297.2</v>
      </c>
      <c r="G1805" s="1">
        <v>13029.15</v>
      </c>
      <c r="H1805" s="1">
        <v>1675.71</v>
      </c>
      <c r="I1805" s="1">
        <v>4014.89</v>
      </c>
      <c r="J1805" s="1">
        <v>24173.05</v>
      </c>
    </row>
    <row r="1806" spans="1:10">
      <c r="A1806" s="2">
        <v>46136</v>
      </c>
      <c r="B1806" s="1">
        <v>1321.69</v>
      </c>
      <c r="C1806" s="1">
        <v>2351.94</v>
      </c>
      <c r="D1806" s="1">
        <v>772.08</v>
      </c>
      <c r="E1806" s="1">
        <v>1130.1400000000001</v>
      </c>
      <c r="F1806" s="1">
        <v>293.60000000000002</v>
      </c>
      <c r="G1806" s="1">
        <v>12918.26</v>
      </c>
      <c r="H1806" s="1">
        <v>1616.16</v>
      </c>
      <c r="I1806" s="1">
        <v>3975.47</v>
      </c>
      <c r="J1806" s="1">
        <v>23897.95</v>
      </c>
    </row>
    <row r="1807" spans="1:10">
      <c r="A1807" s="2">
        <v>46139</v>
      </c>
      <c r="B1807" s="1">
        <v>1359.51</v>
      </c>
      <c r="C1807" s="1">
        <v>2401.69</v>
      </c>
      <c r="D1807" s="1">
        <v>776.95</v>
      </c>
      <c r="E1807" s="1">
        <v>1145.51</v>
      </c>
      <c r="F1807" s="1">
        <v>295.79000000000002</v>
      </c>
      <c r="G1807" s="1">
        <v>13090.53</v>
      </c>
      <c r="H1807" s="1">
        <v>1728.97</v>
      </c>
      <c r="I1807" s="1">
        <v>4014.39</v>
      </c>
      <c r="J1807" s="1">
        <v>24092.7</v>
      </c>
    </row>
    <row r="1808" spans="1:10">
      <c r="A1808" s="2">
        <v>46140</v>
      </c>
      <c r="B1808" s="1">
        <v>1382.51</v>
      </c>
      <c r="C1808" s="1">
        <v>2398.84</v>
      </c>
      <c r="D1808" s="1">
        <v>769.82</v>
      </c>
      <c r="E1808" s="1">
        <v>1127.7</v>
      </c>
      <c r="F1808" s="1">
        <v>296.38</v>
      </c>
      <c r="G1808" s="1">
        <v>12763.81</v>
      </c>
      <c r="H1808" s="1">
        <v>1742.73</v>
      </c>
      <c r="I1808" s="1">
        <v>3998.64</v>
      </c>
      <c r="J1808" s="1">
        <v>23995.7</v>
      </c>
    </row>
    <row r="1809" spans="1:10">
      <c r="A1809" s="2">
        <v>46141</v>
      </c>
      <c r="B1809" s="1">
        <v>1418.84</v>
      </c>
      <c r="C1809" s="1">
        <v>2428.2800000000002</v>
      </c>
      <c r="D1809" s="1">
        <v>766.33</v>
      </c>
      <c r="E1809" s="1">
        <v>1142.77</v>
      </c>
      <c r="F1809" s="1">
        <v>307.86</v>
      </c>
      <c r="G1809" s="1">
        <v>13125.18</v>
      </c>
      <c r="H1809" s="1">
        <v>1774.05</v>
      </c>
      <c r="I1809" s="1">
        <v>4056.48</v>
      </c>
      <c r="J1809" s="1">
        <v>24177.65</v>
      </c>
    </row>
    <row r="1810" spans="1:10">
      <c r="A1810" s="2">
        <v>46142</v>
      </c>
      <c r="B1810" s="1">
        <v>1424.22</v>
      </c>
      <c r="C1810" s="1">
        <v>2427.5</v>
      </c>
      <c r="D1810" s="1">
        <v>759.14</v>
      </c>
      <c r="E1810" s="1">
        <v>1156.77</v>
      </c>
      <c r="F1810" s="1">
        <v>306.55</v>
      </c>
      <c r="G1810" s="1">
        <v>13181.62</v>
      </c>
      <c r="H1810" s="1">
        <v>1803.57</v>
      </c>
      <c r="I1810" s="1">
        <v>3975.17</v>
      </c>
      <c r="J1810" s="1">
        <v>23997.55</v>
      </c>
    </row>
    <row r="1811" spans="1:10">
      <c r="A1811" s="2">
        <v>46143</v>
      </c>
      <c r="B1811" s="1">
        <v>1424.22</v>
      </c>
      <c r="C1811" s="1">
        <v>2427.5</v>
      </c>
      <c r="D1811" s="1">
        <v>759.14</v>
      </c>
      <c r="E1811" s="1">
        <v>1156.77</v>
      </c>
      <c r="F1811" s="1">
        <v>306.55</v>
      </c>
      <c r="G1811" s="1">
        <v>13181.62</v>
      </c>
      <c r="H1811" s="1">
        <v>1803.57</v>
      </c>
      <c r="I1811" s="1">
        <v>3975.17</v>
      </c>
      <c r="J1811" s="1">
        <v>23997.55</v>
      </c>
    </row>
    <row r="1812" spans="1:10">
      <c r="A1812" s="2">
        <v>46146</v>
      </c>
      <c r="B1812" s="1">
        <v>1456.37</v>
      </c>
      <c r="C1812" s="1">
        <v>2385.69</v>
      </c>
      <c r="D1812" s="1">
        <v>766.72</v>
      </c>
      <c r="E1812" s="1">
        <v>1143.6500000000001</v>
      </c>
      <c r="F1812" s="1">
        <v>302.85000000000002</v>
      </c>
      <c r="G1812" s="1">
        <v>13444.97</v>
      </c>
      <c r="H1812" s="1">
        <v>1818.73</v>
      </c>
      <c r="I1812" s="1">
        <v>4061.13</v>
      </c>
      <c r="J1812" s="1">
        <v>24119.3</v>
      </c>
    </row>
    <row r="1813" spans="1:10">
      <c r="A1813" s="2">
        <v>46147</v>
      </c>
      <c r="B1813" s="1">
        <v>1456.86</v>
      </c>
      <c r="C1813" s="1">
        <v>2381.77</v>
      </c>
      <c r="D1813" s="1">
        <v>759.73</v>
      </c>
      <c r="E1813" s="1">
        <v>1153.1500000000001</v>
      </c>
      <c r="F1813" s="1">
        <v>303.19</v>
      </c>
      <c r="G1813" s="1">
        <v>13292.5</v>
      </c>
      <c r="H1813" s="1">
        <v>1816.04</v>
      </c>
      <c r="I1813" s="1">
        <v>4015.28</v>
      </c>
      <c r="J1813" s="1">
        <v>24032.799999999999</v>
      </c>
    </row>
    <row r="1814" spans="1:10">
      <c r="A1814" s="2">
        <v>46148</v>
      </c>
      <c r="B1814" s="1">
        <v>1431.28</v>
      </c>
      <c r="C1814" s="1">
        <v>2389.7199999999998</v>
      </c>
      <c r="D1814" s="1">
        <v>783.59</v>
      </c>
      <c r="E1814" s="1">
        <v>1142.48</v>
      </c>
      <c r="F1814" s="1">
        <v>302.45999999999998</v>
      </c>
      <c r="G1814" s="1">
        <v>13585.56</v>
      </c>
      <c r="H1814" s="1">
        <v>1845.36</v>
      </c>
      <c r="I1814" s="1">
        <v>3969.73</v>
      </c>
      <c r="J1814" s="1">
        <v>24330.95</v>
      </c>
    </row>
    <row r="1815" spans="1:10">
      <c r="A1815" s="2">
        <v>46149</v>
      </c>
      <c r="B1815" s="1">
        <v>1429.59</v>
      </c>
      <c r="C1815" s="1">
        <v>2356.35</v>
      </c>
      <c r="D1815" s="1">
        <v>783.1</v>
      </c>
      <c r="E1815" s="1">
        <v>1138.07</v>
      </c>
      <c r="F1815" s="1">
        <v>299.25</v>
      </c>
      <c r="G1815" s="1">
        <v>13633.08</v>
      </c>
      <c r="H1815" s="1">
        <v>1829.6</v>
      </c>
      <c r="I1815" s="1">
        <v>3984.09</v>
      </c>
      <c r="J1815" s="1">
        <v>24326.65</v>
      </c>
    </row>
    <row r="1816" spans="1:10">
      <c r="A1816" s="2">
        <v>46150</v>
      </c>
      <c r="B1816" s="1">
        <v>1428.59</v>
      </c>
      <c r="C1816" s="1">
        <v>2349.4899999999998</v>
      </c>
      <c r="D1816" s="1">
        <v>768.15</v>
      </c>
      <c r="E1816" s="1">
        <v>1154.22</v>
      </c>
      <c r="F1816" s="1">
        <v>299.3</v>
      </c>
      <c r="G1816" s="1">
        <v>13589.52</v>
      </c>
      <c r="H1816" s="1">
        <v>1843.07</v>
      </c>
      <c r="I1816" s="1">
        <v>3936.06</v>
      </c>
      <c r="J1816" s="1">
        <v>24176.15</v>
      </c>
    </row>
    <row r="1817" spans="1:10">
      <c r="A1817" s="2">
        <v>46153</v>
      </c>
      <c r="B1817" s="1">
        <v>1381.81</v>
      </c>
      <c r="C1817" s="1">
        <v>2348.0100000000002</v>
      </c>
      <c r="D1817" s="1">
        <v>751.23</v>
      </c>
      <c r="E1817" s="1">
        <v>1152.07</v>
      </c>
      <c r="F1817" s="1">
        <v>297.74</v>
      </c>
      <c r="G1817" s="1">
        <v>13348.94</v>
      </c>
      <c r="H1817" s="1">
        <v>1867.8</v>
      </c>
      <c r="I1817" s="1">
        <v>3902.09</v>
      </c>
      <c r="J1817" s="1">
        <v>23815.85</v>
      </c>
    </row>
    <row r="1818" spans="1:10">
      <c r="A1818" s="2">
        <v>46154</v>
      </c>
      <c r="B1818" s="1">
        <v>1357.72</v>
      </c>
      <c r="C1818" s="1">
        <v>2257.15</v>
      </c>
      <c r="D1818" s="1">
        <v>738.24</v>
      </c>
      <c r="E1818" s="1">
        <v>1116.1500000000001</v>
      </c>
      <c r="F1818" s="1">
        <v>292.73</v>
      </c>
      <c r="G1818" s="1">
        <v>13041.03</v>
      </c>
      <c r="H1818" s="1">
        <v>1840.88</v>
      </c>
      <c r="I1818" s="1">
        <v>3819.2</v>
      </c>
      <c r="J1818" s="1">
        <v>23379.55</v>
      </c>
    </row>
    <row r="1819" spans="1:10">
      <c r="A1819" s="2">
        <v>46155</v>
      </c>
      <c r="B1819" s="1">
        <v>1352.55</v>
      </c>
      <c r="C1819" s="1">
        <v>2230.17</v>
      </c>
      <c r="D1819" s="1">
        <v>737.4</v>
      </c>
      <c r="E1819" s="1">
        <v>1099.31</v>
      </c>
      <c r="F1819" s="1">
        <v>296.38</v>
      </c>
      <c r="G1819" s="1">
        <v>12972.71</v>
      </c>
      <c r="H1819" s="1">
        <v>1820.03</v>
      </c>
      <c r="I1819" s="1">
        <v>3877.92</v>
      </c>
      <c r="J1819" s="1">
        <v>23412.6</v>
      </c>
    </row>
    <row r="1820" spans="1:10">
      <c r="A1820" s="2">
        <v>46156</v>
      </c>
      <c r="B1820" s="1">
        <v>1355.53</v>
      </c>
      <c r="C1820" s="1">
        <v>2203.87</v>
      </c>
      <c r="D1820" s="1">
        <v>757.03</v>
      </c>
      <c r="E1820" s="1">
        <v>1071.81</v>
      </c>
      <c r="F1820" s="1">
        <v>299.05</v>
      </c>
      <c r="G1820" s="1">
        <v>12944.99</v>
      </c>
      <c r="H1820" s="1">
        <v>1858.33</v>
      </c>
      <c r="I1820" s="1">
        <v>3902.28</v>
      </c>
      <c r="J1820" s="1">
        <v>23689.599999999999</v>
      </c>
    </row>
    <row r="1821" spans="1:10">
      <c r="A1821" s="2">
        <v>46157</v>
      </c>
      <c r="B1821" s="1">
        <v>1330.25</v>
      </c>
      <c r="C1821" s="1">
        <v>2221.5300000000002</v>
      </c>
      <c r="D1821" s="1">
        <v>755.01</v>
      </c>
      <c r="E1821" s="1">
        <v>1095.3</v>
      </c>
      <c r="F1821" s="1">
        <v>301.24</v>
      </c>
      <c r="G1821" s="1">
        <v>13089.54</v>
      </c>
      <c r="H1821" s="1">
        <v>1873.29</v>
      </c>
      <c r="I1821" s="1">
        <v>3871.19</v>
      </c>
      <c r="J1821" s="1">
        <v>23643.5</v>
      </c>
    </row>
    <row r="1822" spans="1:10">
      <c r="A1822" s="2">
        <v>46160</v>
      </c>
      <c r="B1822" s="1">
        <v>1329.75</v>
      </c>
      <c r="C1822" s="1">
        <v>2240.37</v>
      </c>
      <c r="D1822" s="1">
        <v>756.14</v>
      </c>
      <c r="E1822" s="1">
        <v>1118.3</v>
      </c>
      <c r="F1822" s="1">
        <v>301.92</v>
      </c>
      <c r="G1822" s="1">
        <v>12886.58</v>
      </c>
      <c r="H1822" s="1">
        <v>1900.82</v>
      </c>
      <c r="I1822" s="1">
        <v>3879.9</v>
      </c>
      <c r="J1822" s="1">
        <v>23649.95</v>
      </c>
    </row>
    <row r="1823" spans="1:10">
      <c r="A1823" s="2">
        <v>46161</v>
      </c>
      <c r="B1823" s="1">
        <v>1316.61</v>
      </c>
      <c r="C1823" s="1">
        <v>2283.4499999999998</v>
      </c>
      <c r="D1823" s="1">
        <v>750.04</v>
      </c>
      <c r="E1823" s="1">
        <v>1171.55</v>
      </c>
      <c r="F1823" s="1">
        <v>302.07</v>
      </c>
      <c r="G1823" s="1">
        <v>12827.18</v>
      </c>
      <c r="H1823" s="1">
        <v>1877.38</v>
      </c>
      <c r="I1823" s="1">
        <v>3883.07</v>
      </c>
      <c r="J1823" s="1">
        <v>23618</v>
      </c>
    </row>
    <row r="1824" spans="1:10">
      <c r="A1824" s="2">
        <v>46162</v>
      </c>
      <c r="B1824" s="1">
        <v>1353.44</v>
      </c>
      <c r="C1824" s="1">
        <v>2283.7399999999998</v>
      </c>
      <c r="D1824" s="1">
        <v>747.14</v>
      </c>
      <c r="E1824" s="1">
        <v>1168.42</v>
      </c>
      <c r="F1824" s="1">
        <v>299.39</v>
      </c>
      <c r="G1824" s="1">
        <v>12873.71</v>
      </c>
      <c r="H1824" s="1">
        <v>1875.39</v>
      </c>
      <c r="I1824" s="1">
        <v>3872.87</v>
      </c>
      <c r="J1824" s="1">
        <v>23659</v>
      </c>
    </row>
    <row r="1825" spans="1:10">
      <c r="A1825" s="2">
        <v>46163</v>
      </c>
      <c r="B1825" s="1">
        <v>1343.39</v>
      </c>
      <c r="C1825" s="1">
        <v>2283.5500000000002</v>
      </c>
      <c r="D1825" s="1">
        <v>746.8</v>
      </c>
      <c r="E1825" s="1">
        <v>1156.18</v>
      </c>
      <c r="F1825" s="1">
        <v>299.88</v>
      </c>
      <c r="G1825" s="1">
        <v>12880.64</v>
      </c>
      <c r="H1825" s="1">
        <v>1886.36</v>
      </c>
      <c r="I1825" s="1">
        <v>3890.5</v>
      </c>
      <c r="J1825" s="1">
        <v>23654.7</v>
      </c>
    </row>
    <row r="1826" spans="1:10">
      <c r="A1826" s="2">
        <v>46164</v>
      </c>
      <c r="B1826" s="1">
        <v>1348.27</v>
      </c>
      <c r="C1826" s="1">
        <v>2273.83</v>
      </c>
      <c r="D1826" s="1">
        <v>754.32</v>
      </c>
      <c r="E1826" s="1">
        <v>1149.6199999999999</v>
      </c>
      <c r="F1826" s="1">
        <v>293.7</v>
      </c>
      <c r="G1826" s="1">
        <v>12857.87</v>
      </c>
      <c r="H1826" s="1">
        <v>1839.78</v>
      </c>
      <c r="I1826" s="1">
        <v>3926.6</v>
      </c>
      <c r="J1826" s="1">
        <v>23719.3</v>
      </c>
    </row>
    <row r="1827" spans="1:10">
      <c r="A1827" s="2">
        <v>46167</v>
      </c>
      <c r="B1827" s="1">
        <v>1360.71</v>
      </c>
      <c r="C1827" s="1">
        <v>2295.61</v>
      </c>
      <c r="D1827" s="1">
        <v>774.05</v>
      </c>
      <c r="E1827" s="1">
        <v>1143.75</v>
      </c>
      <c r="F1827" s="1">
        <v>295.89</v>
      </c>
      <c r="G1827" s="1">
        <v>13039.05</v>
      </c>
      <c r="H1827" s="1">
        <v>1835.79</v>
      </c>
      <c r="I1827" s="1">
        <v>4033.4</v>
      </c>
      <c r="J1827" s="1">
        <v>24031.7</v>
      </c>
    </row>
    <row r="1828" spans="1:10">
      <c r="A1828" s="2">
        <v>46168</v>
      </c>
      <c r="B1828" s="1">
        <v>1350.06</v>
      </c>
      <c r="C1828" s="1">
        <v>2263.79</v>
      </c>
      <c r="D1828" s="1">
        <v>766.23</v>
      </c>
      <c r="E1828" s="1">
        <v>1142.97</v>
      </c>
      <c r="F1828" s="1">
        <v>293.64999999999998</v>
      </c>
      <c r="G1828" s="1">
        <v>13076.67</v>
      </c>
      <c r="H1828" s="1">
        <v>1835.99</v>
      </c>
      <c r="I1828" s="1">
        <v>4037.8</v>
      </c>
      <c r="J1828" s="1">
        <v>23913.7</v>
      </c>
    </row>
    <row r="1829" spans="1:10">
      <c r="A1829" s="2">
        <v>46169</v>
      </c>
      <c r="B1829" s="1">
        <v>1344.28</v>
      </c>
      <c r="C1829" s="1">
        <v>2271.7399999999998</v>
      </c>
      <c r="D1829" s="1">
        <v>746.31</v>
      </c>
      <c r="E1829" s="1">
        <v>1135.33</v>
      </c>
      <c r="F1829" s="1">
        <v>291.95</v>
      </c>
      <c r="G1829" s="1">
        <v>13231.12</v>
      </c>
      <c r="H1829" s="1">
        <v>1839.48</v>
      </c>
      <c r="I1829" s="1">
        <v>4047.5</v>
      </c>
      <c r="J1829" s="1">
        <v>23907.15</v>
      </c>
    </row>
    <row r="1830" spans="1:10">
      <c r="A1830" s="2">
        <v>46170</v>
      </c>
      <c r="B1830" s="1">
        <v>1344.28</v>
      </c>
      <c r="C1830" s="1">
        <v>2271.7399999999998</v>
      </c>
      <c r="D1830" s="1">
        <v>746.31</v>
      </c>
      <c r="E1830" s="1">
        <v>1135.33</v>
      </c>
      <c r="F1830" s="1">
        <v>291.95</v>
      </c>
      <c r="G1830" s="1">
        <v>13231.12</v>
      </c>
      <c r="H1830" s="1">
        <v>1839.48</v>
      </c>
      <c r="I1830" s="1">
        <v>4047.5</v>
      </c>
      <c r="J1830" s="1">
        <v>23907.15</v>
      </c>
    </row>
    <row r="1831" spans="1:10">
      <c r="A1831" s="2">
        <v>46171</v>
      </c>
      <c r="B1831" s="1">
        <v>1315.12</v>
      </c>
      <c r="C1831" s="1">
        <v>2246.58</v>
      </c>
      <c r="D1831" s="1">
        <v>732.44</v>
      </c>
      <c r="E1831" s="1">
        <v>1136.31</v>
      </c>
      <c r="F1831" s="1">
        <v>286.89999999999998</v>
      </c>
      <c r="G1831" s="1">
        <v>12996.48</v>
      </c>
      <c r="H1831" s="1">
        <v>1794.5</v>
      </c>
      <c r="I1831" s="1">
        <v>4076.5</v>
      </c>
      <c r="J1831" s="1">
        <v>23547.75</v>
      </c>
    </row>
    <row r="1832" spans="1:10">
      <c r="A1832" s="2">
        <v>46174</v>
      </c>
      <c r="B1832" s="1">
        <v>1313.92</v>
      </c>
      <c r="C1832" s="1">
        <v>2284.87</v>
      </c>
      <c r="D1832" s="1">
        <v>730.62</v>
      </c>
      <c r="E1832" s="1">
        <v>1177.03</v>
      </c>
      <c r="F1832" s="1">
        <v>279.64999999999998</v>
      </c>
      <c r="G1832" s="1">
        <v>12817.28</v>
      </c>
      <c r="H1832" s="1">
        <v>1791.8</v>
      </c>
      <c r="I1832" s="1">
        <v>4010.8</v>
      </c>
      <c r="J1832" s="1">
        <v>23382.6</v>
      </c>
    </row>
    <row r="1833" spans="1:10">
      <c r="A1833" s="2">
        <v>46175</v>
      </c>
      <c r="B1833" s="1">
        <v>1308.55</v>
      </c>
      <c r="C1833" s="1">
        <v>2433.56</v>
      </c>
      <c r="D1833" s="1">
        <v>736.08</v>
      </c>
      <c r="E1833" s="1">
        <v>1243.8800000000001</v>
      </c>
      <c r="F1833" s="1">
        <v>283.25</v>
      </c>
      <c r="G1833" s="1">
        <v>12892.52</v>
      </c>
      <c r="H1833" s="1">
        <v>1785.22</v>
      </c>
      <c r="I1833" s="1">
        <v>4000.9</v>
      </c>
      <c r="J1833" s="1">
        <v>23483.55</v>
      </c>
    </row>
    <row r="1834" spans="1:10">
      <c r="A1834" s="2">
        <v>46176</v>
      </c>
      <c r="B1834" s="1">
        <v>1307.1600000000001</v>
      </c>
      <c r="C1834" s="1">
        <v>2229.48</v>
      </c>
      <c r="D1834" s="1">
        <v>741.39</v>
      </c>
      <c r="E1834" s="1">
        <v>1196.7</v>
      </c>
      <c r="F1834" s="1">
        <v>277</v>
      </c>
      <c r="G1834" s="1">
        <v>12914.3</v>
      </c>
      <c r="H1834" s="1">
        <v>1783.82</v>
      </c>
      <c r="I1834" s="1">
        <v>3953.2</v>
      </c>
      <c r="J1834" s="1">
        <v>23405.599999999999</v>
      </c>
    </row>
    <row r="1835" spans="1:10">
      <c r="A1835" s="2">
        <v>46177</v>
      </c>
      <c r="B1835" s="1">
        <v>1297.7</v>
      </c>
      <c r="C1835" s="1">
        <v>2228.7800000000002</v>
      </c>
      <c r="D1835" s="1">
        <v>741.93</v>
      </c>
      <c r="E1835" s="1">
        <v>1175.8599999999999</v>
      </c>
      <c r="F1835" s="1">
        <v>280.3</v>
      </c>
      <c r="G1835" s="1">
        <v>12934.1</v>
      </c>
      <c r="H1835" s="1">
        <v>1775.45</v>
      </c>
      <c r="I1835" s="1">
        <v>3942.1</v>
      </c>
      <c r="J1835" s="1">
        <v>23416.55</v>
      </c>
    </row>
    <row r="1836" spans="1:10">
      <c r="A1836" s="2">
        <v>46178</v>
      </c>
      <c r="B1836" s="1">
        <v>1291</v>
      </c>
      <c r="C1836" s="1">
        <v>2186.91</v>
      </c>
      <c r="D1836" s="1">
        <v>734.9</v>
      </c>
      <c r="E1836" s="1">
        <v>1172.1400000000001</v>
      </c>
      <c r="F1836" s="1">
        <v>280.7</v>
      </c>
      <c r="G1836" s="1">
        <v>12920.24</v>
      </c>
      <c r="H1836" s="1">
        <v>1777.54</v>
      </c>
      <c r="I1836" s="1">
        <v>3953.2</v>
      </c>
      <c r="J1836" s="1">
        <v>23366.7</v>
      </c>
    </row>
    <row r="1837" spans="1:10">
      <c r="A1837" s="2">
        <v>46181</v>
      </c>
      <c r="B1837" s="1">
        <v>1263.3</v>
      </c>
      <c r="C1837" s="1">
        <v>2139.67</v>
      </c>
      <c r="D1837" s="1">
        <v>726.63</v>
      </c>
      <c r="E1837" s="1">
        <v>1162.45</v>
      </c>
      <c r="F1837" s="1">
        <v>279.45</v>
      </c>
      <c r="G1837" s="1">
        <v>12783.61</v>
      </c>
      <c r="H1837" s="1">
        <v>1784.12</v>
      </c>
      <c r="I1837" s="1">
        <v>3875.5</v>
      </c>
      <c r="J1837" s="1">
        <v>23123</v>
      </c>
    </row>
    <row r="1838" spans="1:10">
      <c r="A1838" s="2">
        <v>46182</v>
      </c>
      <c r="B1838" s="1">
        <v>1269.2</v>
      </c>
      <c r="C1838" s="1">
        <v>2139.27</v>
      </c>
      <c r="D1838" s="1">
        <v>726.34</v>
      </c>
      <c r="E1838" s="1">
        <v>1155.3</v>
      </c>
      <c r="F1838" s="1">
        <v>280</v>
      </c>
      <c r="G1838" s="1">
        <v>12989.54</v>
      </c>
      <c r="H1838" s="1">
        <v>1774.35</v>
      </c>
      <c r="I1838" s="1">
        <v>3900.6</v>
      </c>
      <c r="J1838" s="1">
        <v>23242.1</v>
      </c>
    </row>
    <row r="1839" spans="1:10">
      <c r="A1839" s="2">
        <v>46183</v>
      </c>
      <c r="B1839" s="1">
        <v>1258.8</v>
      </c>
      <c r="C1839" s="1">
        <v>2142.15</v>
      </c>
      <c r="D1839" s="1">
        <v>734.7</v>
      </c>
      <c r="E1839" s="1">
        <v>1145.3</v>
      </c>
      <c r="F1839" s="1">
        <v>283.64999999999998</v>
      </c>
      <c r="G1839" s="1">
        <v>12943.01</v>
      </c>
      <c r="H1839" s="1">
        <v>1781.73</v>
      </c>
      <c r="I1839" s="1">
        <v>3917.5</v>
      </c>
      <c r="J1839" s="1">
        <v>23214.95</v>
      </c>
    </row>
    <row r="1840" spans="1:10">
      <c r="A1840" s="2">
        <v>46184</v>
      </c>
      <c r="B1840" s="1">
        <v>1263</v>
      </c>
      <c r="C1840" s="1">
        <v>2123.9499999999998</v>
      </c>
      <c r="D1840" s="1">
        <v>732.49</v>
      </c>
      <c r="E1840" s="1">
        <v>1114.5999999999999</v>
      </c>
      <c r="F1840" s="1">
        <v>282.39999999999998</v>
      </c>
      <c r="G1840" s="1">
        <v>12967.76</v>
      </c>
      <c r="H1840" s="1">
        <v>1789.51</v>
      </c>
      <c r="I1840" s="1">
        <v>3862</v>
      </c>
      <c r="J1840" s="1">
        <v>23161.599999999999</v>
      </c>
    </row>
    <row r="1841" spans="1:10">
      <c r="A1841" s="2">
        <v>46185</v>
      </c>
      <c r="B1841" s="1">
        <v>1293</v>
      </c>
      <c r="C1841" s="1">
        <v>2149.61</v>
      </c>
      <c r="D1841" s="1">
        <v>759.88</v>
      </c>
      <c r="E1841" s="1">
        <v>1116.4000000000001</v>
      </c>
      <c r="F1841" s="1">
        <v>285.10000000000002</v>
      </c>
      <c r="G1841" s="1">
        <v>13233.1</v>
      </c>
      <c r="H1841" s="1">
        <v>1802.97</v>
      </c>
      <c r="I1841" s="1">
        <v>4049.3</v>
      </c>
      <c r="J1841" s="1">
        <v>23622.9</v>
      </c>
    </row>
    <row r="1842" spans="1:10">
      <c r="A1842" s="2">
        <v>46188</v>
      </c>
      <c r="B1842" s="1">
        <v>1307</v>
      </c>
      <c r="C1842" s="1">
        <v>2150.21</v>
      </c>
      <c r="D1842" s="1">
        <v>764.7</v>
      </c>
      <c r="E1842" s="1">
        <v>1134.9000000000001</v>
      </c>
      <c r="F1842" s="1">
        <v>287.89999999999998</v>
      </c>
      <c r="G1842" s="1">
        <v>13667.73</v>
      </c>
      <c r="H1842" s="1">
        <v>1801.28</v>
      </c>
      <c r="I1842" s="1">
        <v>4169.8</v>
      </c>
      <c r="J1842" s="1">
        <v>23853.9</v>
      </c>
    </row>
    <row r="1843" spans="1:10">
      <c r="A1843" s="2">
        <v>46189</v>
      </c>
      <c r="B1843" s="1">
        <v>1328.8</v>
      </c>
      <c r="C1843" s="1">
        <v>2187.0100000000002</v>
      </c>
      <c r="D1843" s="1">
        <v>772.13</v>
      </c>
      <c r="E1843" s="1">
        <v>1143.5999999999999</v>
      </c>
      <c r="F1843" s="1">
        <v>291.64999999999998</v>
      </c>
      <c r="G1843" s="1">
        <v>13554.87</v>
      </c>
      <c r="H1843" s="1">
        <v>1795.99</v>
      </c>
      <c r="I1843" s="1">
        <v>4186.3999999999996</v>
      </c>
      <c r="J1843" s="1">
        <v>23989.15</v>
      </c>
    </row>
    <row r="1844" spans="1:10">
      <c r="A1844" s="2">
        <v>46190</v>
      </c>
      <c r="B1844" s="1">
        <v>1332.7</v>
      </c>
      <c r="C1844" s="1">
        <v>2210.88</v>
      </c>
      <c r="D1844" s="1">
        <v>774.29</v>
      </c>
      <c r="E1844" s="1">
        <v>1157.7</v>
      </c>
      <c r="F1844" s="1">
        <v>290.75</v>
      </c>
      <c r="G1844" s="1">
        <v>13494.47</v>
      </c>
      <c r="H1844" s="1">
        <v>1815.64</v>
      </c>
      <c r="I1844" s="1">
        <v>4207.7</v>
      </c>
      <c r="J1844" s="1">
        <v>24085.7</v>
      </c>
    </row>
    <row r="1845" spans="1:10">
      <c r="A1845" s="2">
        <v>46191</v>
      </c>
      <c r="B1845" s="1">
        <v>1328.1</v>
      </c>
      <c r="C1845" s="1">
        <v>2191.29</v>
      </c>
      <c r="D1845" s="1">
        <v>786</v>
      </c>
      <c r="E1845" s="1">
        <v>1127.5</v>
      </c>
      <c r="F1845" s="1">
        <v>291.14999999999998</v>
      </c>
      <c r="G1845" s="1">
        <v>13349.93</v>
      </c>
      <c r="H1845" s="1">
        <v>1820.03</v>
      </c>
      <c r="I1845" s="1">
        <v>4190</v>
      </c>
      <c r="J1845" s="1">
        <v>24168</v>
      </c>
    </row>
    <row r="1846" spans="1:10">
      <c r="A1846" s="2">
        <v>46192</v>
      </c>
      <c r="B1846" s="1">
        <v>1309.5</v>
      </c>
      <c r="C1846" s="1">
        <v>2113.41</v>
      </c>
      <c r="D1846" s="1">
        <v>779.8</v>
      </c>
      <c r="E1846" s="1">
        <v>1051.4000000000001</v>
      </c>
      <c r="F1846" s="1">
        <v>292.5</v>
      </c>
      <c r="G1846" s="1">
        <v>13261.81</v>
      </c>
      <c r="H1846" s="1">
        <v>1833.49</v>
      </c>
      <c r="I1846" s="1">
        <v>4209.3999999999996</v>
      </c>
      <c r="J1846" s="1">
        <v>24013.1</v>
      </c>
    </row>
    <row r="1847" spans="1:10">
      <c r="A1847" s="2">
        <v>46195</v>
      </c>
      <c r="B1847" s="1">
        <v>1326.5</v>
      </c>
      <c r="C1847" s="1">
        <v>2116.1999999999998</v>
      </c>
      <c r="D1847" s="1">
        <v>786.4</v>
      </c>
      <c r="E1847" s="1">
        <v>1065.4000000000001</v>
      </c>
      <c r="F1847" s="1">
        <v>291.25</v>
      </c>
      <c r="G1847" s="1">
        <v>13287.55</v>
      </c>
      <c r="H1847" s="1">
        <v>1858.03</v>
      </c>
      <c r="I1847" s="1">
        <v>4201.3</v>
      </c>
      <c r="J1847" s="1">
        <v>24102.9</v>
      </c>
    </row>
    <row r="1848" spans="1:10">
      <c r="A1848" s="2">
        <v>46196</v>
      </c>
      <c r="B1848" s="1">
        <v>1309.5</v>
      </c>
      <c r="C1848" s="1">
        <v>2048.37</v>
      </c>
      <c r="D1848" s="1">
        <v>774.65</v>
      </c>
      <c r="E1848" s="1">
        <v>1029.3</v>
      </c>
      <c r="F1848" s="1">
        <v>290</v>
      </c>
      <c r="G1848" s="1">
        <v>13317.25</v>
      </c>
      <c r="H1848" s="1">
        <v>1863.12</v>
      </c>
      <c r="I1848" s="1">
        <v>4179.3999999999996</v>
      </c>
      <c r="J1848" s="1">
        <v>23824.1</v>
      </c>
    </row>
    <row r="1849" spans="1:10">
      <c r="A1849" s="2">
        <v>46197</v>
      </c>
      <c r="B1849" s="1">
        <v>1313.6</v>
      </c>
      <c r="C1849" s="1">
        <v>2097.5</v>
      </c>
      <c r="D1849" s="1">
        <v>793.2</v>
      </c>
      <c r="E1849" s="1">
        <v>1056.5999999999999</v>
      </c>
      <c r="F1849" s="1">
        <v>290.35000000000002</v>
      </c>
      <c r="G1849" s="1">
        <v>13116.27</v>
      </c>
      <c r="H1849" s="1">
        <v>1869.5</v>
      </c>
      <c r="I1849" s="1">
        <v>4181.7</v>
      </c>
      <c r="J1849" s="1">
        <v>24021.65</v>
      </c>
    </row>
    <row r="1850" spans="1:10">
      <c r="A1850" s="2">
        <v>46198</v>
      </c>
      <c r="B1850" s="1">
        <v>1318.1</v>
      </c>
      <c r="C1850" s="1">
        <v>2083.2800000000002</v>
      </c>
      <c r="D1850" s="1">
        <v>796.3</v>
      </c>
      <c r="E1850" s="1">
        <v>1041.2</v>
      </c>
      <c r="F1850" s="1">
        <v>290</v>
      </c>
      <c r="G1850" s="1">
        <v>13608.33</v>
      </c>
      <c r="H1850" s="1">
        <v>1857.93</v>
      </c>
      <c r="I1850" s="1">
        <v>4216.3999999999996</v>
      </c>
      <c r="J1850" s="1">
        <v>24056</v>
      </c>
    </row>
    <row r="1851" spans="1:10">
      <c r="A1851" s="2">
        <v>46199</v>
      </c>
      <c r="B1851" s="1">
        <v>1318.1</v>
      </c>
      <c r="C1851" s="1">
        <v>2083.2800000000002</v>
      </c>
      <c r="D1851" s="1">
        <v>796.3</v>
      </c>
      <c r="E1851" s="1">
        <v>1041.2</v>
      </c>
      <c r="F1851" s="1">
        <v>290</v>
      </c>
      <c r="G1851" s="1">
        <v>13608.33</v>
      </c>
      <c r="H1851" s="1">
        <v>1857.93</v>
      </c>
      <c r="I1851" s="1">
        <v>4216.3999999999996</v>
      </c>
      <c r="J1851" s="1">
        <v>24056</v>
      </c>
    </row>
    <row r="1852" spans="1:10">
      <c r="A1852" s="2">
        <v>46202</v>
      </c>
      <c r="B1852" s="1">
        <v>1301</v>
      </c>
      <c r="C1852" s="1">
        <v>2086.46</v>
      </c>
      <c r="D1852" s="1">
        <v>798.9</v>
      </c>
      <c r="E1852" s="1">
        <v>1036.7</v>
      </c>
      <c r="F1852" s="1">
        <v>290.7</v>
      </c>
      <c r="G1852" s="1">
        <v>13278.64</v>
      </c>
      <c r="H1852" s="1">
        <v>1869.9</v>
      </c>
      <c r="I1852" s="1">
        <v>4165.2</v>
      </c>
      <c r="J1852" s="1">
        <v>23946.25</v>
      </c>
    </row>
    <row r="1853" spans="1:10">
      <c r="A1853" s="2">
        <v>46203</v>
      </c>
      <c r="B1853" s="1">
        <v>1293.9000000000001</v>
      </c>
      <c r="C1853" s="1">
        <v>2020.42</v>
      </c>
      <c r="D1853" s="1">
        <v>797.95</v>
      </c>
      <c r="E1853" s="1">
        <v>1000.4</v>
      </c>
      <c r="F1853" s="1">
        <v>286.95</v>
      </c>
      <c r="G1853" s="1">
        <v>13974.65</v>
      </c>
      <c r="H1853" s="1">
        <v>1857.63</v>
      </c>
      <c r="I1853" s="1">
        <v>4143.3999999999996</v>
      </c>
      <c r="J1853" s="1">
        <v>23865.75</v>
      </c>
    </row>
    <row r="1854" spans="1:10">
      <c r="A1854" s="2">
        <v>46204</v>
      </c>
      <c r="B1854" s="1">
        <v>1308</v>
      </c>
      <c r="C1854" s="1">
        <v>1971.79</v>
      </c>
      <c r="D1854" s="1">
        <v>796.15</v>
      </c>
      <c r="E1854" s="1">
        <v>985.3</v>
      </c>
      <c r="F1854" s="1">
        <v>290.3</v>
      </c>
      <c r="G1854" s="1">
        <v>14251.87</v>
      </c>
      <c r="H1854" s="1">
        <v>1861.32</v>
      </c>
      <c r="I1854" s="1">
        <v>4092.6</v>
      </c>
      <c r="J1854" s="1">
        <v>24005.85</v>
      </c>
    </row>
    <row r="1855" spans="1:10">
      <c r="A1855" s="2">
        <v>46205</v>
      </c>
      <c r="B1855" s="1">
        <v>1303.5</v>
      </c>
      <c r="C1855" s="1">
        <v>2056.8200000000002</v>
      </c>
      <c r="D1855" s="1">
        <v>795.9</v>
      </c>
      <c r="E1855" s="1">
        <v>1040.9000000000001</v>
      </c>
      <c r="F1855" s="1">
        <v>289.89999999999998</v>
      </c>
      <c r="G1855" s="1">
        <v>14205.33</v>
      </c>
      <c r="H1855" s="1">
        <v>1866.11</v>
      </c>
      <c r="I1855" s="1">
        <v>4059.4</v>
      </c>
      <c r="J1855" s="1">
        <v>24175.7</v>
      </c>
    </row>
    <row r="1856" spans="1:10">
      <c r="A1856" s="2">
        <v>46206</v>
      </c>
      <c r="B1856" s="1">
        <v>1304</v>
      </c>
      <c r="C1856" s="1">
        <v>2082.08</v>
      </c>
      <c r="D1856" s="1">
        <v>801.05</v>
      </c>
      <c r="E1856" s="1">
        <v>1047.2</v>
      </c>
      <c r="F1856" s="1">
        <v>289.95</v>
      </c>
      <c r="G1856" s="1">
        <v>14223.16</v>
      </c>
      <c r="H1856" s="1">
        <v>1899.82</v>
      </c>
      <c r="I1856" s="1">
        <v>4026.6</v>
      </c>
      <c r="J1856" s="1">
        <v>24270.85</v>
      </c>
    </row>
    <row r="1857" spans="1:10">
      <c r="A1857" s="2">
        <v>46209</v>
      </c>
      <c r="B1857" s="1">
        <v>1321.3</v>
      </c>
      <c r="C1857" s="1">
        <v>2046.38</v>
      </c>
      <c r="D1857" s="1">
        <v>829.85</v>
      </c>
      <c r="E1857" s="1">
        <v>1042.2</v>
      </c>
      <c r="F1857" s="1">
        <v>288.25</v>
      </c>
      <c r="G1857" s="1">
        <v>14312.26</v>
      </c>
      <c r="H1857" s="1">
        <v>1907.8</v>
      </c>
      <c r="I1857" s="1">
        <v>4041</v>
      </c>
      <c r="J1857" s="1">
        <v>24430.35</v>
      </c>
    </row>
    <row r="1858" spans="1:10">
      <c r="A1858" s="2">
        <v>46210</v>
      </c>
      <c r="B1858" s="1">
        <v>1308.4000000000001</v>
      </c>
      <c r="C1858" s="1">
        <v>2084.67</v>
      </c>
      <c r="D1858" s="1">
        <v>829.3</v>
      </c>
      <c r="E1858" s="1">
        <v>1071.8</v>
      </c>
      <c r="F1858" s="1">
        <v>288.75</v>
      </c>
      <c r="G1858" s="1">
        <v>14393.45</v>
      </c>
      <c r="H1858" s="1">
        <v>1903.4</v>
      </c>
      <c r="I1858" s="1">
        <v>3991.9</v>
      </c>
      <c r="J1858" s="1">
        <v>24398.7</v>
      </c>
    </row>
    <row r="1859" spans="1:10">
      <c r="A1859" s="2">
        <v>46211</v>
      </c>
      <c r="B1859" s="1">
        <v>1275.9000000000001</v>
      </c>
      <c r="C1859" s="1">
        <v>2046.28</v>
      </c>
      <c r="D1859" s="1">
        <v>810.3</v>
      </c>
      <c r="E1859" s="1">
        <v>1069.3</v>
      </c>
      <c r="F1859" s="1">
        <v>280.64999999999998</v>
      </c>
      <c r="G1859" s="1">
        <v>13812.28</v>
      </c>
      <c r="H1859" s="1">
        <v>1888.2</v>
      </c>
      <c r="I1859" s="1">
        <v>3892.1</v>
      </c>
      <c r="J1859" s="1">
        <v>23882.05</v>
      </c>
    </row>
    <row r="1860" spans="1:10">
      <c r="A1860" s="2">
        <v>46212</v>
      </c>
      <c r="B1860" s="1">
        <v>1279.8</v>
      </c>
      <c r="C1860" s="1">
        <v>2038.32</v>
      </c>
      <c r="D1860" s="1">
        <v>817.55</v>
      </c>
      <c r="E1860" s="1">
        <v>1050.8</v>
      </c>
      <c r="F1860" s="1">
        <v>282.05</v>
      </c>
      <c r="G1860" s="1">
        <v>13591.5</v>
      </c>
      <c r="H1860" s="1">
        <v>1938.7</v>
      </c>
      <c r="I1860" s="1">
        <v>3886</v>
      </c>
      <c r="J1860" s="1">
        <v>23962.799999999999</v>
      </c>
    </row>
    <row r="1861" spans="1:10">
      <c r="A1861" s="2">
        <v>46213</v>
      </c>
      <c r="B1861" s="1">
        <v>1307.8</v>
      </c>
      <c r="C1861" s="1">
        <v>2057.7199999999998</v>
      </c>
      <c r="D1861" s="1">
        <v>824.95</v>
      </c>
      <c r="E1861" s="1">
        <v>1068</v>
      </c>
      <c r="F1861" s="1">
        <v>281.75</v>
      </c>
      <c r="G1861" s="1">
        <v>13716.25</v>
      </c>
      <c r="H1861" s="1">
        <v>1935.5</v>
      </c>
      <c r="I1861" s="1">
        <v>3945.8</v>
      </c>
      <c r="J1861" s="1">
        <v>24206.9</v>
      </c>
    </row>
    <row r="1862" spans="1:10">
      <c r="A1862" s="2">
        <v>46216</v>
      </c>
      <c r="B1862" s="1">
        <v>1296.9000000000001</v>
      </c>
      <c r="C1862" s="1">
        <v>2169.6</v>
      </c>
      <c r="D1862" s="1">
        <v>817.95</v>
      </c>
      <c r="E1862" s="1">
        <v>1102.5999999999999</v>
      </c>
      <c r="F1862" s="1">
        <v>279.64999999999998</v>
      </c>
      <c r="G1862" s="1">
        <v>13558.83</v>
      </c>
      <c r="H1862" s="1">
        <v>1921.4</v>
      </c>
      <c r="I1862" s="1">
        <v>3928.5</v>
      </c>
      <c r="J1862" s="1">
        <v>24211</v>
      </c>
    </row>
    <row r="1863" spans="1:10">
      <c r="A1863" s="2">
        <v>46217</v>
      </c>
      <c r="B1863" s="1">
        <v>1293</v>
      </c>
      <c r="C1863" s="1">
        <v>2188.6</v>
      </c>
      <c r="D1863" s="1">
        <v>809.4</v>
      </c>
      <c r="E1863" s="1">
        <v>1092.9000000000001</v>
      </c>
      <c r="F1863" s="1">
        <v>275.55</v>
      </c>
      <c r="G1863" s="1">
        <v>13354.88</v>
      </c>
      <c r="H1863" s="1">
        <v>1942.6</v>
      </c>
      <c r="I1863" s="1">
        <v>3848.7</v>
      </c>
      <c r="J1863" s="1">
        <v>24052.05</v>
      </c>
    </row>
    <row r="1864" spans="1:10">
      <c r="A1864" s="2">
        <v>46218</v>
      </c>
      <c r="B1864" s="1">
        <v>1295.5</v>
      </c>
      <c r="C1864" s="1">
        <v>2189.1999999999998</v>
      </c>
      <c r="D1864" s="1">
        <v>815.45</v>
      </c>
      <c r="E1864" s="1">
        <v>1076.3</v>
      </c>
      <c r="F1864" s="1">
        <v>276.64999999999998</v>
      </c>
      <c r="G1864" s="1">
        <v>13447.94</v>
      </c>
      <c r="H1864" s="1">
        <v>1951.5</v>
      </c>
      <c r="I1864" s="1">
        <v>3783.9</v>
      </c>
      <c r="J1864" s="1">
        <v>24078.5</v>
      </c>
    </row>
    <row r="1865" spans="1:10">
      <c r="A1865" s="2">
        <v>46219</v>
      </c>
      <c r="B1865" s="1">
        <v>1296.5999999999999</v>
      </c>
      <c r="C1865" s="1">
        <v>2201</v>
      </c>
      <c r="D1865" s="1">
        <v>808.3</v>
      </c>
      <c r="E1865" s="1">
        <v>1082.4000000000001</v>
      </c>
      <c r="F1865" s="1">
        <v>279.35000000000002</v>
      </c>
      <c r="G1865" s="1">
        <v>13645.95</v>
      </c>
      <c r="H1865" s="1">
        <v>1950.1</v>
      </c>
      <c r="I1865" s="1">
        <v>3775.6</v>
      </c>
      <c r="J1865" s="1">
        <v>24072.75</v>
      </c>
    </row>
    <row r="1866" spans="1:10">
      <c r="A1866" s="2">
        <v>46220</v>
      </c>
      <c r="B1866" s="1">
        <v>1327.2</v>
      </c>
      <c r="C1866" s="1">
        <v>2269</v>
      </c>
      <c r="D1866" s="1">
        <v>819.6</v>
      </c>
      <c r="E1866" s="1">
        <v>1096.5</v>
      </c>
      <c r="F1866" s="1">
        <v>280.7</v>
      </c>
      <c r="G1866" s="1">
        <v>13665.75</v>
      </c>
      <c r="H1866" s="1">
        <v>1932.6</v>
      </c>
      <c r="I1866" s="1">
        <v>3814.5</v>
      </c>
      <c r="J1866" s="1">
        <v>24334.3</v>
      </c>
    </row>
    <row r="1867" spans="1:10">
      <c r="A1867" s="2">
        <v>46223</v>
      </c>
      <c r="B1867" s="1">
        <v>1323.1</v>
      </c>
      <c r="C1867" s="1">
        <v>2251.1</v>
      </c>
      <c r="D1867" s="1">
        <v>777.6</v>
      </c>
      <c r="E1867" s="1">
        <v>1087.0999999999999</v>
      </c>
      <c r="F1867" s="1">
        <v>282.7</v>
      </c>
      <c r="G1867" s="1">
        <v>13379.63</v>
      </c>
      <c r="H1867" s="1">
        <v>1956.4</v>
      </c>
      <c r="I1867" s="1">
        <v>3838.8</v>
      </c>
      <c r="J1867" s="1">
        <v>24238.5</v>
      </c>
    </row>
    <row r="1868" spans="1:10">
      <c r="A1868" s="2">
        <v>46224</v>
      </c>
      <c r="B1868" s="1">
        <v>1303.7</v>
      </c>
      <c r="C1868" s="1">
        <v>2221.1</v>
      </c>
      <c r="D1868" s="1">
        <v>761.45</v>
      </c>
      <c r="E1868" s="1">
        <v>1073.5</v>
      </c>
      <c r="F1868" s="1">
        <v>281</v>
      </c>
      <c r="G1868" s="1">
        <v>13461.8</v>
      </c>
      <c r="H1868" s="1">
        <v>1961.9</v>
      </c>
      <c r="I1868" s="1">
        <v>3846.6</v>
      </c>
      <c r="J1868" s="1">
        <v>24187.7</v>
      </c>
    </row>
    <row r="1869" spans="1:10">
      <c r="A1869" s="2">
        <v>46225</v>
      </c>
      <c r="B1869" s="1">
        <v>1288.5999999999999</v>
      </c>
      <c r="C1869" s="1">
        <v>2208.3000000000002</v>
      </c>
      <c r="D1869" s="1">
        <v>753.15</v>
      </c>
      <c r="E1869" s="1">
        <v>1052.0999999999999</v>
      </c>
      <c r="F1869" s="1">
        <v>280.8</v>
      </c>
      <c r="G1869" s="1">
        <v>13410.32</v>
      </c>
      <c r="H1869" s="1">
        <v>1943</v>
      </c>
      <c r="I1869" s="1">
        <v>3817.4</v>
      </c>
      <c r="J1869" s="1">
        <v>23996.25</v>
      </c>
    </row>
    <row r="1870" spans="1:10">
      <c r="A1870" s="2">
        <v>46226</v>
      </c>
      <c r="B1870" s="1">
        <v>1272.2</v>
      </c>
      <c r="C1870" s="1">
        <v>2242.9</v>
      </c>
      <c r="D1870" s="1">
        <v>747.25</v>
      </c>
      <c r="E1870" s="1">
        <v>1047.4000000000001</v>
      </c>
      <c r="F1870" s="1">
        <v>281.3</v>
      </c>
      <c r="G1870" s="1">
        <v>13269.73</v>
      </c>
      <c r="H1870" s="1">
        <v>1954</v>
      </c>
      <c r="I1870" s="1">
        <v>3792.4</v>
      </c>
      <c r="J1870" s="1">
        <v>23869.599999999999</v>
      </c>
    </row>
    <row r="1871" spans="1:10">
      <c r="A1871" s="2">
        <v>46227</v>
      </c>
      <c r="B1871" s="1">
        <v>1278</v>
      </c>
      <c r="C1871" s="1">
        <v>2254.3000000000002</v>
      </c>
      <c r="D1871" s="1">
        <v>742.8</v>
      </c>
      <c r="E1871" s="1">
        <v>1040.9000000000001</v>
      </c>
      <c r="F1871" s="1">
        <v>283.45</v>
      </c>
      <c r="G1871" s="1">
        <v>13308.34</v>
      </c>
      <c r="H1871" s="1">
        <v>1941.1</v>
      </c>
      <c r="I1871" s="1">
        <v>3785.6</v>
      </c>
      <c r="J1871" s="1">
        <v>23767.45</v>
      </c>
    </row>
    <row r="1872" spans="1:10">
      <c r="A1872" s="2">
        <v>46230</v>
      </c>
      <c r="B1872" s="1">
        <v>1280</v>
      </c>
      <c r="C1872" s="1">
        <v>2295.6</v>
      </c>
      <c r="D1872" s="1">
        <v>739.55</v>
      </c>
      <c r="E1872" s="1">
        <v>1079.2</v>
      </c>
      <c r="F1872" s="1">
        <v>285.85000000000002</v>
      </c>
      <c r="G1872" s="1">
        <v>13593.48</v>
      </c>
      <c r="H1872" s="1">
        <v>1973.7</v>
      </c>
      <c r="I1872" s="1">
        <v>3806</v>
      </c>
      <c r="J1872" s="1">
        <v>23995.95</v>
      </c>
    </row>
    <row r="1873" spans="1:10">
      <c r="A1873" s="2">
        <v>46231</v>
      </c>
      <c r="B1873" s="1">
        <v>1267.7</v>
      </c>
      <c r="C1873" s="1">
        <v>2398</v>
      </c>
      <c r="D1873" s="1">
        <v>735.4</v>
      </c>
      <c r="E1873" s="1">
        <v>1105.7</v>
      </c>
      <c r="F1873" s="1">
        <v>284.64999999999998</v>
      </c>
      <c r="G1873" s="1">
        <v>13664.76</v>
      </c>
      <c r="H1873" s="1">
        <v>1976.7</v>
      </c>
      <c r="I1873" s="1">
        <v>3832</v>
      </c>
      <c r="J1873" s="1">
        <v>23985.35</v>
      </c>
    </row>
    <row r="1874" spans="1:10">
      <c r="A1874" s="2">
        <v>46232</v>
      </c>
      <c r="B1874" s="1">
        <v>1275.9000000000001</v>
      </c>
      <c r="C1874" s="1">
        <v>2446.6</v>
      </c>
      <c r="D1874" s="1">
        <v>748.2</v>
      </c>
      <c r="E1874" s="1">
        <v>1155.5999999999999</v>
      </c>
      <c r="F1874" s="1">
        <v>286.25</v>
      </c>
      <c r="G1874" s="1">
        <v>13809.31</v>
      </c>
      <c r="H1874" s="1">
        <v>1989.9</v>
      </c>
      <c r="I1874" s="1">
        <v>3931.4</v>
      </c>
      <c r="J1874" s="1">
        <v>24250.2</v>
      </c>
    </row>
    <row r="1875" spans="1:10">
      <c r="A1875" s="2">
        <v>46233</v>
      </c>
      <c r="B1875" s="1">
        <v>1292.9000000000001</v>
      </c>
      <c r="C1875" s="1">
        <v>2431.8000000000002</v>
      </c>
      <c r="D1875" s="1">
        <v>753.95</v>
      </c>
      <c r="E1875" s="1">
        <v>1155.0999999999999</v>
      </c>
      <c r="F1875" s="1">
        <v>285.05</v>
      </c>
      <c r="G1875" s="1">
        <v>14046.93</v>
      </c>
      <c r="H1875" s="1">
        <v>2001.1</v>
      </c>
      <c r="I1875" s="1">
        <v>3937.7</v>
      </c>
      <c r="J1875" s="1">
        <v>24317.15</v>
      </c>
    </row>
    <row r="1876" spans="1:10">
      <c r="A1876" s="2">
        <v>46234</v>
      </c>
      <c r="B1876" s="1">
        <v>1307.8</v>
      </c>
      <c r="C1876" s="1">
        <v>2365.6</v>
      </c>
      <c r="D1876" s="1">
        <v>748.15</v>
      </c>
      <c r="E1876" s="1">
        <v>1130.0999999999999</v>
      </c>
      <c r="F1876" s="1">
        <v>281</v>
      </c>
      <c r="G1876" s="1">
        <v>14092.47</v>
      </c>
      <c r="H1876" s="1">
        <v>1990.5</v>
      </c>
      <c r="I1876" s="1">
        <v>3938.9</v>
      </c>
      <c r="J1876" s="1">
        <v>24383.599999999999</v>
      </c>
    </row>
    <row r="1877" spans="1:10">
      <c r="A1877" s="2">
        <v>46237</v>
      </c>
      <c r="B1877" s="1">
        <v>1319</v>
      </c>
      <c r="C1877" s="1">
        <v>2473.6999999999998</v>
      </c>
      <c r="D1877" s="1">
        <v>753</v>
      </c>
      <c r="E1877" s="1">
        <v>1180</v>
      </c>
      <c r="F1877" s="1">
        <v>287</v>
      </c>
      <c r="G1877" s="1">
        <v>14009.3</v>
      </c>
      <c r="H1877" s="1">
        <v>1963.5</v>
      </c>
      <c r="I1877" s="1">
        <v>4025</v>
      </c>
      <c r="J1877" s="1">
        <v>24774.3</v>
      </c>
    </row>
    <row r="1878" spans="1:10">
      <c r="A1878" s="2">
        <v>46238</v>
      </c>
      <c r="B1878" s="1">
        <v>1290.9000000000001</v>
      </c>
      <c r="C1878" s="1">
        <v>2460</v>
      </c>
      <c r="D1878" s="1">
        <v>742</v>
      </c>
      <c r="E1878" s="1">
        <v>1167.5</v>
      </c>
      <c r="F1878" s="1">
        <v>289</v>
      </c>
      <c r="G1878" s="1">
        <v>14027.12</v>
      </c>
      <c r="H1878" s="1">
        <v>1964</v>
      </c>
      <c r="I1878" s="1">
        <v>3990</v>
      </c>
      <c r="J1878" s="1">
        <v>24614.9</v>
      </c>
    </row>
    <row r="1879" spans="1:10">
      <c r="A1879" s="2">
        <v>46239</v>
      </c>
      <c r="B1879" s="1">
        <v>1280</v>
      </c>
      <c r="C1879" s="1">
        <v>2413</v>
      </c>
      <c r="D1879" s="1">
        <v>735</v>
      </c>
      <c r="E1879" s="1">
        <v>1174</v>
      </c>
      <c r="F1879" s="1">
        <v>286.95</v>
      </c>
      <c r="G1879" s="1">
        <v>14048.91</v>
      </c>
      <c r="H1879" s="1">
        <v>1940</v>
      </c>
      <c r="I1879" s="1">
        <v>4057</v>
      </c>
      <c r="J1879" s="1">
        <v>24624.65</v>
      </c>
    </row>
    <row r="1880" spans="1:10">
      <c r="A1880" s="2">
        <v>46240</v>
      </c>
      <c r="B1880" s="1">
        <v>1325</v>
      </c>
      <c r="C1880" s="1">
        <v>2373</v>
      </c>
      <c r="D1880" s="1">
        <v>734.3</v>
      </c>
      <c r="E1880" s="1">
        <v>1165</v>
      </c>
      <c r="F1880" s="1">
        <v>285.89999999999998</v>
      </c>
      <c r="G1880" s="1">
        <v>13940</v>
      </c>
      <c r="H1880" s="1">
        <v>1951</v>
      </c>
      <c r="I1880" s="1">
        <v>4061.8</v>
      </c>
      <c r="J1880" s="1">
        <v>24636</v>
      </c>
    </row>
    <row r="1881" spans="1:10">
      <c r="A1881" s="2">
        <v>46241</v>
      </c>
      <c r="B1881" s="1">
        <v>1334.8</v>
      </c>
      <c r="C1881" s="1">
        <v>2452.6999999999998</v>
      </c>
      <c r="D1881" s="1">
        <v>731</v>
      </c>
      <c r="E1881" s="1">
        <v>1175.0999999999999</v>
      </c>
      <c r="F1881" s="1">
        <v>286.10000000000002</v>
      </c>
      <c r="G1881" s="1">
        <v>14037</v>
      </c>
      <c r="H1881" s="1">
        <v>1945</v>
      </c>
      <c r="I1881" s="1">
        <v>4056</v>
      </c>
      <c r="J1881" s="1">
        <v>24570.65</v>
      </c>
    </row>
    <row r="1882" spans="1:10">
      <c r="A1882" s="2">
        <v>46244</v>
      </c>
      <c r="B1882" s="1">
        <v>1327.3</v>
      </c>
      <c r="C1882" s="1">
        <v>2425.6999999999998</v>
      </c>
      <c r="D1882" s="1">
        <v>731</v>
      </c>
      <c r="E1882" s="1">
        <v>1183</v>
      </c>
      <c r="F1882" s="1">
        <v>282.64999999999998</v>
      </c>
      <c r="G1882" s="1">
        <v>14097</v>
      </c>
      <c r="H1882" s="1">
        <v>1944.4</v>
      </c>
      <c r="I1882" s="1">
        <v>4080</v>
      </c>
      <c r="J1882" s="1">
        <v>24583.8</v>
      </c>
    </row>
    <row r="1883" spans="1:10">
      <c r="A1883" s="2">
        <v>46245</v>
      </c>
      <c r="B1883" s="1">
        <v>1323.9</v>
      </c>
      <c r="C1883" s="1">
        <v>2445.6999999999998</v>
      </c>
      <c r="D1883" s="1">
        <v>729</v>
      </c>
      <c r="E1883" s="1">
        <v>1190.7</v>
      </c>
      <c r="F1883" s="1">
        <v>279</v>
      </c>
      <c r="G1883" s="1">
        <v>13990</v>
      </c>
      <c r="H1883" s="1">
        <v>1942</v>
      </c>
      <c r="I1883" s="1">
        <v>4037.4</v>
      </c>
      <c r="J1883" s="1">
        <v>24471.7</v>
      </c>
    </row>
    <row r="1884" spans="1:10">
      <c r="A1884" s="2">
        <v>46246</v>
      </c>
      <c r="B1884" s="1">
        <v>1329</v>
      </c>
      <c r="C1884" s="1">
        <v>2349.6999999999998</v>
      </c>
      <c r="D1884" s="1">
        <v>729</v>
      </c>
      <c r="E1884" s="1">
        <v>1176.0999999999999</v>
      </c>
      <c r="F1884" s="1">
        <v>276.14999999999998</v>
      </c>
      <c r="G1884" s="1">
        <v>13875</v>
      </c>
      <c r="H1884" s="1">
        <v>1944</v>
      </c>
      <c r="I1884" s="1">
        <v>4020</v>
      </c>
      <c r="J1884" s="1">
        <v>24435.95</v>
      </c>
    </row>
    <row r="1885" spans="1:10">
      <c r="A1885" s="2">
        <v>46247</v>
      </c>
      <c r="B1885" s="1">
        <v>1317</v>
      </c>
      <c r="C1885" s="1">
        <v>2375</v>
      </c>
      <c r="D1885" s="1">
        <v>725</v>
      </c>
      <c r="E1885" s="1">
        <v>1175</v>
      </c>
      <c r="F1885" s="1">
        <v>278.5</v>
      </c>
      <c r="G1885" s="1">
        <v>13905</v>
      </c>
      <c r="H1885" s="1">
        <v>1932</v>
      </c>
      <c r="I1885" s="1">
        <v>4070.7</v>
      </c>
      <c r="J1885" s="1">
        <v>24395.85</v>
      </c>
    </row>
    <row r="1886" spans="1:10">
      <c r="A1886" s="2">
        <v>46248</v>
      </c>
      <c r="B1886" s="1">
        <v>1310</v>
      </c>
      <c r="C1886" s="1">
        <v>2361</v>
      </c>
      <c r="D1886" s="1">
        <v>727</v>
      </c>
      <c r="E1886" s="1">
        <v>1169.2</v>
      </c>
      <c r="F1886" s="1">
        <v>278.2</v>
      </c>
      <c r="G1886" s="1">
        <v>13834</v>
      </c>
      <c r="H1886" s="1">
        <v>1930</v>
      </c>
      <c r="I1886" s="1">
        <v>4057</v>
      </c>
      <c r="J1886" s="1">
        <v>24366</v>
      </c>
    </row>
    <row r="1887" spans="1:10">
      <c r="A1887" s="2">
        <v>46251</v>
      </c>
      <c r="B1887" s="1">
        <v>1316</v>
      </c>
      <c r="C1887" s="1">
        <v>2313.1999999999998</v>
      </c>
      <c r="D1887" s="1">
        <v>729</v>
      </c>
      <c r="E1887" s="1">
        <v>1139.9000000000001</v>
      </c>
      <c r="F1887" s="1">
        <v>273.05</v>
      </c>
      <c r="G1887" s="1">
        <v>13760</v>
      </c>
      <c r="H1887" s="1">
        <v>1882</v>
      </c>
      <c r="I1887" s="1">
        <v>4086.7</v>
      </c>
      <c r="J1887" s="1">
        <v>24287.65</v>
      </c>
    </row>
    <row r="1888" spans="1:10">
      <c r="A1888" s="2">
        <v>46252</v>
      </c>
      <c r="B1888" s="1">
        <v>1322</v>
      </c>
      <c r="C1888" s="1">
        <v>2280</v>
      </c>
      <c r="D1888" s="1">
        <v>723</v>
      </c>
      <c r="E1888" s="1">
        <v>1115</v>
      </c>
      <c r="F1888" s="1">
        <v>270</v>
      </c>
      <c r="G1888" s="1">
        <v>13691</v>
      </c>
      <c r="H1888" s="1">
        <v>1875.1</v>
      </c>
      <c r="I1888" s="1">
        <v>4064.3</v>
      </c>
      <c r="J1888" s="1">
        <v>24154.9</v>
      </c>
    </row>
    <row r="1889" spans="1:10">
      <c r="A1889" s="2">
        <v>46253</v>
      </c>
      <c r="B1889" s="1">
        <v>1311</v>
      </c>
      <c r="C1889" s="1">
        <v>2289</v>
      </c>
      <c r="D1889" s="1">
        <v>720</v>
      </c>
      <c r="E1889" s="1">
        <v>1119.8</v>
      </c>
      <c r="F1889" s="1">
        <v>267.05</v>
      </c>
      <c r="G1889" s="1">
        <v>13690</v>
      </c>
      <c r="H1889" s="1">
        <v>1900</v>
      </c>
      <c r="I1889" s="1">
        <v>4041.3</v>
      </c>
      <c r="J1889" s="1">
        <v>24078.3</v>
      </c>
    </row>
    <row r="1890" spans="1:10">
      <c r="A1890" s="2">
        <v>46254</v>
      </c>
      <c r="B1890" s="1">
        <v>1313.2</v>
      </c>
      <c r="C1890" s="1">
        <v>2298</v>
      </c>
      <c r="D1890" s="1">
        <v>725.05</v>
      </c>
      <c r="E1890" s="1">
        <v>1130</v>
      </c>
      <c r="F1890" s="1">
        <v>271.64999999999998</v>
      </c>
      <c r="G1890" s="1">
        <v>13809</v>
      </c>
      <c r="H1890" s="1">
        <v>1904</v>
      </c>
      <c r="I1890" s="1">
        <v>4081</v>
      </c>
      <c r="J1890" s="1">
        <v>24231.85</v>
      </c>
    </row>
    <row r="1891" spans="1:10">
      <c r="A1891" s="2">
        <v>46255</v>
      </c>
      <c r="B1891" s="1">
        <v>1316</v>
      </c>
      <c r="C1891" s="1">
        <v>2302</v>
      </c>
      <c r="D1891" s="1">
        <v>726.95</v>
      </c>
      <c r="E1891" s="1">
        <v>1121</v>
      </c>
      <c r="F1891" s="1">
        <v>269.39999999999998</v>
      </c>
      <c r="G1891" s="1">
        <v>13565</v>
      </c>
      <c r="H1891" s="1">
        <v>1902.4</v>
      </c>
      <c r="I1891" s="1">
        <v>4093</v>
      </c>
      <c r="J1891" s="1">
        <v>24252</v>
      </c>
    </row>
    <row r="1892" spans="1:10">
      <c r="A1892" s="2">
        <v>46258</v>
      </c>
      <c r="B1892" s="1">
        <v>1309.8</v>
      </c>
      <c r="C1892" s="1">
        <v>2284.1</v>
      </c>
      <c r="D1892" s="1">
        <v>729</v>
      </c>
      <c r="E1892" s="1">
        <v>1130</v>
      </c>
      <c r="F1892" s="1">
        <v>269.7</v>
      </c>
      <c r="G1892" s="1">
        <v>13620</v>
      </c>
      <c r="H1892" s="1">
        <v>1910</v>
      </c>
      <c r="I1892" s="1">
        <v>4090</v>
      </c>
      <c r="J1892" s="1">
        <v>24219.05</v>
      </c>
    </row>
    <row r="1893" spans="1:10">
      <c r="A1893" s="2">
        <v>46259</v>
      </c>
      <c r="B1893" s="1">
        <v>1317</v>
      </c>
      <c r="C1893" s="1">
        <v>2296.1999999999998</v>
      </c>
      <c r="D1893" s="1">
        <v>727.5</v>
      </c>
      <c r="E1893" s="1">
        <v>1144</v>
      </c>
      <c r="F1893" s="1">
        <v>271.39999999999998</v>
      </c>
      <c r="G1893" s="1">
        <v>13678</v>
      </c>
      <c r="H1893" s="1">
        <v>1922</v>
      </c>
      <c r="I1893" s="1">
        <v>4119</v>
      </c>
      <c r="J1893" s="1">
        <v>24334.55</v>
      </c>
    </row>
    <row r="1894" spans="1:10">
      <c r="A1894" s="2">
        <v>46260</v>
      </c>
      <c r="B1894" s="1">
        <v>1298</v>
      </c>
      <c r="C1894" s="1">
        <v>2270</v>
      </c>
      <c r="D1894" s="1">
        <v>727.2</v>
      </c>
      <c r="E1894" s="1">
        <v>1120</v>
      </c>
      <c r="F1894" s="1">
        <v>270.25</v>
      </c>
      <c r="G1894" s="1">
        <v>13520</v>
      </c>
      <c r="H1894" s="1">
        <v>1899.5</v>
      </c>
      <c r="I1894" s="1">
        <v>4038.1</v>
      </c>
      <c r="J1894" s="1">
        <v>24207.75</v>
      </c>
    </row>
    <row r="1895" spans="1:10">
      <c r="A1895" s="2">
        <v>46261</v>
      </c>
      <c r="B1895" s="1">
        <v>1282.2</v>
      </c>
      <c r="C1895" s="1">
        <v>2248.4</v>
      </c>
      <c r="D1895" s="1">
        <v>711</v>
      </c>
      <c r="E1895" s="1">
        <v>1110.8</v>
      </c>
      <c r="F1895" s="1">
        <v>269</v>
      </c>
      <c r="G1895" s="1">
        <v>13440</v>
      </c>
      <c r="H1895" s="1">
        <v>1913.3</v>
      </c>
      <c r="I1895" s="1">
        <v>4027</v>
      </c>
      <c r="J1895" s="1">
        <v>24090.85</v>
      </c>
    </row>
    <row r="1896" spans="1:10">
      <c r="A1896" s="2">
        <v>46262</v>
      </c>
      <c r="B1896" s="1">
        <v>1287</v>
      </c>
      <c r="C1896" s="1">
        <v>2342</v>
      </c>
      <c r="D1896" s="1">
        <v>720.3</v>
      </c>
      <c r="E1896" s="1">
        <v>1144</v>
      </c>
      <c r="F1896" s="1">
        <v>266</v>
      </c>
      <c r="G1896" s="1">
        <v>13376</v>
      </c>
      <c r="H1896" s="1">
        <v>1920</v>
      </c>
      <c r="I1896" s="1">
        <v>4045.8</v>
      </c>
      <c r="J1896" s="1">
        <v>24175.65</v>
      </c>
    </row>
    <row r="1897" spans="1:10">
      <c r="A1897" s="2">
        <v>46265</v>
      </c>
      <c r="B1897" s="1">
        <v>1277</v>
      </c>
      <c r="C1897" s="1">
        <v>2399.3000000000002</v>
      </c>
      <c r="D1897" s="1">
        <v>709</v>
      </c>
      <c r="E1897" s="1">
        <v>1133.8</v>
      </c>
      <c r="F1897" s="1">
        <v>255.5</v>
      </c>
      <c r="G1897" s="1">
        <v>13547</v>
      </c>
      <c r="H1897" s="1">
        <v>1984.8</v>
      </c>
      <c r="I1897" s="1">
        <v>4044.9</v>
      </c>
      <c r="J1897" s="1">
        <v>24080.400000000001</v>
      </c>
    </row>
    <row r="1898" spans="1:10">
      <c r="A1898" s="2">
        <v>46266</v>
      </c>
      <c r="B1898" s="1">
        <v>1309</v>
      </c>
      <c r="C1898" s="1">
        <v>2369</v>
      </c>
      <c r="D1898" s="1">
        <v>711.9</v>
      </c>
      <c r="E1898" s="1">
        <v>1156</v>
      </c>
      <c r="F1898" s="1">
        <v>266.60000000000002</v>
      </c>
      <c r="G1898" s="1">
        <v>12950</v>
      </c>
      <c r="H1898" s="1">
        <v>1929</v>
      </c>
      <c r="I1898" s="1">
        <v>3980.1</v>
      </c>
      <c r="J1898" s="1">
        <v>24055.8</v>
      </c>
    </row>
    <row r="1899" spans="1:10">
      <c r="A1899" s="2">
        <v>46267</v>
      </c>
      <c r="B1899" s="1">
        <v>1313.1</v>
      </c>
      <c r="C1899" s="1">
        <v>2348</v>
      </c>
      <c r="D1899" s="1">
        <v>700.8</v>
      </c>
      <c r="E1899" s="1">
        <v>1140</v>
      </c>
      <c r="F1899" s="1">
        <v>266.3</v>
      </c>
      <c r="G1899" s="1">
        <v>12849</v>
      </c>
      <c r="H1899" s="1">
        <v>1931.7</v>
      </c>
      <c r="I1899" s="1">
        <v>3981</v>
      </c>
      <c r="J1899" s="1">
        <v>23914.45</v>
      </c>
    </row>
    <row r="1900" spans="1:10">
      <c r="A1900" s="2">
        <v>46268</v>
      </c>
      <c r="B1900" s="1">
        <v>1302.5</v>
      </c>
      <c r="C1900" s="1">
        <v>2320.1</v>
      </c>
      <c r="D1900" s="1">
        <v>706.65</v>
      </c>
      <c r="E1900" s="1">
        <v>1130.3</v>
      </c>
      <c r="F1900" s="1">
        <v>263</v>
      </c>
      <c r="G1900" s="1">
        <v>12857</v>
      </c>
      <c r="H1900" s="1">
        <v>1916</v>
      </c>
      <c r="I1900" s="1">
        <v>3975</v>
      </c>
      <c r="J1900" s="1">
        <v>23873.45</v>
      </c>
    </row>
    <row r="1901" spans="1:10">
      <c r="A1901" s="2">
        <v>46269</v>
      </c>
      <c r="B1901" s="1">
        <v>1322</v>
      </c>
      <c r="C1901" s="1">
        <v>2304</v>
      </c>
      <c r="D1901" s="1">
        <v>712.1</v>
      </c>
      <c r="E1901" s="1">
        <v>1130</v>
      </c>
      <c r="F1901" s="1">
        <v>264.10000000000002</v>
      </c>
      <c r="G1901" s="1">
        <v>12694</v>
      </c>
      <c r="H1901" s="1">
        <v>1899</v>
      </c>
      <c r="I1901" s="1">
        <v>3964.1</v>
      </c>
      <c r="J1901" s="1">
        <v>23897.7</v>
      </c>
    </row>
    <row r="1902" spans="1:10">
      <c r="A1902" s="2">
        <v>46272</v>
      </c>
      <c r="B1902" s="1">
        <v>1309.5</v>
      </c>
      <c r="C1902" s="1">
        <v>2270</v>
      </c>
      <c r="D1902" s="1">
        <v>710.5</v>
      </c>
      <c r="E1902" s="1">
        <v>1087.5</v>
      </c>
      <c r="F1902" s="1">
        <v>263.5</v>
      </c>
      <c r="G1902" s="1">
        <v>12760</v>
      </c>
      <c r="H1902" s="1">
        <v>1895</v>
      </c>
      <c r="I1902" s="1">
        <v>3999</v>
      </c>
      <c r="J1902" s="1">
        <v>23779.15</v>
      </c>
    </row>
    <row r="1903" spans="1:10">
      <c r="A1903" s="2">
        <v>46273</v>
      </c>
      <c r="B1903" s="1">
        <v>1294.9000000000001</v>
      </c>
      <c r="C1903" s="1">
        <v>2255.5</v>
      </c>
      <c r="D1903" s="1">
        <v>703</v>
      </c>
      <c r="E1903" s="1">
        <v>1082</v>
      </c>
      <c r="F1903" s="1">
        <v>263.5</v>
      </c>
      <c r="G1903" s="1">
        <v>12641</v>
      </c>
      <c r="H1903" s="1">
        <v>1885.9</v>
      </c>
      <c r="I1903" s="1">
        <v>3946.1</v>
      </c>
      <c r="J1903" s="1">
        <v>23635.1</v>
      </c>
    </row>
    <row r="1904" spans="1:10">
      <c r="A1904" s="2">
        <v>46274</v>
      </c>
      <c r="B1904" s="1">
        <v>1279</v>
      </c>
      <c r="C1904" s="1">
        <v>2208</v>
      </c>
      <c r="D1904" s="1">
        <v>687.1</v>
      </c>
      <c r="E1904" s="1">
        <v>1035</v>
      </c>
      <c r="F1904" s="1">
        <v>260.8</v>
      </c>
      <c r="G1904" s="1">
        <v>12618</v>
      </c>
      <c r="H1904" s="1">
        <v>1864.9</v>
      </c>
      <c r="I1904" s="1">
        <v>3922.6</v>
      </c>
      <c r="J1904" s="1">
        <v>23431.5</v>
      </c>
    </row>
    <row r="1905" spans="1:10">
      <c r="A1905" s="2">
        <v>46275</v>
      </c>
      <c r="B1905" s="1">
        <v>1274</v>
      </c>
      <c r="C1905" s="1">
        <v>2204.1</v>
      </c>
      <c r="D1905" s="1">
        <v>693.8</v>
      </c>
      <c r="E1905" s="1">
        <v>1036.5</v>
      </c>
      <c r="F1905" s="1">
        <v>259.3</v>
      </c>
      <c r="G1905" s="1">
        <v>12590</v>
      </c>
      <c r="H1905" s="1">
        <v>1861</v>
      </c>
      <c r="I1905" s="1">
        <v>3955</v>
      </c>
      <c r="J1905" s="1">
        <v>23477.8</v>
      </c>
    </row>
    <row r="1906" spans="1:10">
      <c r="A1906" s="2">
        <v>46276</v>
      </c>
      <c r="B1906" s="1">
        <v>1257.5</v>
      </c>
      <c r="C1906" s="1">
        <v>2200.8000000000002</v>
      </c>
      <c r="D1906" s="1">
        <v>708.25</v>
      </c>
      <c r="E1906" s="1">
        <v>1037.7</v>
      </c>
      <c r="F1906" s="1">
        <v>259.85000000000002</v>
      </c>
      <c r="G1906" s="1">
        <v>12400</v>
      </c>
      <c r="H1906" s="1">
        <v>1840</v>
      </c>
      <c r="I1906" s="1">
        <v>3930.7</v>
      </c>
      <c r="J1906" s="1">
        <v>23398.1</v>
      </c>
    </row>
    <row r="1907" spans="1:10">
      <c r="A1907" s="2">
        <v>46279</v>
      </c>
      <c r="B1907" s="1">
        <v>1257.5</v>
      </c>
      <c r="C1907" s="1">
        <v>2200.8000000000002</v>
      </c>
      <c r="D1907" s="1">
        <v>708.25</v>
      </c>
      <c r="E1907" s="1">
        <v>1037.7</v>
      </c>
      <c r="F1907" s="1">
        <v>259.85000000000002</v>
      </c>
      <c r="G1907" s="1">
        <v>12400</v>
      </c>
      <c r="H1907" s="1">
        <v>1840</v>
      </c>
      <c r="I1907" s="1">
        <v>3930.7</v>
      </c>
      <c r="J1907" s="1">
        <v>23398.1</v>
      </c>
    </row>
    <row r="1908" spans="1:10">
      <c r="A1908" s="2">
        <v>46280</v>
      </c>
      <c r="B1908" s="1">
        <v>1235.3</v>
      </c>
      <c r="C1908" s="1">
        <v>2251</v>
      </c>
      <c r="D1908" s="1">
        <v>716.55</v>
      </c>
      <c r="E1908" s="1">
        <v>1077</v>
      </c>
      <c r="F1908" s="1">
        <v>258</v>
      </c>
      <c r="G1908" s="1">
        <v>12231</v>
      </c>
      <c r="H1908" s="1">
        <v>1835</v>
      </c>
      <c r="I1908" s="1">
        <v>3850.7</v>
      </c>
      <c r="J1908" s="1">
        <v>23118.6</v>
      </c>
    </row>
    <row r="1909" spans="1:10">
      <c r="A1909" s="2">
        <v>46281</v>
      </c>
      <c r="B1909" s="1">
        <v>1240</v>
      </c>
      <c r="C1909" s="1">
        <v>2188.8000000000002</v>
      </c>
      <c r="D1909" s="1">
        <v>721.5</v>
      </c>
      <c r="E1909" s="1">
        <v>1060</v>
      </c>
      <c r="F1909" s="1">
        <v>264.14999999999998</v>
      </c>
      <c r="G1909" s="1">
        <v>12166</v>
      </c>
      <c r="H1909" s="1">
        <v>1853.5</v>
      </c>
      <c r="I1909" s="1">
        <v>3807.7</v>
      </c>
      <c r="J1909" s="1">
        <v>23217.599999999999</v>
      </c>
    </row>
    <row r="1910" spans="1:10">
      <c r="A1910" s="2">
        <v>46282</v>
      </c>
      <c r="B1910" s="1">
        <v>1243.9000000000001</v>
      </c>
      <c r="C1910" s="1">
        <v>2190</v>
      </c>
      <c r="D1910" s="1">
        <v>713</v>
      </c>
      <c r="E1910" s="1">
        <v>1058.5999999999999</v>
      </c>
      <c r="F1910" s="1">
        <v>266.2</v>
      </c>
      <c r="G1910" s="1">
        <v>12338</v>
      </c>
      <c r="H1910" s="1">
        <v>1867.3</v>
      </c>
      <c r="I1910" s="1">
        <v>3836.2</v>
      </c>
      <c r="J1910" s="1">
        <v>23270.6</v>
      </c>
    </row>
    <row r="1911" spans="1:10">
      <c r="A1911" s="2">
        <v>46283</v>
      </c>
      <c r="B1911" s="1">
        <v>1226.4000000000001</v>
      </c>
      <c r="C1911" s="1">
        <v>2105</v>
      </c>
      <c r="D1911" s="1">
        <v>731</v>
      </c>
      <c r="E1911" s="1">
        <v>1051.4000000000001</v>
      </c>
      <c r="F1911" s="1">
        <v>262.3</v>
      </c>
      <c r="G1911" s="1">
        <v>12103</v>
      </c>
      <c r="H1911" s="1">
        <v>1837.3</v>
      </c>
      <c r="I1911" s="1">
        <v>3885</v>
      </c>
      <c r="J1911" s="1">
        <v>23346.400000000001</v>
      </c>
    </row>
    <row r="1912" spans="1:10">
      <c r="A1912" s="2">
        <v>46286</v>
      </c>
      <c r="B1912" s="1">
        <v>1247.4000000000001</v>
      </c>
      <c r="C1912" s="1">
        <v>2128.6999999999998</v>
      </c>
      <c r="D1912" s="1">
        <v>739.5</v>
      </c>
      <c r="E1912" s="1">
        <v>1038.5</v>
      </c>
      <c r="F1912" s="1">
        <v>267</v>
      </c>
      <c r="G1912" s="1">
        <v>12153</v>
      </c>
      <c r="H1912" s="1">
        <v>1868.9</v>
      </c>
      <c r="I1912" s="1">
        <v>3904.8</v>
      </c>
      <c r="J1912" s="1">
        <v>23414.3</v>
      </c>
    </row>
    <row r="1913" spans="1:10">
      <c r="A1913" s="2">
        <v>46287</v>
      </c>
      <c r="B1913" s="1">
        <v>1240.4000000000001</v>
      </c>
      <c r="C1913" s="1">
        <v>2105</v>
      </c>
      <c r="D1913" s="1">
        <v>738.6</v>
      </c>
      <c r="E1913" s="1">
        <v>1029.4000000000001</v>
      </c>
      <c r="F1913" s="1">
        <v>265.8</v>
      </c>
      <c r="G1913" s="1">
        <v>12190</v>
      </c>
      <c r="H1913" s="1">
        <v>1846.4</v>
      </c>
      <c r="I1913" s="1">
        <v>3866.4</v>
      </c>
      <c r="J1913" s="1">
        <v>23329</v>
      </c>
    </row>
    <row r="1914" spans="1:10">
      <c r="A1914" s="2">
        <v>46288</v>
      </c>
      <c r="B1914" s="1">
        <v>1248</v>
      </c>
      <c r="C1914" s="1">
        <v>2089.6</v>
      </c>
      <c r="D1914" s="1">
        <v>737.25</v>
      </c>
      <c r="E1914" s="1">
        <v>1020.5</v>
      </c>
      <c r="F1914" s="1">
        <v>270.14999999999998</v>
      </c>
      <c r="G1914" s="1">
        <v>12230</v>
      </c>
      <c r="H1914" s="1">
        <v>1865</v>
      </c>
      <c r="I1914" s="1">
        <v>3929.9</v>
      </c>
      <c r="J1914" s="1">
        <v>23446.799999999999</v>
      </c>
    </row>
    <row r="1915" spans="1:10">
      <c r="A1915" s="2">
        <v>46289</v>
      </c>
      <c r="B1915" s="1">
        <v>1219.2</v>
      </c>
      <c r="C1915" s="1">
        <v>2087</v>
      </c>
      <c r="D1915" s="1">
        <v>728.9</v>
      </c>
      <c r="E1915" s="1">
        <v>1014.5</v>
      </c>
      <c r="F1915" s="1">
        <v>268</v>
      </c>
      <c r="G1915" s="1">
        <v>11990</v>
      </c>
      <c r="H1915" s="1">
        <v>1849.9</v>
      </c>
      <c r="I1915" s="1">
        <v>3858.4</v>
      </c>
      <c r="J1915" s="1">
        <v>23063.1</v>
      </c>
    </row>
    <row r="1916" spans="1:10">
      <c r="A1916" s="2">
        <v>46290</v>
      </c>
      <c r="B1916" s="1">
        <v>1226</v>
      </c>
      <c r="C1916" s="1">
        <v>2082</v>
      </c>
      <c r="D1916" s="1">
        <v>735.6</v>
      </c>
      <c r="E1916" s="1">
        <v>1000.2</v>
      </c>
      <c r="F1916" s="1">
        <v>269</v>
      </c>
      <c r="G1916" s="1">
        <v>12065</v>
      </c>
      <c r="H1916" s="1">
        <v>1852.2</v>
      </c>
      <c r="I1916" s="1">
        <v>3876.2</v>
      </c>
      <c r="J1916" s="1">
        <v>23140.5</v>
      </c>
    </row>
    <row r="1917" spans="1:10">
      <c r="A1917" s="2">
        <v>46293</v>
      </c>
      <c r="B1917" s="1">
        <v>1197.5999999999999</v>
      </c>
      <c r="C1917" s="1">
        <v>2070.6999999999998</v>
      </c>
      <c r="D1917" s="1">
        <v>719.05</v>
      </c>
      <c r="E1917" s="1">
        <v>1003.2</v>
      </c>
      <c r="F1917" s="1">
        <v>265.2</v>
      </c>
      <c r="G1917" s="1">
        <v>12008</v>
      </c>
      <c r="H1917" s="1">
        <v>1838</v>
      </c>
      <c r="I1917" s="1">
        <v>3766.4</v>
      </c>
      <c r="J1917" s="1">
        <v>22780.25</v>
      </c>
    </row>
    <row r="1918" spans="1:10">
      <c r="A1918" s="2">
        <v>46294</v>
      </c>
      <c r="B1918" s="1">
        <v>1182</v>
      </c>
      <c r="C1918" s="1">
        <v>2032.4</v>
      </c>
      <c r="D1918" s="1">
        <v>722.7</v>
      </c>
      <c r="E1918" s="1">
        <v>1015.4</v>
      </c>
      <c r="F1918" s="1">
        <v>265.10000000000002</v>
      </c>
      <c r="G1918" s="1">
        <v>11877</v>
      </c>
      <c r="H1918" s="1">
        <v>1865</v>
      </c>
      <c r="I1918" s="1">
        <v>3749.1</v>
      </c>
      <c r="J1918" s="1">
        <v>22716.2</v>
      </c>
    </row>
    <row r="1919" spans="1:10">
      <c r="A1919" s="2">
        <v>46295</v>
      </c>
      <c r="B1919" s="1">
        <v>1187</v>
      </c>
      <c r="C1919" s="1">
        <v>2050.6</v>
      </c>
      <c r="D1919" s="1">
        <v>708.7</v>
      </c>
      <c r="E1919" s="1">
        <v>994.1</v>
      </c>
      <c r="F1919" s="1">
        <v>262.75</v>
      </c>
      <c r="G1919" s="1">
        <v>11967</v>
      </c>
      <c r="H1919" s="1">
        <v>1816.6</v>
      </c>
      <c r="I1919" s="1">
        <v>3760</v>
      </c>
      <c r="J1919" s="1">
        <v>22620.45</v>
      </c>
    </row>
    <row r="1920" spans="1:10">
      <c r="A1920" s="2">
        <v>46296</v>
      </c>
      <c r="B1920" s="1">
        <v>1167.7</v>
      </c>
      <c r="C1920" s="1">
        <v>2075</v>
      </c>
      <c r="D1920" s="1">
        <v>721.2</v>
      </c>
      <c r="E1920" s="1">
        <v>1035</v>
      </c>
      <c r="F1920" s="1">
        <v>255.9</v>
      </c>
      <c r="G1920" s="1">
        <v>11386</v>
      </c>
      <c r="H1920" s="1">
        <v>1801</v>
      </c>
      <c r="I1920" s="1">
        <v>3693.4</v>
      </c>
      <c r="J1920" s="1">
        <v>22421.95</v>
      </c>
    </row>
    <row r="1921" spans="1:10">
      <c r="A1921" s="2">
        <v>46297</v>
      </c>
      <c r="B1921" s="1">
        <v>1167.7</v>
      </c>
      <c r="C1921" s="1">
        <v>2075</v>
      </c>
      <c r="D1921" s="1">
        <v>721.2</v>
      </c>
      <c r="E1921" s="1">
        <v>1035</v>
      </c>
      <c r="F1921" s="1">
        <v>255.9</v>
      </c>
      <c r="G1921" s="1">
        <v>11386</v>
      </c>
      <c r="H1921" s="1">
        <v>1801</v>
      </c>
      <c r="I1921" s="1">
        <v>3693.4</v>
      </c>
      <c r="J1921" s="1">
        <v>22421.95</v>
      </c>
    </row>
    <row r="1922" spans="1:10">
      <c r="A1922" s="2">
        <v>46300</v>
      </c>
      <c r="B1922" s="1">
        <v>1186.4000000000001</v>
      </c>
      <c r="C1922" s="1">
        <v>2114.4</v>
      </c>
      <c r="D1922" s="1">
        <v>704.8</v>
      </c>
      <c r="E1922" s="1">
        <v>1020.5</v>
      </c>
      <c r="F1922" s="1">
        <v>268.89999999999998</v>
      </c>
      <c r="G1922" s="1">
        <v>11532</v>
      </c>
      <c r="H1922" s="1">
        <v>1779.7</v>
      </c>
      <c r="I1922" s="1">
        <v>3750</v>
      </c>
      <c r="J1922" s="1">
        <v>22555.75</v>
      </c>
    </row>
    <row r="1923" spans="1:10">
      <c r="A1923" s="2">
        <v>46301</v>
      </c>
      <c r="B1923" s="1">
        <v>1218</v>
      </c>
      <c r="C1923" s="1">
        <v>2100</v>
      </c>
      <c r="D1923" s="1">
        <v>711.45</v>
      </c>
      <c r="E1923" s="1">
        <v>1013.85</v>
      </c>
      <c r="F1923" s="1">
        <v>266.7</v>
      </c>
      <c r="G1923" s="1">
        <v>11625</v>
      </c>
      <c r="H1923" s="1">
        <v>1804.1</v>
      </c>
      <c r="I1923" s="1">
        <v>3770</v>
      </c>
      <c r="J1923" s="1">
        <v>22776.1</v>
      </c>
    </row>
    <row r="1924" spans="1:10">
      <c r="A1924" s="2">
        <v>46302</v>
      </c>
      <c r="B1924" s="1">
        <v>1207.7</v>
      </c>
      <c r="C1924" s="1">
        <v>2080.3000000000002</v>
      </c>
      <c r="D1924" s="1">
        <v>702.75</v>
      </c>
      <c r="E1924" s="1">
        <v>992</v>
      </c>
      <c r="F1924" s="1">
        <v>265.7</v>
      </c>
      <c r="G1924" s="1">
        <v>11450</v>
      </c>
      <c r="H1924" s="1">
        <v>1781</v>
      </c>
      <c r="I1924" s="1">
        <v>3701.5</v>
      </c>
      <c r="J1924" s="1">
        <v>22603.05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7B10-EBAF-4538-A3F5-368F682E479E}">
  <dimension ref="A1:N1924"/>
  <sheetViews>
    <sheetView topLeftCell="A1842" workbookViewId="0">
      <selection activeCell="M1842" activeCellId="2" sqref="L1:L1048576 K1:K1048576 M1:M1048576"/>
    </sheetView>
  </sheetViews>
  <sheetFormatPr defaultRowHeight="13.8"/>
  <cols>
    <col min="1" max="1" width="9.296875" bestFit="1" customWidth="1"/>
    <col min="4" max="4" width="11.59765625" customWidth="1"/>
    <col min="7" max="7" width="15.8984375" customWidth="1"/>
    <col min="8" max="8" width="12" customWidth="1"/>
    <col min="11" max="11" width="20.69921875" customWidth="1"/>
    <col min="12" max="12" width="12.59765625" customWidth="1"/>
    <col min="13" max="13" width="13.796875" customWidth="1"/>
    <col min="14" max="14" width="13.3984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18</v>
      </c>
      <c r="M1" s="6" t="s">
        <v>19</v>
      </c>
      <c r="N1" t="s">
        <v>20</v>
      </c>
    </row>
    <row r="2" spans="1:14">
      <c r="A2" s="3">
        <f>prices!A3</f>
        <v>43468</v>
      </c>
      <c r="B2" s="5">
        <f>prices!B3/prices!B2-1</f>
        <v>-1.233332652686181E-2</v>
      </c>
      <c r="C2" s="5">
        <f>prices!C3/prices!C2-1</f>
        <v>-1.2139866557057344E-2</v>
      </c>
      <c r="D2" s="5">
        <f>prices!D3/prices!D2-1</f>
        <v>-7.8509539112394666E-3</v>
      </c>
      <c r="E2" s="5">
        <f>prices!E3/prices!E2-1</f>
        <v>1.651436749972035E-4</v>
      </c>
      <c r="F2" s="5">
        <f>prices!F3/prices!F2-1</f>
        <v>-6.2038556193599881E-3</v>
      </c>
      <c r="G2" s="5">
        <f>prices!G3/prices!G2-1</f>
        <v>-8.7924509828646302E-3</v>
      </c>
      <c r="H2" s="5">
        <f>prices!H3/prices!H2-1</f>
        <v>-8.9765285850931242E-3</v>
      </c>
      <c r="I2" s="5">
        <f>prices!I3/prices!I2-1</f>
        <v>-2.1396866943653947E-2</v>
      </c>
      <c r="J2" s="5">
        <f>prices!J3/prices!J2-1</f>
        <v>-1.1141996757007222E-2</v>
      </c>
      <c r="K2" s="8">
        <f>SUMPRODUCT(B2:I2,weights!$B$5:$I$5)</f>
        <v>-1.1002036608154898E-2</v>
      </c>
      <c r="L2" s="4">
        <f>100*(1+K2)</f>
        <v>98.899796339184505</v>
      </c>
      <c r="M2" s="4">
        <f>L2/MAX(L$2:L2)-1</f>
        <v>0</v>
      </c>
    </row>
    <row r="3" spans="1:14">
      <c r="A3" s="3">
        <f>prices!A4</f>
        <v>43469</v>
      </c>
      <c r="B3" s="5">
        <f>prices!B4/prices!B3-1</f>
        <v>5.3960181107735039E-3</v>
      </c>
      <c r="C3" s="5">
        <f>prices!C4/prices!C3-1</f>
        <v>-1.2153584146152752E-2</v>
      </c>
      <c r="D3" s="5">
        <f>prices!D4/prices!D3-1</f>
        <v>2.6855268552685718E-3</v>
      </c>
      <c r="E3" s="5">
        <f>prices!E4/prices!E3-1</f>
        <v>-1.2108536518245394E-2</v>
      </c>
      <c r="F3" s="5">
        <f>prices!F4/prices!F3-1</f>
        <v>7.5323737295567295E-3</v>
      </c>
      <c r="G3" s="5">
        <f>prices!G4/prices!G3-1</f>
        <v>4.2414101716019559E-3</v>
      </c>
      <c r="H3" s="5">
        <f>prices!H4/prices!H3-1</f>
        <v>-5.2961120597916356E-3</v>
      </c>
      <c r="I3" s="5">
        <f>prices!I4/prices!I3-1</f>
        <v>-4.9787717418451338E-3</v>
      </c>
      <c r="J3" s="5">
        <f>prices!J4/prices!J3-1</f>
        <v>5.1629225327367578E-3</v>
      </c>
      <c r="K3" s="8">
        <f>SUMPRODUCT(B3:I3,weights!$B$5:$I$5)</f>
        <v>-1.5320571045939406E-3</v>
      </c>
      <c r="L3" s="4">
        <f>L2*(1+K3)</f>
        <v>98.748276203560167</v>
      </c>
      <c r="M3" s="4">
        <f>L3/MAX(L$2:L3)-1</f>
        <v>-1.5320571045939202E-3</v>
      </c>
    </row>
    <row r="4" spans="1:14">
      <c r="A4" s="3">
        <f>prices!A5</f>
        <v>43472</v>
      </c>
      <c r="B4" s="5">
        <f>prices!B5/prices!B4-1</f>
        <v>5.5521283158543877E-3</v>
      </c>
      <c r="C4" s="5">
        <f>prices!C5/prices!C4-1</f>
        <v>1.1212548650837206E-2</v>
      </c>
      <c r="D4" s="5">
        <f>prices!D5/prices!D4-1</f>
        <v>1.5129520966654653E-3</v>
      </c>
      <c r="E4" s="5">
        <f>prices!E5/prices!E4-1</f>
        <v>1.6101175552955427E-2</v>
      </c>
      <c r="F4" s="5">
        <f>prices!F5/prices!F4-1</f>
        <v>2.4578831481387731E-3</v>
      </c>
      <c r="G4" s="5">
        <f>prices!G5/prices!G4-1</f>
        <v>1.763019218846873E-2</v>
      </c>
      <c r="H4" s="5">
        <f>prices!H5/prices!H4-1</f>
        <v>-6.8917473191848488E-3</v>
      </c>
      <c r="I4" s="5">
        <f>prices!I5/prices!I4-1</f>
        <v>-3.0605057121343426E-3</v>
      </c>
      <c r="J4" s="5">
        <f>prices!J5/prices!J4-1</f>
        <v>4.1436142197279757E-3</v>
      </c>
      <c r="K4" s="8">
        <f>SUMPRODUCT(B4:I4,weights!$B$5:$I$5)</f>
        <v>5.1583409010272805E-3</v>
      </c>
      <c r="L4" s="4">
        <f t="shared" ref="L4:L67" si="0">L3*(1+K4)</f>
        <v>99.257653475606915</v>
      </c>
      <c r="M4" s="4">
        <f>L4/MAX(L$2:L4)-1</f>
        <v>0</v>
      </c>
    </row>
    <row r="5" spans="1:14">
      <c r="A5" s="3">
        <f>prices!A6</f>
        <v>43473</v>
      </c>
      <c r="B5" s="5">
        <f>prices!B6/prices!B5-1</f>
        <v>-8.1799591002074123E-5</v>
      </c>
      <c r="C5" s="5">
        <f>prices!C6/prices!C5-1</f>
        <v>-2.2925559738842249E-3</v>
      </c>
      <c r="D5" s="5">
        <f>prices!D6/prices!D5-1</f>
        <v>-8.3290803307135564E-3</v>
      </c>
      <c r="E5" s="5">
        <f>prices!E6/prices!E5-1</f>
        <v>-2.4490989509083905E-3</v>
      </c>
      <c r="F5" s="5">
        <f>prices!F6/prices!F5-1</f>
        <v>9.2455432395157633E-3</v>
      </c>
      <c r="G5" s="5">
        <f>prices!G6/prices!G5-1</f>
        <v>1.0520797026527529E-2</v>
      </c>
      <c r="H5" s="5">
        <f>prices!H6/prices!H5-1</f>
        <v>4.0034071550255401E-2</v>
      </c>
      <c r="I5" s="5">
        <f>prices!I6/prices!I5-1</f>
        <v>-1.1532432937276793E-3</v>
      </c>
      <c r="J5" s="5">
        <f>prices!J6/prices!J5-1</f>
        <v>2.8175421006702006E-3</v>
      </c>
      <c r="K5" s="8">
        <f>SUMPRODUCT(B5:I5,weights!$B$5:$I$5)</f>
        <v>7.5907323295298507E-3</v>
      </c>
      <c r="L5" s="4">
        <f t="shared" si="0"/>
        <v>100.01109175479748</v>
      </c>
      <c r="M5" s="4">
        <f>L5/MAX(L$2:L5)-1</f>
        <v>0</v>
      </c>
    </row>
    <row r="6" spans="1:14">
      <c r="A6" s="3">
        <f>prices!A7</f>
        <v>43474</v>
      </c>
      <c r="B6" s="5">
        <f>prices!B7/prices!B6-1</f>
        <v>5.5219240837698358E-3</v>
      </c>
      <c r="C6" s="5">
        <f>prices!C7/prices!C6-1</f>
        <v>-3.4823358835942564E-3</v>
      </c>
      <c r="D6" s="5">
        <f>prices!D7/prices!D6-1</f>
        <v>6.5668937974761032E-3</v>
      </c>
      <c r="E6" s="5">
        <f>prices!E7/prices!E6-1</f>
        <v>9.0326126786370864E-3</v>
      </c>
      <c r="F6" s="5">
        <f>prices!F7/prices!F6-1</f>
        <v>2.1611499139589041E-2</v>
      </c>
      <c r="G6" s="5">
        <f>prices!G7/prices!G6-1</f>
        <v>7.1780320047765134E-3</v>
      </c>
      <c r="H6" s="5">
        <f>prices!H7/prices!H6-1</f>
        <v>1.5657368598545052E-3</v>
      </c>
      <c r="I6" s="5">
        <f>prices!I7/prices!I6-1</f>
        <v>2.7807364886289765E-3</v>
      </c>
      <c r="J6" s="5">
        <f>prices!J7/prices!J6-1</f>
        <v>4.9064306642658817E-3</v>
      </c>
      <c r="K6" s="8">
        <f>SUMPRODUCT(B6:I6,weights!$B$5:$I$5)</f>
        <v>5.6372893508290665E-3</v>
      </c>
      <c r="L6" s="4">
        <f t="shared" si="0"/>
        <v>100.57488321731158</v>
      </c>
      <c r="M6" s="4">
        <f>L6/MAX(L$2:L6)-1</f>
        <v>0</v>
      </c>
    </row>
    <row r="7" spans="1:14">
      <c r="A7" s="3">
        <f>prices!A8</f>
        <v>43475</v>
      </c>
      <c r="B7" s="5">
        <f>prices!B8/prices!B7-1</f>
        <v>-2.92885327258674E-3</v>
      </c>
      <c r="C7" s="5">
        <f>prices!C8/prices!C7-1</f>
        <v>8.4439710047012895E-4</v>
      </c>
      <c r="D7" s="5">
        <f>prices!D8/prices!D7-1</f>
        <v>-3.9267015706805353E-3</v>
      </c>
      <c r="E7" s="5">
        <f>prices!E8/prices!E7-1</f>
        <v>5.3202113558366015E-3</v>
      </c>
      <c r="F7" s="5">
        <f>prices!F8/prices!F7-1</f>
        <v>-2.7247956403269047E-3</v>
      </c>
      <c r="G7" s="5">
        <f>prices!G8/prices!G7-1</f>
        <v>-1.3519910788157841E-2</v>
      </c>
      <c r="H7" s="5">
        <f>prices!H8/prices!H7-1</f>
        <v>-9.2594819500229075E-3</v>
      </c>
      <c r="I7" s="5">
        <f>prices!I8/prices!I7-1</f>
        <v>4.7271164589601788E-3</v>
      </c>
      <c r="J7" s="5">
        <f>prices!J8/prices!J7-1</f>
        <v>-3.0906988848610206E-3</v>
      </c>
      <c r="K7" s="8">
        <f>SUMPRODUCT(B7:I7,weights!$B$5:$I$5)</f>
        <v>-3.4609101944811605E-3</v>
      </c>
      <c r="L7" s="4">
        <f t="shared" si="0"/>
        <v>100.22680257867604</v>
      </c>
      <c r="M7" s="4">
        <f>L7/MAX(L$2:L7)-1</f>
        <v>-3.4609101944810261E-3</v>
      </c>
      <c r="N7" s="4"/>
    </row>
    <row r="8" spans="1:14">
      <c r="A8" s="3">
        <f>prices!A9</f>
        <v>43476</v>
      </c>
      <c r="B8" s="5">
        <f>prices!B9/prices!B8-1</f>
        <v>-8.5267838929460327E-3</v>
      </c>
      <c r="C8" s="5">
        <f>prices!C9/prices!C8-1</f>
        <v>-2.435652817257894E-2</v>
      </c>
      <c r="D8" s="5">
        <f>prices!D9/prices!D8-1</f>
        <v>1.6015111695137918E-3</v>
      </c>
      <c r="E8" s="5">
        <f>prices!E9/prices!E8-1</f>
        <v>5.5810425170683686E-3</v>
      </c>
      <c r="F8" s="5">
        <f>prices!F9/prices!F8-1</f>
        <v>1.9870839542970753E-2</v>
      </c>
      <c r="G8" s="5">
        <f>prices!G9/prices!G8-1</f>
        <v>-9.6196062014735073E-3</v>
      </c>
      <c r="H8" s="5">
        <f>prices!H9/prices!H8-1</f>
        <v>-4.3695683837452481E-4</v>
      </c>
      <c r="I8" s="5">
        <f>prices!I9/prices!I8-1</f>
        <v>-1.6519521603692855E-2</v>
      </c>
      <c r="J8" s="5">
        <f>prices!J9/prices!J8-1</f>
        <v>-2.4626672580764231E-3</v>
      </c>
      <c r="K8" s="8">
        <f>SUMPRODUCT(B8:I8,weights!$B$5:$I$5)</f>
        <v>-6.1598235813002961E-3</v>
      </c>
      <c r="L8" s="4">
        <f t="shared" si="0"/>
        <v>99.609423156673586</v>
      </c>
      <c r="M8" s="4">
        <f>L8/MAX(L$2:L8)-1</f>
        <v>-9.5994151795526506E-3</v>
      </c>
      <c r="N8" s="4"/>
    </row>
    <row r="9" spans="1:14">
      <c r="A9" s="3">
        <f>prices!A10</f>
        <v>43479</v>
      </c>
      <c r="B9" s="5">
        <f>prices!B10/prices!B9-1</f>
        <v>-1.152168545798693E-3</v>
      </c>
      <c r="C9" s="5">
        <f>prices!C10/prices!C9-1</f>
        <v>-1.5904691584681885E-2</v>
      </c>
      <c r="D9" s="5">
        <f>prices!D10/prices!D9-1</f>
        <v>-4.8378500266491598E-3</v>
      </c>
      <c r="E9" s="5">
        <f>prices!E10/prices!E9-1</f>
        <v>2.6924113156713059E-2</v>
      </c>
      <c r="F9" s="5">
        <f>prices!F10/prices!F9-1</f>
        <v>-3.5557720409158389E-3</v>
      </c>
      <c r="G9" s="5">
        <f>prices!G10/prices!G9-1</f>
        <v>1.2048884804354731E-2</v>
      </c>
      <c r="H9" s="5">
        <f>prices!H10/prices!H9-1</f>
        <v>1.4498737128424422E-2</v>
      </c>
      <c r="I9" s="5">
        <f>prices!I10/prices!I9-1</f>
        <v>-2.6061197863244345E-2</v>
      </c>
      <c r="J9" s="5">
        <f>prices!J10/prices!J9-1</f>
        <v>-5.3126693500201716E-3</v>
      </c>
      <c r="K9" s="8">
        <f>SUMPRODUCT(B9:I9,weights!$B$5:$I$5)</f>
        <v>-5.2265399565556113E-4</v>
      </c>
      <c r="L9" s="4">
        <f t="shared" si="0"/>
        <v>99.557361893655809</v>
      </c>
      <c r="M9" s="4">
        <f>L9/MAX(L$2:L9)-1</f>
        <v>-1.0117052002508564E-2</v>
      </c>
      <c r="N9" s="4"/>
    </row>
    <row r="10" spans="1:14">
      <c r="A10" s="3">
        <f>prices!A11</f>
        <v>43480</v>
      </c>
      <c r="B10" s="5">
        <f>prices!B11/prices!B10-1</f>
        <v>2.9970338633929172E-2</v>
      </c>
      <c r="C10" s="5">
        <f>prices!C11/prices!C10-1</f>
        <v>3.0086114828784316E-2</v>
      </c>
      <c r="D10" s="5">
        <f>prices!D11/prices!D10-1</f>
        <v>9.6197421002761629E-3</v>
      </c>
      <c r="E10" s="5">
        <f>prices!E11/prices!E10-1</f>
        <v>3.5190821002553552E-2</v>
      </c>
      <c r="F10" s="5">
        <f>prices!F11/prices!F10-1</f>
        <v>7.6257515764774908E-3</v>
      </c>
      <c r="G10" s="5">
        <f>prices!G11/prices!G10-1</f>
        <v>-7.2282494015265542E-3</v>
      </c>
      <c r="H10" s="5">
        <f>prices!H11/prices!H10-1</f>
        <v>3.5429583702391021E-3</v>
      </c>
      <c r="I10" s="5">
        <f>prices!I11/prices!I10-1</f>
        <v>5.2489236757631286E-3</v>
      </c>
      <c r="J10" s="5">
        <f>prices!J11/prices!J10-1</f>
        <v>1.3895097600953532E-2</v>
      </c>
      <c r="K10" s="8">
        <f>SUMPRODUCT(B10:I10,weights!$B$5:$I$5)</f>
        <v>1.0954985213907292E-2</v>
      </c>
      <c r="L10" s="4">
        <f t="shared" si="0"/>
        <v>100.64801132113642</v>
      </c>
      <c r="M10" s="4">
        <f>L10/MAX(L$2:L10)-1</f>
        <v>0</v>
      </c>
      <c r="N10" s="4"/>
    </row>
    <row r="11" spans="1:14">
      <c r="A11" s="3">
        <f>prices!A12</f>
        <v>43481</v>
      </c>
      <c r="B11" s="5">
        <f>prices!B12/prices!B11-1</f>
        <v>5.519668819870871E-3</v>
      </c>
      <c r="C11" s="5">
        <f>prices!C12/prices!C11-1</f>
        <v>1.259900389125379E-3</v>
      </c>
      <c r="D11" s="5">
        <f>prices!D12/prices!D11-1</f>
        <v>-7.9570726133881831E-4</v>
      </c>
      <c r="E11" s="5">
        <f>prices!E12/prices!E11-1</f>
        <v>1.4040482546548105E-2</v>
      </c>
      <c r="F11" s="5">
        <f>prices!F12/prices!F11-1</f>
        <v>-8.4412749235919238E-3</v>
      </c>
      <c r="G11" s="5">
        <f>prices!G12/prices!G11-1</f>
        <v>-6.1037997766043572E-3</v>
      </c>
      <c r="H11" s="5">
        <f>prices!H12/prices!H11-1</f>
        <v>3.0056534910904986E-3</v>
      </c>
      <c r="I11" s="5">
        <f>prices!I12/prices!I11-1</f>
        <v>9.3031831972778534E-4</v>
      </c>
      <c r="J11" s="5">
        <f>prices!J12/prices!J11-1</f>
        <v>3.2149024506744617E-4</v>
      </c>
      <c r="K11" s="8">
        <f>SUMPRODUCT(B11:I11,weights!$B$5:$I$5)</f>
        <v>6.8846290274448651E-4</v>
      </c>
      <c r="L11" s="4">
        <f t="shared" si="0"/>
        <v>100.71730374316603</v>
      </c>
      <c r="M11" s="4">
        <f>L11/MAX(L$2:L11)-1</f>
        <v>0</v>
      </c>
      <c r="N11" s="4"/>
    </row>
    <row r="12" spans="1:14">
      <c r="A12" s="3">
        <f>prices!A13</f>
        <v>43482</v>
      </c>
      <c r="B12" s="5">
        <f>prices!B13/prices!B12-1</f>
        <v>-1.2728972334374866E-3</v>
      </c>
      <c r="C12" s="5">
        <f>prices!C13/prices!C12-1</f>
        <v>1.5086673001933448E-2</v>
      </c>
      <c r="D12" s="5">
        <f>prices!D13/prices!D12-1</f>
        <v>5.7173193939641376E-3</v>
      </c>
      <c r="E12" s="5">
        <f>prices!E13/prices!E12-1</f>
        <v>-4.6820067647499464E-3</v>
      </c>
      <c r="F12" s="5">
        <f>prices!F13/prices!F12-1</f>
        <v>-3.4248250892898735E-4</v>
      </c>
      <c r="G12" s="5">
        <f>prices!G13/prices!G12-1</f>
        <v>3.555868879731694E-3</v>
      </c>
      <c r="H12" s="5">
        <f>prices!H13/prices!H12-1</f>
        <v>-6.0051846742930515E-2</v>
      </c>
      <c r="I12" s="5">
        <f>prices!I13/prices!I12-1</f>
        <v>2.9055892819762619E-3</v>
      </c>
      <c r="J12" s="5">
        <f>prices!J13/prices!J12-1</f>
        <v>1.368190040678563E-3</v>
      </c>
      <c r="K12" s="8">
        <f>SUMPRODUCT(B12:I12,weights!$B$5:$I$5)</f>
        <v>-6.6321217758684098E-3</v>
      </c>
      <c r="L12" s="4">
        <f t="shared" si="0"/>
        <v>100.04933431980423</v>
      </c>
      <c r="M12" s="4">
        <f>L12/MAX(L$2:L12)-1</f>
        <v>-6.6321217758683604E-3</v>
      </c>
      <c r="N12" s="4"/>
    </row>
    <row r="13" spans="1:14">
      <c r="A13" s="3">
        <f>prices!A14</f>
        <v>43483</v>
      </c>
      <c r="B13" s="5">
        <f>prices!B14/prices!B13-1</f>
        <v>4.3990839390620318E-2</v>
      </c>
      <c r="C13" s="5">
        <f>prices!C14/prices!C13-1</f>
        <v>3.3508299599063207E-3</v>
      </c>
      <c r="D13" s="5">
        <f>prices!D14/prices!D13-1</f>
        <v>-9.745401388719932E-4</v>
      </c>
      <c r="E13" s="5">
        <f>prices!E14/prices!E13-1</f>
        <v>-3.2643631980715515E-3</v>
      </c>
      <c r="F13" s="5">
        <f>prices!F14/prices!F13-1</f>
        <v>-8.5160532498040897E-3</v>
      </c>
      <c r="G13" s="5">
        <f>prices!G14/prices!G13-1</f>
        <v>2.958358133280381E-3</v>
      </c>
      <c r="H13" s="5">
        <f>prices!H14/prices!H13-1</f>
        <v>-8.3927938869490459E-2</v>
      </c>
      <c r="I13" s="5">
        <f>prices!I14/prices!I13-1</f>
        <v>-2.0914738002204114E-2</v>
      </c>
      <c r="J13" s="5">
        <f>prices!J14/prices!J13-1</f>
        <v>1.6047390235840453E-4</v>
      </c>
      <c r="K13" s="8">
        <f>SUMPRODUCT(B13:I13,weights!$B$5:$I$5)</f>
        <v>-1.1371452084236885E-2</v>
      </c>
      <c r="L13" s="4">
        <f t="shared" si="0"/>
        <v>98.911628108526784</v>
      </c>
      <c r="M13" s="4">
        <f>L13/MAX(L$2:L13)-1</f>
        <v>-1.7928157005114076E-2</v>
      </c>
      <c r="N13" s="4"/>
    </row>
    <row r="14" spans="1:14">
      <c r="A14" s="3">
        <f>prices!A15</f>
        <v>43486</v>
      </c>
      <c r="B14" s="5">
        <f>prices!B15/prices!B14-1</f>
        <v>4.503662444681833E-2</v>
      </c>
      <c r="C14" s="5">
        <f>prices!C15/prices!C14-1</f>
        <v>4.2340707565988733E-3</v>
      </c>
      <c r="D14" s="5">
        <f>prices!D15/prices!D14-1</f>
        <v>8.4136080965735438E-3</v>
      </c>
      <c r="E14" s="5">
        <f>prices!E15/prices!E14-1</f>
        <v>1.9213651097563123E-2</v>
      </c>
      <c r="F14" s="5">
        <f>prices!F15/prices!F14-1</f>
        <v>-5.2818639549808699E-3</v>
      </c>
      <c r="G14" s="5">
        <f>prices!G15/prices!G14-1</f>
        <v>-2.0325060296750852E-2</v>
      </c>
      <c r="H14" s="5">
        <f>prices!H15/prices!H14-1</f>
        <v>1.9306725590388041E-2</v>
      </c>
      <c r="I14" s="5">
        <f>prices!I15/prices!I14-1</f>
        <v>-2.5412093768920618E-3</v>
      </c>
      <c r="J14" s="5">
        <f>prices!J15/prices!J14-1</f>
        <v>5.0334878219850943E-3</v>
      </c>
      <c r="K14" s="8">
        <f>SUMPRODUCT(B14:I14,weights!$B$5:$I$5)</f>
        <v>6.377434562202325E-3</v>
      </c>
      <c r="L14" s="4">
        <f t="shared" si="0"/>
        <v>99.542430544229802</v>
      </c>
      <c r="M14" s="4">
        <f>L14/MAX(L$2:L14)-1</f>
        <v>-1.1665058091032798E-2</v>
      </c>
      <c r="N14" s="4"/>
    </row>
    <row r="15" spans="1:14">
      <c r="A15" s="3">
        <f>prices!A16</f>
        <v>43487</v>
      </c>
      <c r="B15" s="5">
        <f>prices!B16/prices!B15-1</f>
        <v>-2.0626083782057103E-3</v>
      </c>
      <c r="C15" s="5">
        <f>prices!C16/prices!C15-1</f>
        <v>-3.5626409678082283E-3</v>
      </c>
      <c r="D15" s="5">
        <f>prices!D16/prices!D15-1</f>
        <v>-5.7234985892784529E-3</v>
      </c>
      <c r="E15" s="5">
        <f>prices!E16/prices!E15-1</f>
        <v>4.7787756447226215E-4</v>
      </c>
      <c r="F15" s="5">
        <f>prices!F16/prices!F15-1</f>
        <v>-5.4587861644572744E-4</v>
      </c>
      <c r="G15" s="5">
        <f>prices!G16/prices!G15-1</f>
        <v>-1.9358737157617489E-2</v>
      </c>
      <c r="H15" s="5">
        <f>prices!H16/prices!H15-1</f>
        <v>5.1864296553219225E-2</v>
      </c>
      <c r="I15" s="5">
        <f>prices!I16/prices!I15-1</f>
        <v>-1.0190734297121473E-2</v>
      </c>
      <c r="J15" s="5">
        <f>prices!J16/prices!J15-1</f>
        <v>-3.5669161683474782E-3</v>
      </c>
      <c r="K15" s="8">
        <f>SUMPRODUCT(B15:I15,weights!$B$5:$I$5)</f>
        <v>1.0462944714817084E-3</v>
      </c>
      <c r="L15" s="4">
        <f t="shared" si="0"/>
        <v>99.646581238986087</v>
      </c>
      <c r="M15" s="4">
        <f>L15/MAX(L$2:L15)-1</f>
        <v>-1.0630968705341193E-2</v>
      </c>
      <c r="N15" s="4"/>
    </row>
    <row r="16" spans="1:14">
      <c r="A16" s="3">
        <f>prices!A17</f>
        <v>43488</v>
      </c>
      <c r="B16" s="5">
        <f>prices!B17/prices!B16-1</f>
        <v>-7.1517412935324653E-3</v>
      </c>
      <c r="C16" s="5">
        <f>prices!C17/prices!C16-1</f>
        <v>-1.38256552717545E-2</v>
      </c>
      <c r="D16" s="5">
        <f>prices!D17/prices!D16-1</f>
        <v>-1.4269498946002934E-2</v>
      </c>
      <c r="E16" s="5">
        <f>prices!E17/prices!E16-1</f>
        <v>-1.8381262970649237E-2</v>
      </c>
      <c r="F16" s="5">
        <f>prices!F17/prices!F16-1</f>
        <v>-4.2949354518371452E-2</v>
      </c>
      <c r="G16" s="5">
        <f>prices!G17/prices!G16-1</f>
        <v>-3.3173490491791302E-3</v>
      </c>
      <c r="H16" s="5">
        <f>prices!H17/prices!H16-1</f>
        <v>2.8749549178216149E-2</v>
      </c>
      <c r="I16" s="5">
        <f>prices!I17/prices!I16-1</f>
        <v>2.2456964682104896E-4</v>
      </c>
      <c r="J16" s="5">
        <f>prices!J17/prices!J16-1</f>
        <v>-8.3541232748163274E-3</v>
      </c>
      <c r="K16" s="8">
        <f>SUMPRODUCT(B16:I16,weights!$B$5:$I$5)</f>
        <v>-4.5984512111194474E-3</v>
      </c>
      <c r="L16" s="4">
        <f t="shared" si="0"/>
        <v>99.188361296803762</v>
      </c>
      <c r="M16" s="4">
        <f>L16/MAX(L$2:L16)-1</f>
        <v>-1.5180533925542194E-2</v>
      </c>
      <c r="N16" s="4"/>
    </row>
    <row r="17" spans="1:14">
      <c r="A17" s="3">
        <f>prices!A18</f>
        <v>43489</v>
      </c>
      <c r="B17" s="5">
        <f>prices!B18/prices!B17-1</f>
        <v>1.7243602733921559E-2</v>
      </c>
      <c r="C17" s="5">
        <f>prices!C18/prices!C17-1</f>
        <v>1.38303838078222E-2</v>
      </c>
      <c r="D17" s="5">
        <f>prices!D18/prices!D17-1</f>
        <v>-1.4805066622799457E-3</v>
      </c>
      <c r="E17" s="5">
        <f>prices!E18/prices!E17-1</f>
        <v>5.9733548105640466E-3</v>
      </c>
      <c r="F17" s="5">
        <f>prices!F18/prices!F17-1</f>
        <v>5.7587548638133867E-3</v>
      </c>
      <c r="G17" s="5">
        <f>prices!G18/prices!G17-1</f>
        <v>-6.8098104118174962E-4</v>
      </c>
      <c r="H17" s="5">
        <f>prices!H18/prices!H17-1</f>
        <v>-1.8555616767666594E-2</v>
      </c>
      <c r="I17" s="5">
        <f>prices!I18/prices!I17-1</f>
        <v>-4.6803623394904292E-3</v>
      </c>
      <c r="J17" s="5">
        <f>prices!J18/prices!J17-1</f>
        <v>1.6895166874393297E-3</v>
      </c>
      <c r="K17" s="8">
        <f>SUMPRODUCT(B17:I17,weights!$B$5:$I$5)</f>
        <v>4.3362453350716604E-4</v>
      </c>
      <c r="L17" s="4">
        <f t="shared" si="0"/>
        <v>99.231371803700441</v>
      </c>
      <c r="M17" s="4">
        <f>L17/MAX(L$2:L17)-1</f>
        <v>-1.475349204397669E-2</v>
      </c>
      <c r="N17" s="4"/>
    </row>
    <row r="18" spans="1:14">
      <c r="A18" s="3">
        <f>prices!A19</f>
        <v>43490</v>
      </c>
      <c r="B18" s="5">
        <f>prices!B19/prices!B18-1</f>
        <v>-1.1590633319448207E-3</v>
      </c>
      <c r="C18" s="5">
        <f>prices!C19/prices!C18-1</f>
        <v>1.0123553663195617E-2</v>
      </c>
      <c r="D18" s="5">
        <f>prices!D19/prices!D18-1</f>
        <v>-2.9859967051071301E-3</v>
      </c>
      <c r="E18" s="5">
        <f>prices!E19/prices!E18-1</f>
        <v>-2.2517263235145579E-3</v>
      </c>
      <c r="F18" s="5">
        <f>prices!F19/prices!F18-1</f>
        <v>1.0832559579077028E-3</v>
      </c>
      <c r="G18" s="5">
        <f>prices!G19/prices!G18-1</f>
        <v>-7.4880861959131684E-2</v>
      </c>
      <c r="H18" s="5">
        <f>prices!H19/prices!H18-1</f>
        <v>-1.4288265761742691E-3</v>
      </c>
      <c r="I18" s="5">
        <f>prices!I19/prices!I18-1</f>
        <v>-7.6435220933359638E-3</v>
      </c>
      <c r="J18" s="5">
        <f>prices!J19/prices!J18-1</f>
        <v>-6.3826061309886217E-3</v>
      </c>
      <c r="K18" s="8">
        <f>SUMPRODUCT(B18:I18,weights!$B$5:$I$5)</f>
        <v>-1.5857667981244591E-2</v>
      </c>
      <c r="L18" s="4">
        <f t="shared" si="0"/>
        <v>97.657793656313927</v>
      </c>
      <c r="M18" s="4">
        <f>L18/MAX(L$2:L18)-1</f>
        <v>-3.037720404682398E-2</v>
      </c>
      <c r="N18" s="4"/>
    </row>
    <row r="19" spans="1:14">
      <c r="A19" s="3">
        <f>prices!A20</f>
        <v>43493</v>
      </c>
      <c r="B19" s="5">
        <f>prices!B20/prices!B19-1</f>
        <v>-1.3217776004931681E-2</v>
      </c>
      <c r="C19" s="5">
        <f>prices!C20/prices!C19-1</f>
        <v>1.7809274576098488E-2</v>
      </c>
      <c r="D19" s="5">
        <f>prices!D20/prices!D19-1</f>
        <v>-5.6594030775585225E-3</v>
      </c>
      <c r="E19" s="5">
        <f>prices!E20/prices!E19-1</f>
        <v>-3.2932680252094615E-3</v>
      </c>
      <c r="F19" s="5">
        <f>prices!F20/prices!F19-1</f>
        <v>-1.5922089967537523E-2</v>
      </c>
      <c r="G19" s="5">
        <f>prices!G20/prices!G19-1</f>
        <v>-3.6085247258432762E-4</v>
      </c>
      <c r="H19" s="5">
        <f>prices!H20/prices!H19-1</f>
        <v>-2.5219102128420712E-2</v>
      </c>
      <c r="I19" s="5">
        <f>prices!I20/prices!I19-1</f>
        <v>1.1662878125546561E-2</v>
      </c>
      <c r="J19" s="5">
        <f>prices!J20/prices!J19-1</f>
        <v>-1.1038397855396953E-2</v>
      </c>
      <c r="K19" s="8">
        <f>SUMPRODUCT(B19:I19,weights!$B$5:$I$5)</f>
        <v>-3.7267668851295871E-3</v>
      </c>
      <c r="L19" s="4">
        <f t="shared" si="0"/>
        <v>97.293845824840758</v>
      </c>
      <c r="M19" s="4">
        <f>L19/MAX(L$2:L19)-1</f>
        <v>-3.3990762173848998E-2</v>
      </c>
      <c r="N19" s="4"/>
    </row>
    <row r="20" spans="1:14">
      <c r="A20" s="3">
        <f>prices!A21</f>
        <v>43494</v>
      </c>
      <c r="B20" s="5">
        <f>prices!B21/prices!B20-1</f>
        <v>-1.5360870204321642E-2</v>
      </c>
      <c r="C20" s="5">
        <f>prices!C21/prices!C20-1</f>
        <v>1.4194557397560148E-2</v>
      </c>
      <c r="D20" s="5">
        <f>prices!D21/prices!D20-1</f>
        <v>-1.2733428885980835E-2</v>
      </c>
      <c r="E20" s="5">
        <f>prices!E21/prices!E20-1</f>
        <v>-6.7089329442326928E-5</v>
      </c>
      <c r="F20" s="5">
        <f>prices!F21/prices!F20-1</f>
        <v>1.3456906482354203E-2</v>
      </c>
      <c r="G20" s="5">
        <f>prices!G21/prices!G20-1</f>
        <v>2.4424290495059786E-3</v>
      </c>
      <c r="H20" s="5">
        <f>prices!H21/prices!H20-1</f>
        <v>2.5871559633027452E-2</v>
      </c>
      <c r="I20" s="5">
        <f>prices!I21/prices!I20-1</f>
        <v>-1.7223499317282287E-2</v>
      </c>
      <c r="J20" s="5">
        <f>prices!J21/prices!J20-1</f>
        <v>-8.7698317786799596E-4</v>
      </c>
      <c r="K20" s="8">
        <f>SUMPRODUCT(B20:I20,weights!$B$5:$I$5)</f>
        <v>4.4766570001422137E-4</v>
      </c>
      <c r="L20" s="4">
        <f t="shared" si="0"/>
        <v>97.337400942439018</v>
      </c>
      <c r="M20" s="4">
        <f>L20/MAX(L$2:L20)-1</f>
        <v>-3.3558312972177262E-2</v>
      </c>
      <c r="N20" s="4"/>
    </row>
    <row r="21" spans="1:14">
      <c r="A21" s="3">
        <f>prices!A22</f>
        <v>43495</v>
      </c>
      <c r="B21" s="5">
        <f>prices!B22/prices!B21-1</f>
        <v>-1.2353511980294107E-2</v>
      </c>
      <c r="C21" s="5">
        <f>prices!C22/prices!C21-1</f>
        <v>-6.8468223958950691E-4</v>
      </c>
      <c r="D21" s="5">
        <f>prices!D22/prices!D21-1</f>
        <v>-1.1130281097458283E-2</v>
      </c>
      <c r="E21" s="5">
        <f>prices!E22/prices!E21-1</f>
        <v>-2.7508470596128154E-3</v>
      </c>
      <c r="F21" s="5">
        <f>prices!F22/prices!F21-1</f>
        <v>-1.0591578403513324E-2</v>
      </c>
      <c r="G21" s="5">
        <f>prices!G22/prices!G21-1</f>
        <v>3.2624029125412068E-3</v>
      </c>
      <c r="H21" s="5">
        <f>prices!H22/prices!H21-1</f>
        <v>-1.0527122671640687E-2</v>
      </c>
      <c r="I21" s="5">
        <f>prices!I22/prices!I21-1</f>
        <v>1.2838437931428581E-2</v>
      </c>
      <c r="J21" s="5">
        <f>prices!J22/prices!J21-1</f>
        <v>-3.7550928446816734E-5</v>
      </c>
      <c r="K21" s="8">
        <f>SUMPRODUCT(B21:I21,weights!$B$5:$I$5)</f>
        <v>-2.0034558549780418E-3</v>
      </c>
      <c r="L21" s="4">
        <f t="shared" si="0"/>
        <v>97.142389756612545</v>
      </c>
      <c r="M21" s="4">
        <f>L21/MAX(L$2:L21)-1</f>
        <v>-3.5494536228548035E-2</v>
      </c>
      <c r="N21" s="4"/>
    </row>
    <row r="22" spans="1:14">
      <c r="A22" s="3">
        <f>prices!A23</f>
        <v>43496</v>
      </c>
      <c r="B22" s="5">
        <f>prices!B23/prices!B22-1</f>
        <v>2.6300872916902751E-2</v>
      </c>
      <c r="C22" s="5">
        <f>prices!C23/prices!C22-1</f>
        <v>1.6505357760110639E-2</v>
      </c>
      <c r="D22" s="5">
        <f>prices!D23/prices!D22-1</f>
        <v>2.2234515627992169E-2</v>
      </c>
      <c r="E22" s="5">
        <f>prices!E23/prices!E22-1</f>
        <v>3.2579809600699727E-2</v>
      </c>
      <c r="F22" s="5">
        <f>prices!F23/prices!F22-1</f>
        <v>1.1436031331592655E-2</v>
      </c>
      <c r="G22" s="5">
        <f>prices!G23/prices!G22-1</f>
        <v>1.4187701796472219E-2</v>
      </c>
      <c r="H22" s="5">
        <f>prices!H23/prices!H22-1</f>
        <v>1.3169786959328578E-2</v>
      </c>
      <c r="I22" s="5">
        <f>prices!I23/prices!I22-1</f>
        <v>1.5332389890693854E-2</v>
      </c>
      <c r="J22" s="5">
        <f>prices!J23/prices!J22-1</f>
        <v>1.6818753637882988E-2</v>
      </c>
      <c r="K22" s="8">
        <f>SUMPRODUCT(B22:I22,weights!$B$5:$I$5)</f>
        <v>1.7932124026896933E-2</v>
      </c>
      <c r="L22" s="4">
        <f t="shared" si="0"/>
        <v>98.884359137997293</v>
      </c>
      <c r="M22" s="4">
        <f>L22/MAX(L$2:L22)-1</f>
        <v>-1.819890462757856E-2</v>
      </c>
      <c r="N22" s="4">
        <f>L22/L2-1</f>
        <v>-1.5608931219901478E-4</v>
      </c>
    </row>
    <row r="23" spans="1:14">
      <c r="A23" s="3">
        <f>prices!A24</f>
        <v>43497</v>
      </c>
      <c r="B23" s="5">
        <f>prices!B24/prices!B23-1</f>
        <v>1.8575794395964573E-2</v>
      </c>
      <c r="C23" s="5">
        <f>prices!C24/prices!C23-1</f>
        <v>7.869712536889395E-3</v>
      </c>
      <c r="D23" s="5">
        <f>prices!D24/prices!D23-1</f>
        <v>5.0578636250104836E-3</v>
      </c>
      <c r="E23" s="5">
        <f>prices!E24/prices!E23-1</f>
        <v>1.0017755045527821E-2</v>
      </c>
      <c r="F23" s="5">
        <f>prices!F24/prices!F23-1</f>
        <v>7.8992204037380276E-3</v>
      </c>
      <c r="G23" s="5">
        <f>prices!G24/prices!G23-1</f>
        <v>4.8357560546386624E-2</v>
      </c>
      <c r="H23" s="5">
        <f>prices!H24/prices!H23-1</f>
        <v>-4.842615012106144E-4</v>
      </c>
      <c r="I23" s="5">
        <f>prices!I24/prices!I23-1</f>
        <v>7.8326079335084842E-3</v>
      </c>
      <c r="J23" s="5">
        <f>prices!J24/prices!J23-1</f>
        <v>5.7889658801857369E-3</v>
      </c>
      <c r="K23" s="8">
        <f>SUMPRODUCT(B23:I23,weights!$B$5:$I$5)</f>
        <v>1.5810605786878391E-2</v>
      </c>
      <c r="L23" s="4">
        <f t="shared" si="0"/>
        <v>100.44778075881626</v>
      </c>
      <c r="M23" s="4">
        <f>L23/MAX(L$2:L23)-1</f>
        <v>-2.6760345475198566E-3</v>
      </c>
      <c r="N23" s="4">
        <f t="shared" ref="N23:N86" si="1">L23/L3-1</f>
        <v>1.7210473140338411E-2</v>
      </c>
    </row>
    <row r="24" spans="1:14">
      <c r="A24" s="3">
        <f>prices!A25</f>
        <v>43500</v>
      </c>
      <c r="B24" s="5">
        <f>prices!B25/prices!B24-1</f>
        <v>3.2768810887993105E-2</v>
      </c>
      <c r="C24" s="5">
        <f>prices!C25/prices!C24-1</f>
        <v>1.0001325476870493E-2</v>
      </c>
      <c r="D24" s="5">
        <f>prices!D25/prices!D24-1</f>
        <v>6.916975583490359E-3</v>
      </c>
      <c r="E24" s="5">
        <f>prices!E25/prices!E24-1</f>
        <v>-1.5321097958260754E-3</v>
      </c>
      <c r="F24" s="5">
        <f>prices!F25/prices!F24-1</f>
        <v>-1.3369531810265234E-2</v>
      </c>
      <c r="G24" s="5">
        <f>prices!G25/prices!G24-1</f>
        <v>3.7196424064012135E-3</v>
      </c>
      <c r="H24" s="5">
        <f>prices!H25/prices!H24-1</f>
        <v>-1.9966340269277905E-2</v>
      </c>
      <c r="I24" s="5">
        <f>prices!I25/prices!I24-1</f>
        <v>-1.2981173056854312E-2</v>
      </c>
      <c r="J24" s="5">
        <f>prices!J25/prices!J24-1</f>
        <v>1.7074167060626699E-3</v>
      </c>
      <c r="K24" s="8">
        <f>SUMPRODUCT(B24:I24,weights!$B$5:$I$5)</f>
        <v>-5.3015595231623459E-4</v>
      </c>
      <c r="L24" s="4">
        <f t="shared" si="0"/>
        <v>100.39452776995003</v>
      </c>
      <c r="M24" s="4">
        <f>L24/MAX(L$2:L24)-1</f>
        <v>-3.2047717841919843E-3</v>
      </c>
      <c r="N24" s="4">
        <f t="shared" si="1"/>
        <v>1.1453769603998465E-2</v>
      </c>
    </row>
    <row r="25" spans="1:14">
      <c r="A25" s="3">
        <f>prices!A26</f>
        <v>43501</v>
      </c>
      <c r="B25" s="5">
        <f>prices!B26/prices!B25-1</f>
        <v>5.075253762689691E-4</v>
      </c>
      <c r="C25" s="5">
        <f>prices!C26/prices!C25-1</f>
        <v>-2.7797993295076706E-3</v>
      </c>
      <c r="D25" s="5">
        <f>prices!D26/prices!D25-1</f>
        <v>4.3396886119166922E-3</v>
      </c>
      <c r="E25" s="5">
        <f>prices!E26/prices!E25-1</f>
        <v>-1.3890907916203066E-3</v>
      </c>
      <c r="F25" s="5">
        <f>prices!F26/prices!F25-1</f>
        <v>-1.064326878147559E-2</v>
      </c>
      <c r="G25" s="5">
        <f>prices!G26/prices!G25-1</f>
        <v>1.5082625820973972E-2</v>
      </c>
      <c r="H25" s="5">
        <f>prices!H26/prices!H25-1</f>
        <v>-1.1812765071683051E-2</v>
      </c>
      <c r="I25" s="5">
        <f>prices!I26/prices!I25-1</f>
        <v>-2.1404072791039175E-3</v>
      </c>
      <c r="J25" s="5">
        <f>prices!J26/prices!J25-1</f>
        <v>2.0252468555981284E-3</v>
      </c>
      <c r="K25" s="8">
        <f>SUMPRODUCT(B25:I25,weights!$B$5:$I$5)</f>
        <v>-1.3604981587523961E-4</v>
      </c>
      <c r="L25" s="4">
        <f t="shared" si="0"/>
        <v>100.38086911293205</v>
      </c>
      <c r="M25" s="4">
        <f>L25/MAX(L$2:L25)-1</f>
        <v>-3.3403855914561076E-3</v>
      </c>
      <c r="N25" s="4">
        <f t="shared" si="1"/>
        <v>3.6973634788546317E-3</v>
      </c>
    </row>
    <row r="26" spans="1:14">
      <c r="A26" s="3">
        <f>prices!A27</f>
        <v>43502</v>
      </c>
      <c r="B26" s="5">
        <f>prices!B27/prices!B26-1</f>
        <v>1.4483373856460702E-2</v>
      </c>
      <c r="C26" s="5">
        <f>prices!C27/prices!C26-1</f>
        <v>1.4793147177757149E-2</v>
      </c>
      <c r="D26" s="5">
        <f>prices!D27/prices!D26-1</f>
        <v>4.0751965923984113E-3</v>
      </c>
      <c r="E26" s="5">
        <f>prices!E27/prices!E26-1</f>
        <v>1.1192883137889131E-2</v>
      </c>
      <c r="F26" s="5">
        <f>prices!F27/prices!F26-1</f>
        <v>1.2961796809403792E-2</v>
      </c>
      <c r="G26" s="5">
        <f>prices!G27/prices!G26-1</f>
        <v>1.2659228287120738E-2</v>
      </c>
      <c r="H26" s="5">
        <f>prices!H27/prices!H26-1</f>
        <v>1.6351141420258619E-2</v>
      </c>
      <c r="I26" s="5">
        <f>prices!I27/prices!I26-1</f>
        <v>7.5118017986974817E-3</v>
      </c>
      <c r="J26" s="5">
        <f>prices!J27/prices!J26-1</f>
        <v>1.1715374027720049E-2</v>
      </c>
      <c r="K26" s="8">
        <f>SUMPRODUCT(B26:I26,weights!$B$5:$I$5)</f>
        <v>1.1884377142062186E-2</v>
      </c>
      <c r="L26" s="4">
        <f t="shared" si="0"/>
        <v>101.57383321931812</v>
      </c>
      <c r="M26" s="4">
        <f>L26/MAX(L$2:L26)-1</f>
        <v>0</v>
      </c>
      <c r="N26" s="4">
        <f t="shared" si="1"/>
        <v>9.9324003175635944E-3</v>
      </c>
    </row>
    <row r="27" spans="1:14">
      <c r="A27" s="3">
        <f>prices!A28</f>
        <v>43503</v>
      </c>
      <c r="B27" s="5">
        <f>prices!B28/prices!B27-1</f>
        <v>-1.515595634256961E-2</v>
      </c>
      <c r="C27" s="5">
        <f>prices!C28/prices!C27-1</f>
        <v>3.9022664976862131E-3</v>
      </c>
      <c r="D27" s="5">
        <f>prices!D28/prices!D27-1</f>
        <v>-2.5494075176928366E-3</v>
      </c>
      <c r="E27" s="5">
        <f>prices!E28/prices!E27-1</f>
        <v>9.277476526385886E-4</v>
      </c>
      <c r="F27" s="5">
        <f>prices!F28/prices!F27-1</f>
        <v>9.3249753924260492E-3</v>
      </c>
      <c r="G27" s="5">
        <f>prices!G28/prices!G27-1</f>
        <v>1.6587919575906218E-2</v>
      </c>
      <c r="H27" s="5">
        <f>prices!H28/prices!H27-1</f>
        <v>4.3911917098445663E-2</v>
      </c>
      <c r="I27" s="5">
        <f>prices!I28/prices!I27-1</f>
        <v>-1.3962515817914412E-2</v>
      </c>
      <c r="J27" s="5">
        <f>prices!J28/prices!J27-1</f>
        <v>6.2825142712497062E-4</v>
      </c>
      <c r="K27" s="8">
        <f>SUMPRODUCT(B27:I27,weights!$B$5:$I$5)</f>
        <v>6.1792767657118533E-3</v>
      </c>
      <c r="L27" s="4">
        <f t="shared" si="0"/>
        <v>102.20148604693453</v>
      </c>
      <c r="M27" s="4">
        <f>L27/MAX(L$2:L27)-1</f>
        <v>0</v>
      </c>
      <c r="N27" s="4">
        <f t="shared" si="1"/>
        <v>1.970214969901285E-2</v>
      </c>
    </row>
    <row r="28" spans="1:14">
      <c r="A28" s="3">
        <f>prices!A29</f>
        <v>43504</v>
      </c>
      <c r="B28" s="5">
        <f>prices!B29/prices!B28-1</f>
        <v>-9.839280086837765E-3</v>
      </c>
      <c r="C28" s="5">
        <f>prices!C29/prices!C28-1</f>
        <v>-1.0322535186457316E-2</v>
      </c>
      <c r="D28" s="5">
        <f>prices!D29/prices!D28-1</f>
        <v>2.5559236085552772E-3</v>
      </c>
      <c r="E28" s="5">
        <f>prices!E29/prices!E28-1</f>
        <v>-4.0591290451457152E-3</v>
      </c>
      <c r="F28" s="5">
        <f>prices!F29/prices!F28-1</f>
        <v>-1.709182364112305E-2</v>
      </c>
      <c r="G28" s="5">
        <f>prices!G29/prices!G28-1</f>
        <v>-2.3046713517982598E-2</v>
      </c>
      <c r="H28" s="5">
        <f>prices!H29/prices!H28-1</f>
        <v>-8.8348430326343763E-3</v>
      </c>
      <c r="I28" s="5">
        <f>prices!I29/prices!I28-1</f>
        <v>-2.6464798869262784E-2</v>
      </c>
      <c r="J28" s="5">
        <f>prices!J29/prices!J28-1</f>
        <v>-1.1364662944694293E-2</v>
      </c>
      <c r="K28" s="8">
        <f>SUMPRODUCT(B28:I28,weights!$B$5:$I$5)</f>
        <v>-1.4767449228431841E-2</v>
      </c>
      <c r="L28" s="4">
        <f t="shared" si="0"/>
        <v>100.69223079066614</v>
      </c>
      <c r="M28" s="4">
        <f>L28/MAX(L$2:L28)-1</f>
        <v>-1.4767449228431873E-2</v>
      </c>
      <c r="N28" s="4">
        <f t="shared" si="1"/>
        <v>1.0870534128979203E-2</v>
      </c>
    </row>
    <row r="29" spans="1:14">
      <c r="A29" s="3">
        <f>prices!A30</f>
        <v>43507</v>
      </c>
      <c r="B29" s="5">
        <f>prices!B30/prices!B29-1</f>
        <v>-1.9131480302708725E-2</v>
      </c>
      <c r="C29" s="5">
        <f>prices!C30/prices!C29-1</f>
        <v>2.1833413428735682E-3</v>
      </c>
      <c r="D29" s="5">
        <f>prices!D30/prices!D29-1</f>
        <v>7.9949419754850037E-3</v>
      </c>
      <c r="E29" s="5">
        <f>prices!E30/prices!E29-1</f>
        <v>2.5031690762342684E-3</v>
      </c>
      <c r="F29" s="5">
        <f>prices!F30/prices!F29-1</f>
        <v>5.7963446475195468E-3</v>
      </c>
      <c r="G29" s="5">
        <f>prices!G30/prices!G29-1</f>
        <v>6.1174834897461672E-3</v>
      </c>
      <c r="H29" s="5">
        <f>prices!H30/prices!H29-1</f>
        <v>-5.8088585092265221E-3</v>
      </c>
      <c r="I29" s="5">
        <f>prices!I30/prices!I29-1</f>
        <v>-1.2086825627276809E-2</v>
      </c>
      <c r="J29" s="5">
        <f>prices!J30/prices!J29-1</f>
        <v>-5.0074929639242205E-3</v>
      </c>
      <c r="K29" s="8">
        <f>SUMPRODUCT(B29:I29,weights!$B$5:$I$5)</f>
        <v>-3.0203194941826723E-3</v>
      </c>
      <c r="L29" s="4">
        <f t="shared" si="0"/>
        <v>100.38810808309636</v>
      </c>
      <c r="M29" s="4">
        <f>L29/MAX(L$2:L29)-1</f>
        <v>-1.774316630783046E-2</v>
      </c>
      <c r="N29" s="4">
        <f t="shared" si="1"/>
        <v>8.3443973769405932E-3</v>
      </c>
    </row>
    <row r="30" spans="1:14">
      <c r="A30" s="3">
        <f>prices!A31</f>
        <v>43508</v>
      </c>
      <c r="B30" s="5">
        <f>prices!B31/prices!B30-1</f>
        <v>2.505678335796846E-3</v>
      </c>
      <c r="C30" s="5">
        <f>prices!C31/prices!C30-1</f>
        <v>-6.9205586175459244E-3</v>
      </c>
      <c r="D30" s="5">
        <f>prices!D31/prices!D30-1</f>
        <v>-4.6334702466462874E-3</v>
      </c>
      <c r="E30" s="5">
        <f>prices!E31/prices!E30-1</f>
        <v>-1.6197960849592685E-2</v>
      </c>
      <c r="F30" s="5">
        <f>prices!F31/prices!F30-1</f>
        <v>-6.4897980374850617E-3</v>
      </c>
      <c r="G30" s="5">
        <f>prices!G31/prices!G30-1</f>
        <v>-2.1449235307724468E-3</v>
      </c>
      <c r="H30" s="5">
        <f>prices!H31/prices!H30-1</f>
        <v>1.8787619311456449E-2</v>
      </c>
      <c r="I30" s="5">
        <f>prices!I31/prices!I30-1</f>
        <v>2.7949582559450015E-4</v>
      </c>
      <c r="J30" s="5">
        <f>prices!J31/prices!J30-1</f>
        <v>-5.2714716038497755E-3</v>
      </c>
      <c r="K30" s="8">
        <f>SUMPRODUCT(B30:I30,weights!$B$5:$I$5)</f>
        <v>-7.6819393697527145E-5</v>
      </c>
      <c r="L30" s="4">
        <f t="shared" si="0"/>
        <v>100.38039632949896</v>
      </c>
      <c r="M30" s="4">
        <f>L30/MAX(L$2:L30)-1</f>
        <v>-1.7818622682250096E-2</v>
      </c>
      <c r="N30" s="4">
        <f t="shared" si="1"/>
        <v>-2.6589198149536974E-3</v>
      </c>
    </row>
    <row r="31" spans="1:14">
      <c r="A31" s="3">
        <f>prices!A32</f>
        <v>43510</v>
      </c>
      <c r="B31" s="5">
        <f>prices!B32/prices!B31-1</f>
        <v>-2.5623505295524374E-2</v>
      </c>
      <c r="C31" s="5">
        <f>prices!C32/prices!C31-1</f>
        <v>-3.4098767198417201E-3</v>
      </c>
      <c r="D31" s="5">
        <f>prices!D32/prices!D31-1</f>
        <v>-9.167784689189773E-3</v>
      </c>
      <c r="E31" s="5">
        <f>prices!E32/prices!E31-1</f>
        <v>-1.3861547221996284E-2</v>
      </c>
      <c r="F31" s="5">
        <f>prices!F32/prices!F31-1</f>
        <v>9.4586120401336515E-3</v>
      </c>
      <c r="G31" s="5">
        <f>prices!G32/prices!G31-1</f>
        <v>-2.0244456821158163E-2</v>
      </c>
      <c r="H31" s="5">
        <f>prices!H32/prices!H31-1</f>
        <v>9.8385781029837194E-3</v>
      </c>
      <c r="I31" s="5">
        <f>prices!I32/prices!I31-1</f>
        <v>-1.5440082923971477E-2</v>
      </c>
      <c r="J31" s="5">
        <f>prices!J32/prices!J31-1</f>
        <v>-7.8798677917906179E-3</v>
      </c>
      <c r="K31" s="8">
        <f>SUMPRODUCT(B31:I31,weights!$B$5:$I$5)</f>
        <v>-1.0119288146070103E-2</v>
      </c>
      <c r="L31" s="4">
        <f t="shared" si="0"/>
        <v>99.364618174824045</v>
      </c>
      <c r="M31" s="4">
        <f>L31/MAX(L$2:L31)-1</f>
        <v>-2.7757599051032367E-2</v>
      </c>
      <c r="N31" s="4">
        <f t="shared" si="1"/>
        <v>-1.343051807454454E-2</v>
      </c>
    </row>
    <row r="32" spans="1:14">
      <c r="A32" s="3">
        <f>prices!A33</f>
        <v>43511</v>
      </c>
      <c r="B32" s="5">
        <f>prices!B33/prices!B32-1</f>
        <v>1.6535026205063863E-2</v>
      </c>
      <c r="C32" s="5">
        <f>prices!C33/prices!C32-1</f>
        <v>-7.2857347944681461E-3</v>
      </c>
      <c r="D32" s="5">
        <f>prices!D33/prices!D32-1</f>
        <v>-4.513468600619519E-3</v>
      </c>
      <c r="E32" s="5">
        <f>prices!E33/prices!E32-1</f>
        <v>2.5737053107419694E-3</v>
      </c>
      <c r="F32" s="5">
        <f>prices!F33/prices!F32-1</f>
        <v>7.9204845472899965E-3</v>
      </c>
      <c r="G32" s="5">
        <f>prices!G33/prices!G32-1</f>
        <v>-1.2461571316415787E-2</v>
      </c>
      <c r="H32" s="5">
        <f>prices!H33/prices!H32-1</f>
        <v>-4.0806834594012464E-2</v>
      </c>
      <c r="I32" s="5">
        <f>prices!I33/prices!I32-1</f>
        <v>1.2624505639373007E-2</v>
      </c>
      <c r="J32" s="5">
        <f>prices!J33/prices!J32-1</f>
        <v>-2.0146937711996715E-3</v>
      </c>
      <c r="K32" s="8">
        <f>SUMPRODUCT(B32:I32,weights!$B$5:$I$5)</f>
        <v>-4.080278705404736E-3</v>
      </c>
      <c r="L32" s="4">
        <f t="shared" si="0"/>
        <v>98.959182839214634</v>
      </c>
      <c r="M32" s="4">
        <f>L32/MAX(L$2:L32)-1</f>
        <v>-3.1724619016116007E-2</v>
      </c>
      <c r="N32" s="4">
        <f t="shared" si="1"/>
        <v>-1.0896139269702343E-2</v>
      </c>
    </row>
    <row r="33" spans="1:14">
      <c r="A33" s="3">
        <f>prices!A34</f>
        <v>43514</v>
      </c>
      <c r="B33" s="5">
        <f>prices!B34/prices!B33-1</f>
        <v>-1.9570111103042742E-2</v>
      </c>
      <c r="C33" s="5">
        <f>prices!C34/prices!C33-1</f>
        <v>-2.9266440906735358E-2</v>
      </c>
      <c r="D33" s="5">
        <f>prices!D34/prices!D33-1</f>
        <v>-5.1315870824145682E-3</v>
      </c>
      <c r="E33" s="5">
        <f>prices!E34/prices!E33-1</f>
        <v>-1.2177261432638753E-3</v>
      </c>
      <c r="F33" s="5">
        <f>prices!F34/prices!F33-1</f>
        <v>-1.9311761684642992E-2</v>
      </c>
      <c r="G33" s="5">
        <f>prices!G34/prices!G33-1</f>
        <v>-1.2604819764456932E-2</v>
      </c>
      <c r="H33" s="5">
        <f>prices!H34/prices!H33-1</f>
        <v>-1.9523274806043212E-2</v>
      </c>
      <c r="I33" s="5">
        <f>prices!I34/prices!I33-1</f>
        <v>1.1300865194239229E-3</v>
      </c>
      <c r="J33" s="5">
        <f>prices!J34/prices!J33-1</f>
        <v>-7.7813210995485438E-3</v>
      </c>
      <c r="K33" s="8">
        <f>SUMPRODUCT(B33:I33,weights!$B$5:$I$5)</f>
        <v>-1.2331852937685772E-2</v>
      </c>
      <c r="L33" s="4">
        <f t="shared" si="0"/>
        <v>97.73883274960788</v>
      </c>
      <c r="M33" s="4">
        <f>L33/MAX(L$2:L33)-1</f>
        <v>-4.3665248617591024E-2</v>
      </c>
      <c r="N33" s="4">
        <f t="shared" si="1"/>
        <v>-1.1857001864655436E-2</v>
      </c>
    </row>
    <row r="34" spans="1:14">
      <c r="A34" s="3">
        <f>prices!A35</f>
        <v>43515</v>
      </c>
      <c r="B34" s="5">
        <f>prices!B35/prices!B34-1</f>
        <v>-3.277413620708769E-3</v>
      </c>
      <c r="C34" s="5">
        <f>prices!C35/prices!C34-1</f>
        <v>-3.3246224418222114E-2</v>
      </c>
      <c r="D34" s="5">
        <f>prices!D35/prices!D34-1</f>
        <v>-2.7965364378340629E-3</v>
      </c>
      <c r="E34" s="5">
        <f>prices!E35/prices!E34-1</f>
        <v>-2.2604827415767415E-2</v>
      </c>
      <c r="F34" s="5">
        <f>prices!F35/prices!F34-1</f>
        <v>4.3992877343668191E-3</v>
      </c>
      <c r="G34" s="5">
        <f>prices!G35/prices!G34-1</f>
        <v>-5.5745681206552655E-3</v>
      </c>
      <c r="H34" s="5">
        <f>prices!H35/prices!H34-1</f>
        <v>-2.4206772690595901E-3</v>
      </c>
      <c r="I34" s="5">
        <f>prices!I35/prices!I34-1</f>
        <v>1.1089437942493952E-2</v>
      </c>
      <c r="J34" s="5">
        <f>prices!J35/prices!J34-1</f>
        <v>-3.4395425220492548E-3</v>
      </c>
      <c r="K34" s="8">
        <f>SUMPRODUCT(B34:I34,weights!$B$5:$I$5)</f>
        <v>-4.3559390490501707E-3</v>
      </c>
      <c r="L34" s="4">
        <f t="shared" si="0"/>
        <v>97.313088351425279</v>
      </c>
      <c r="M34" s="4">
        <f>L34/MAX(L$2:L34)-1</f>
        <v>-4.783098450510137E-2</v>
      </c>
      <c r="N34" s="4">
        <f t="shared" si="1"/>
        <v>-2.2395898719932861E-2</v>
      </c>
    </row>
    <row r="35" spans="1:14">
      <c r="A35" s="3">
        <f>prices!A36</f>
        <v>43516</v>
      </c>
      <c r="B35" s="5">
        <f>prices!B36/prices!B35-1</f>
        <v>1.5010496200932755E-2</v>
      </c>
      <c r="C35" s="5">
        <f>prices!C36/prices!C35-1</f>
        <v>5.2264920222158118E-3</v>
      </c>
      <c r="D35" s="5">
        <f>prices!D36/prices!D35-1</f>
        <v>1.1653752674546602E-2</v>
      </c>
      <c r="E35" s="5">
        <f>prices!E36/prices!E35-1</f>
        <v>2.2638774168534992E-2</v>
      </c>
      <c r="F35" s="5">
        <f>prices!F36/prices!F35-1</f>
        <v>-2.0857232245274915E-4</v>
      </c>
      <c r="G35" s="5">
        <f>prices!G36/prices!G35-1</f>
        <v>6.6642371619158869E-3</v>
      </c>
      <c r="H35" s="5">
        <f>prices!H36/prices!H35-1</f>
        <v>2.1056202056045414E-2</v>
      </c>
      <c r="I35" s="5">
        <f>prices!I36/prices!I35-1</f>
        <v>1.450466221285418E-2</v>
      </c>
      <c r="J35" s="5">
        <f>prices!J36/prices!J35-1</f>
        <v>1.2362851094126492E-2</v>
      </c>
      <c r="K35" s="8">
        <f>SUMPRODUCT(B35:I35,weights!$B$5:$I$5)</f>
        <v>1.2465980236512558E-2</v>
      </c>
      <c r="L35" s="4">
        <f t="shared" si="0"/>
        <v>98.526191387568147</v>
      </c>
      <c r="M35" s="4">
        <f>L35/MAX(L$2:L35)-1</f>
        <v>-3.5961264376122348E-2</v>
      </c>
      <c r="N35" s="4">
        <f t="shared" si="1"/>
        <v>-1.1243635631922655E-2</v>
      </c>
    </row>
    <row r="36" spans="1:14">
      <c r="A36" s="3">
        <f>prices!A37</f>
        <v>43517</v>
      </c>
      <c r="B36" s="5">
        <f>prices!B37/prices!B36-1</f>
        <v>1.0157951571279522E-2</v>
      </c>
      <c r="C36" s="5">
        <f>prices!C37/prices!C36-1</f>
        <v>-2.874315753165213E-4</v>
      </c>
      <c r="D36" s="5">
        <f>prices!D37/prices!D36-1</f>
        <v>3.5934291581107836E-3</v>
      </c>
      <c r="E36" s="5">
        <f>prices!E37/prices!E36-1</f>
        <v>-9.7748326904690819E-3</v>
      </c>
      <c r="F36" s="5">
        <f>prices!F37/prices!F36-1</f>
        <v>-2.8684677166997963E-3</v>
      </c>
      <c r="G36" s="5">
        <f>prices!G37/prices!G36-1</f>
        <v>-7.0592568341789619E-3</v>
      </c>
      <c r="H36" s="5">
        <f>prices!H37/prices!H36-1</f>
        <v>1.7402192522934623E-2</v>
      </c>
      <c r="I36" s="5">
        <f>prices!I37/prices!I36-1</f>
        <v>5.9161178997779729E-3</v>
      </c>
      <c r="J36" s="5">
        <f>prices!J37/prices!J36-1</f>
        <v>5.0673236799574362E-3</v>
      </c>
      <c r="K36" s="8">
        <f>SUMPRODUCT(B36:I36,weights!$B$5:$I$5)</f>
        <v>2.8845664031099689E-3</v>
      </c>
      <c r="L36" s="4">
        <f t="shared" si="0"/>
        <v>98.810396729071115</v>
      </c>
      <c r="M36" s="4">
        <f>L36/MAX(L$2:L36)-1</f>
        <v>-3.3180430628044988E-2</v>
      </c>
      <c r="N36" s="4">
        <f t="shared" si="1"/>
        <v>-3.8105737688483021E-3</v>
      </c>
    </row>
    <row r="37" spans="1:14">
      <c r="A37" s="3">
        <f>prices!A38</f>
        <v>43518</v>
      </c>
      <c r="B37" s="5">
        <f>prices!B38/prices!B37-1</f>
        <v>-1.1668357733004675E-2</v>
      </c>
      <c r="C37" s="5">
        <f>prices!C38/prices!C37-1</f>
        <v>5.9802956923979966E-3</v>
      </c>
      <c r="D37" s="5">
        <f>prices!D38/prices!D37-1</f>
        <v>-1.1560102301790276E-2</v>
      </c>
      <c r="E37" s="5">
        <f>prices!E38/prices!E37-1</f>
        <v>2.030862450685067E-3</v>
      </c>
      <c r="F37" s="5">
        <f>prices!F38/prices!F37-1</f>
        <v>-2.7721115121084328E-3</v>
      </c>
      <c r="G37" s="5">
        <f>prices!G38/prices!G37-1</f>
        <v>1.6298618849775792E-2</v>
      </c>
      <c r="H37" s="5">
        <f>prices!H38/prices!H37-1</f>
        <v>1.858642688501444E-3</v>
      </c>
      <c r="I37" s="5">
        <f>prices!I38/prices!I37-1</f>
        <v>-2.9231577104847917E-3</v>
      </c>
      <c r="J37" s="5">
        <f>prices!J38/prices!J37-1</f>
        <v>1.6682344981622244E-4</v>
      </c>
      <c r="K37" s="8">
        <f>SUMPRODUCT(B37:I37,weights!$B$5:$I$5)</f>
        <v>9.9321657029370364E-4</v>
      </c>
      <c r="L37" s="4">
        <f t="shared" si="0"/>
        <v>98.908536852419729</v>
      </c>
      <c r="M37" s="4">
        <f>L37/MAX(L$2:L37)-1</f>
        <v>-3.2220169411260491E-2</v>
      </c>
      <c r="N37" s="4">
        <f t="shared" si="1"/>
        <v>-3.2533557222139686E-3</v>
      </c>
    </row>
    <row r="38" spans="1:14">
      <c r="A38" s="3">
        <f>prices!A39</f>
        <v>43521</v>
      </c>
      <c r="B38" s="5">
        <f>prices!B39/prices!B38-1</f>
        <v>-3.6664955635368202E-5</v>
      </c>
      <c r="C38" s="5">
        <f>prices!C39/prices!C38-1</f>
        <v>3.0898697999364844E-2</v>
      </c>
      <c r="D38" s="5">
        <f>prices!D39/prices!D38-1</f>
        <v>1.6228524115089904E-2</v>
      </c>
      <c r="E38" s="5">
        <f>prices!E39/prices!E38-1</f>
        <v>2.7145111720242365E-2</v>
      </c>
      <c r="F38" s="5">
        <f>prices!F39/prices!F38-1</f>
        <v>8.7590475191441364E-3</v>
      </c>
      <c r="G38" s="5">
        <f>prices!G39/prices!G38-1</f>
        <v>1.8077372401670289E-3</v>
      </c>
      <c r="H38" s="5">
        <f>prices!H39/prices!H38-1</f>
        <v>1.3011432009626844E-2</v>
      </c>
      <c r="I38" s="5">
        <f>prices!I39/prices!I38-1</f>
        <v>-3.5198286607095453E-3</v>
      </c>
      <c r="J38" s="5">
        <f>prices!J39/prices!J38-1</f>
        <v>8.1961516542883306E-3</v>
      </c>
      <c r="K38" s="8">
        <f>SUMPRODUCT(B38:I38,weights!$B$5:$I$5)</f>
        <v>8.5681291653314853E-3</v>
      </c>
      <c r="L38" s="4">
        <f t="shared" si="0"/>
        <v>99.755997971725208</v>
      </c>
      <c r="M38" s="4">
        <f>L38/MAX(L$2:L38)-1</f>
        <v>-2.3928106819173567E-2</v>
      </c>
      <c r="N38" s="4">
        <f t="shared" si="1"/>
        <v>2.1485272571234448E-2</v>
      </c>
    </row>
    <row r="39" spans="1:14">
      <c r="A39" s="3">
        <f>prices!A40</f>
        <v>43522</v>
      </c>
      <c r="B39" s="5">
        <f>prices!B40/prices!B39-1</f>
        <v>-9.7715689509771941E-3</v>
      </c>
      <c r="C39" s="5">
        <f>prices!C40/prices!C39-1</f>
        <v>2.6972245325447508E-2</v>
      </c>
      <c r="D39" s="5">
        <f>prices!D40/prices!D39-1</f>
        <v>-6.9254898765632733E-3</v>
      </c>
      <c r="E39" s="5">
        <f>prices!E40/prices!E39-1</f>
        <v>-1.6416244804217994E-2</v>
      </c>
      <c r="F39" s="5">
        <f>prices!F40/prices!F39-1</f>
        <v>-4.3154994020694337E-3</v>
      </c>
      <c r="G39" s="5">
        <f>prices!G40/prices!G39-1</f>
        <v>-2.9737253461042945E-3</v>
      </c>
      <c r="H39" s="5">
        <f>prices!H40/prices!H39-1</f>
        <v>-8.1669017744445682E-4</v>
      </c>
      <c r="I39" s="5">
        <f>prices!I40/prices!I39-1</f>
        <v>-7.8308742567717582E-3</v>
      </c>
      <c r="J39" s="5">
        <f>prices!J40/prices!J39-1</f>
        <v>-4.1176092131507414E-3</v>
      </c>
      <c r="K39" s="8">
        <f>SUMPRODUCT(B39:I39,weights!$B$5:$I$5)</f>
        <v>-3.3871134022649321E-3</v>
      </c>
      <c r="L39" s="4">
        <f t="shared" si="0"/>
        <v>99.418113094038858</v>
      </c>
      <c r="M39" s="4">
        <f>L39/MAX(L$2:L39)-1</f>
        <v>-2.7234173010140528E-2</v>
      </c>
      <c r="N39" s="4">
        <f t="shared" si="1"/>
        <v>2.1833521444125426E-2</v>
      </c>
    </row>
    <row r="40" spans="1:14">
      <c r="A40" s="3">
        <f>prices!A41</f>
        <v>43523</v>
      </c>
      <c r="B40" s="5">
        <f>prices!B41/prices!B40-1</f>
        <v>2.6660248458705293E-3</v>
      </c>
      <c r="C40" s="5">
        <f>prices!C41/prices!C40-1</f>
        <v>9.5204957616696895E-3</v>
      </c>
      <c r="D40" s="5">
        <f>prices!D41/prices!D40-1</f>
        <v>-8.717233457767537E-3</v>
      </c>
      <c r="E40" s="5">
        <f>prices!E41/prices!E40-1</f>
        <v>-9.7674877495312895E-3</v>
      </c>
      <c r="F40" s="5">
        <f>prices!F41/prices!F40-1</f>
        <v>-1.4621409921671269E-3</v>
      </c>
      <c r="G40" s="5">
        <f>prices!G41/prices!G40-1</f>
        <v>9.2975755096176282E-3</v>
      </c>
      <c r="H40" s="5">
        <f>prices!H41/prices!H40-1</f>
        <v>1.5950859464011424E-2</v>
      </c>
      <c r="I40" s="5">
        <f>prices!I41/prices!I40-1</f>
        <v>1.4888667921446164E-2</v>
      </c>
      <c r="J40" s="5">
        <f>prices!J41/prices!J40-1</f>
        <v>-2.6441353723477556E-3</v>
      </c>
      <c r="K40" s="8">
        <f>SUMPRODUCT(B40:I40,weights!$B$5:$I$5)</f>
        <v>6.7228839976397094E-3</v>
      </c>
      <c r="L40" s="4">
        <f t="shared" si="0"/>
        <v>100.0864895356343</v>
      </c>
      <c r="M40" s="4">
        <f>L40/MAX(L$2:L40)-1</f>
        <v>-2.0694381198419709E-2</v>
      </c>
      <c r="N40" s="4">
        <f t="shared" si="1"/>
        <v>2.824288060476321E-2</v>
      </c>
    </row>
    <row r="41" spans="1:14">
      <c r="A41" s="3">
        <f>prices!A42</f>
        <v>43524</v>
      </c>
      <c r="B41" s="5">
        <f>prices!B42/prices!B41-1</f>
        <v>6.1672544638733395E-3</v>
      </c>
      <c r="C41" s="5">
        <f>prices!C42/prices!C41-1</f>
        <v>-3.6272878535773656E-2</v>
      </c>
      <c r="D41" s="5">
        <f>prices!D42/prices!D41-1</f>
        <v>-7.0351134929339532E-3</v>
      </c>
      <c r="E41" s="5">
        <f>prices!E42/prices!E41-1</f>
        <v>-1.2952507472602237E-3</v>
      </c>
      <c r="F41" s="5">
        <f>prices!F42/prices!F41-1</f>
        <v>3.4515218073423171E-3</v>
      </c>
      <c r="G41" s="5">
        <f>prices!G42/prices!G41-1</f>
        <v>-1.9918432518071016E-2</v>
      </c>
      <c r="H41" s="5">
        <f>prices!H42/prices!H41-1</f>
        <v>5.5341557365058414E-3</v>
      </c>
      <c r="I41" s="5">
        <f>prices!I42/prices!I41-1</f>
        <v>6.420966994129973E-3</v>
      </c>
      <c r="J41" s="5">
        <f>prices!J42/prices!J41-1</f>
        <v>-1.3093789472222728E-3</v>
      </c>
      <c r="K41" s="8">
        <f>SUMPRODUCT(B41:I41,weights!$B$5:$I$5)</f>
        <v>-4.5155663825792256E-3</v>
      </c>
      <c r="L41" s="4">
        <f t="shared" si="0"/>
        <v>99.634542348136819</v>
      </c>
      <c r="M41" s="4">
        <f>L41/MAX(L$2:L41)-1</f>
        <v>-2.5116500728951108E-2</v>
      </c>
      <c r="N41" s="4">
        <f t="shared" si="1"/>
        <v>2.5654635404464443E-2</v>
      </c>
    </row>
    <row r="42" spans="1:14">
      <c r="A42" s="3">
        <f>prices!A43</f>
        <v>43525</v>
      </c>
      <c r="B42" s="5">
        <f>prices!B43/prices!B42-1</f>
        <v>-4.0557156227633007E-3</v>
      </c>
      <c r="C42" s="5">
        <f>prices!C43/prices!C42-1</f>
        <v>6.024319258089994E-3</v>
      </c>
      <c r="D42" s="5">
        <f>prices!D43/prices!D42-1</f>
        <v>2.7923065702557537E-3</v>
      </c>
      <c r="E42" s="5">
        <f>prices!E43/prices!E42-1</f>
        <v>1.0358817465332182E-2</v>
      </c>
      <c r="F42" s="5">
        <f>prices!F43/prices!F42-1</f>
        <v>7.7652699603920627E-3</v>
      </c>
      <c r="G42" s="5">
        <f>prices!G43/prices!G42-1</f>
        <v>1.5440547341434963E-2</v>
      </c>
      <c r="H42" s="5">
        <f>prices!H43/prices!H42-1</f>
        <v>4.9460540671597553E-3</v>
      </c>
      <c r="I42" s="5">
        <f>prices!I43/prices!I42-1</f>
        <v>1.2064634453744949E-2</v>
      </c>
      <c r="J42" s="5">
        <f>prices!J43/prices!J42-1</f>
        <v>6.5786425758629363E-3</v>
      </c>
      <c r="K42" s="8">
        <f>SUMPRODUCT(B42:I42,weights!$B$5:$I$5)</f>
        <v>7.8715099355306153E-3</v>
      </c>
      <c r="L42" s="4">
        <f t="shared" si="0"/>
        <v>100.41881663815222</v>
      </c>
      <c r="M42" s="4">
        <f>L42/MAX(L$2:L42)-1</f>
        <v>-1.7442695578454126E-2</v>
      </c>
      <c r="N42" s="4">
        <f t="shared" si="1"/>
        <v>1.5517696767529454E-2</v>
      </c>
    </row>
    <row r="43" spans="1:14">
      <c r="A43" s="3">
        <f>prices!A44</f>
        <v>43529</v>
      </c>
      <c r="B43" s="5">
        <f>prices!B44/prices!B43-1</f>
        <v>9.4527363184080393E-3</v>
      </c>
      <c r="C43" s="5">
        <f>prices!C44/prices!C43-1</f>
        <v>-3.6591420323255353E-3</v>
      </c>
      <c r="D43" s="5">
        <f>prices!D44/prices!D43-1</f>
        <v>1.14082663175612E-2</v>
      </c>
      <c r="E43" s="5">
        <f>prices!E44/prices!E43-1</f>
        <v>-1.2671768287665475E-2</v>
      </c>
      <c r="F43" s="5">
        <f>prices!F44/prices!F43-1</f>
        <v>1.5669442002378853E-2</v>
      </c>
      <c r="G43" s="5">
        <f>prices!G44/prices!G43-1</f>
        <v>2.6329085586628942E-2</v>
      </c>
      <c r="H43" s="5">
        <f>prices!H44/prices!H43-1</f>
        <v>1.9107819247750291E-2</v>
      </c>
      <c r="I43" s="5">
        <f>prices!I44/prices!I43-1</f>
        <v>-2.1041782969036804E-3</v>
      </c>
      <c r="J43" s="5">
        <f>prices!J44/prices!J43-1</f>
        <v>1.1409766649790543E-2</v>
      </c>
      <c r="K43" s="8">
        <f>SUMPRODUCT(B43:I43,weights!$B$5:$I$5)</f>
        <v>9.5516755606437406E-3</v>
      </c>
      <c r="L43" s="4">
        <f t="shared" si="0"/>
        <v>101.37798459486362</v>
      </c>
      <c r="M43" s="4">
        <f>L43/MAX(L$2:L43)-1</f>
        <v>-8.0576269868789518E-3</v>
      </c>
      <c r="N43" s="4">
        <f t="shared" si="1"/>
        <v>9.2605713040176951E-3</v>
      </c>
    </row>
    <row r="44" spans="1:14">
      <c r="A44" s="3">
        <f>prices!A45</f>
        <v>43530</v>
      </c>
      <c r="B44" s="5">
        <f>prices!B45/prices!B44-1</f>
        <v>2.194111311903324E-2</v>
      </c>
      <c r="C44" s="5">
        <f>prices!C45/prices!C44-1</f>
        <v>5.7826226039026096E-3</v>
      </c>
      <c r="D44" s="5">
        <f>prices!D45/prices!D44-1</f>
        <v>-1.356015779092723E-3</v>
      </c>
      <c r="E44" s="5">
        <f>prices!E45/prices!E44-1</f>
        <v>0</v>
      </c>
      <c r="F44" s="5">
        <f>prices!F45/prices!F44-1</f>
        <v>1.1303462321792246E-2</v>
      </c>
      <c r="G44" s="5">
        <f>prices!G45/prices!G44-1</f>
        <v>-8.5491965057961083E-3</v>
      </c>
      <c r="H44" s="5">
        <f>prices!H45/prices!H44-1</f>
        <v>1.0203356928103036E-2</v>
      </c>
      <c r="I44" s="5">
        <f>prices!I45/prices!I44-1</f>
        <v>8.5807728720197485E-3</v>
      </c>
      <c r="J44" s="5">
        <f>prices!J45/prices!J44-1</f>
        <v>5.9658974557335043E-3</v>
      </c>
      <c r="K44" s="8">
        <f>SUMPRODUCT(B44:I44,weights!$B$5:$I$5)</f>
        <v>5.7122905214972387E-3</v>
      </c>
      <c r="L44" s="4">
        <f t="shared" si="0"/>
        <v>101.95708509535335</v>
      </c>
      <c r="M44" s="4">
        <f>L44/MAX(L$2:L44)-1</f>
        <v>-2.3913639716446333E-3</v>
      </c>
      <c r="N44" s="4">
        <f t="shared" si="1"/>
        <v>1.5564168287975466E-2</v>
      </c>
    </row>
    <row r="45" spans="1:14">
      <c r="A45" s="3">
        <f>prices!A46</f>
        <v>43531</v>
      </c>
      <c r="B45" s="5">
        <f>prices!B46/prices!B45-1</f>
        <v>4.3047244797713713E-3</v>
      </c>
      <c r="C45" s="5">
        <f>prices!C46/prices!C45-1</f>
        <v>6.8564368547243681E-3</v>
      </c>
      <c r="D45" s="5">
        <f>prices!D46/prices!D45-1</f>
        <v>1.0574826153149752E-2</v>
      </c>
      <c r="E45" s="5">
        <f>prices!E46/prices!E45-1</f>
        <v>-1.3034419534961317E-2</v>
      </c>
      <c r="F45" s="5">
        <f>prices!F46/prices!F45-1</f>
        <v>1.5255261302990597E-2</v>
      </c>
      <c r="G45" s="5">
        <f>prices!G46/prices!G45-1</f>
        <v>-3.946313031388704E-3</v>
      </c>
      <c r="H45" s="5">
        <f>prices!H46/prices!H45-1</f>
        <v>-2.0950506186726781E-2</v>
      </c>
      <c r="I45" s="5">
        <f>prices!I46/prices!I45-1</f>
        <v>2.6880114688489387E-2</v>
      </c>
      <c r="J45" s="5">
        <f>prices!J46/prices!J45-1</f>
        <v>4.7046050845933607E-4</v>
      </c>
      <c r="K45" s="8">
        <f>SUMPRODUCT(B45:I45,weights!$B$5:$I$5)</f>
        <v>3.474923099217697E-3</v>
      </c>
      <c r="L45" s="4">
        <f t="shared" si="0"/>
        <v>102.3113781254801</v>
      </c>
      <c r="M45" s="4">
        <f>L45/MAX(L$2:L45)-1</f>
        <v>0</v>
      </c>
      <c r="N45" s="4">
        <f t="shared" si="1"/>
        <v>1.9231841979532538E-2</v>
      </c>
    </row>
    <row r="46" spans="1:14">
      <c r="A46" s="3">
        <f>prices!A47</f>
        <v>43532</v>
      </c>
      <c r="B46" s="5">
        <f>prices!B47/prices!B46-1</f>
        <v>-2.4721659018959175E-3</v>
      </c>
      <c r="C46" s="5">
        <f>prices!C47/prices!C46-1</f>
        <v>4.6653747790323941E-3</v>
      </c>
      <c r="D46" s="5">
        <f>prices!D47/prices!D46-1</f>
        <v>7.9397394136804245E-4</v>
      </c>
      <c r="E46" s="5">
        <f>prices!E47/prices!E46-1</f>
        <v>-1.4675831320824728E-2</v>
      </c>
      <c r="F46" s="5">
        <f>prices!F47/prices!F46-1</f>
        <v>6.5459955368212253E-3</v>
      </c>
      <c r="G46" s="5">
        <f>prices!G47/prices!G46-1</f>
        <v>-8.727636390409188E-3</v>
      </c>
      <c r="H46" s="5">
        <f>prices!H47/prices!H46-1</f>
        <v>8.9760160850207438E-3</v>
      </c>
      <c r="I46" s="5">
        <f>prices!I47/prices!I46-1</f>
        <v>-9.6146654811071208E-3</v>
      </c>
      <c r="J46" s="5">
        <f>prices!J47/prices!J46-1</f>
        <v>-2.0618183791214495E-3</v>
      </c>
      <c r="K46" s="8">
        <f>SUMPRODUCT(B46:I46,weights!$B$5:$I$5)</f>
        <v>-2.779342302841061E-3</v>
      </c>
      <c r="L46" s="4">
        <f t="shared" si="0"/>
        <v>102.027019784194</v>
      </c>
      <c r="M46" s="4">
        <f>L46/MAX(L$2:L46)-1</f>
        <v>-2.779342302841048E-3</v>
      </c>
      <c r="N46" s="4">
        <f t="shared" si="1"/>
        <v>4.4616467697675688E-3</v>
      </c>
    </row>
    <row r="47" spans="1:14">
      <c r="A47" s="3">
        <f>prices!A48</f>
        <v>43535</v>
      </c>
      <c r="B47" s="5">
        <f>prices!B48/prices!B47-1</f>
        <v>2.9186799080000769E-2</v>
      </c>
      <c r="C47" s="5">
        <f>prices!C48/prices!C47-1</f>
        <v>-3.9060374278198084E-3</v>
      </c>
      <c r="D47" s="5">
        <f>prices!D48/prices!D47-1</f>
        <v>1.220529302874418E-4</v>
      </c>
      <c r="E47" s="5">
        <f>prices!E48/prices!E47-1</f>
        <v>-1.5425750719869624E-3</v>
      </c>
      <c r="F47" s="5">
        <f>prices!F48/prices!F47-1</f>
        <v>3.2517120756760942E-3</v>
      </c>
      <c r="G47" s="5">
        <f>prices!G48/prices!G47-1</f>
        <v>1.6389637639223631E-2</v>
      </c>
      <c r="H47" s="5">
        <f>prices!H48/prices!H47-1</f>
        <v>9.8925343391929044E-3</v>
      </c>
      <c r="I47" s="5">
        <f>prices!I48/prices!I47-1</f>
        <v>5.3364658499748252E-3</v>
      </c>
      <c r="J47" s="5">
        <f>prices!J48/prices!J47-1</f>
        <v>1.2020407053663584E-2</v>
      </c>
      <c r="K47" s="8">
        <f>SUMPRODUCT(B47:I47,weights!$B$5:$I$5)</f>
        <v>9.251575000383051E-3</v>
      </c>
      <c r="L47" s="4">
        <f t="shared" si="0"/>
        <v>102.97093040979303</v>
      </c>
      <c r="M47" s="4">
        <f>L47/MAX(L$2:L47)-1</f>
        <v>0</v>
      </c>
      <c r="N47" s="4">
        <f t="shared" si="1"/>
        <v>7.528700341060901E-3</v>
      </c>
    </row>
    <row r="48" spans="1:14">
      <c r="A48" s="3">
        <f>prices!A49</f>
        <v>43536</v>
      </c>
      <c r="B48" s="5">
        <f>prices!B49/prices!B48-1</f>
        <v>2.0909846857459558E-2</v>
      </c>
      <c r="C48" s="5">
        <f>prices!C49/prices!C48-1</f>
        <v>-1.1654799409975825E-3</v>
      </c>
      <c r="D48" s="5">
        <f>prices!D49/prices!D48-1</f>
        <v>1.9993898098240592E-2</v>
      </c>
      <c r="E48" s="5">
        <f>prices!E49/prices!E48-1</f>
        <v>-6.0425035190716514E-3</v>
      </c>
      <c r="F48" s="5">
        <f>prices!F49/prices!F48-1</f>
        <v>5.2546284928547404E-3</v>
      </c>
      <c r="G48" s="5">
        <f>prices!G49/prices!G48-1</f>
        <v>1.0632499764026804E-2</v>
      </c>
      <c r="H48" s="5">
        <f>prices!H49/prices!H48-1</f>
        <v>2.3608174770965551E-2</v>
      </c>
      <c r="I48" s="5">
        <f>prices!I49/prices!I48-1</f>
        <v>3.1456566735661218E-2</v>
      </c>
      <c r="J48" s="5">
        <f>prices!J49/prices!J48-1</f>
        <v>1.1922403642534052E-2</v>
      </c>
      <c r="K48" s="8">
        <f>SUMPRODUCT(B48:I48,weights!$B$5:$I$5)</f>
        <v>1.579724419689138E-2</v>
      </c>
      <c r="L48" s="4">
        <f t="shared" si="0"/>
        <v>104.59758734265765</v>
      </c>
      <c r="M48" s="4">
        <f>L48/MAX(L$2:L48)-1</f>
        <v>0</v>
      </c>
      <c r="N48" s="4">
        <f t="shared" si="1"/>
        <v>3.8785083231600348E-2</v>
      </c>
    </row>
    <row r="49" spans="1:14">
      <c r="A49" s="3">
        <f>prices!A50</f>
        <v>43537</v>
      </c>
      <c r="B49" s="5">
        <f>prices!B50/prices!B49-1</f>
        <v>1.1980112334764481E-2</v>
      </c>
      <c r="C49" s="5">
        <f>prices!C50/prices!C49-1</f>
        <v>-5.9375132940739928E-3</v>
      </c>
      <c r="D49" s="5">
        <f>prices!D50/prices!D49-1</f>
        <v>2.5584270559144695E-2</v>
      </c>
      <c r="E49" s="5">
        <f>prices!E50/prices!E49-1</f>
        <v>2.1242789540949492E-3</v>
      </c>
      <c r="F49" s="5">
        <f>prices!F50/prices!F49-1</f>
        <v>1.3678553981435471E-3</v>
      </c>
      <c r="G49" s="5">
        <f>prices!G50/prices!G49-1</f>
        <v>-9.2417125865046357E-3</v>
      </c>
      <c r="H49" s="5">
        <f>prices!H50/prices!H49-1</f>
        <v>-2.9328743545610991E-2</v>
      </c>
      <c r="I49" s="5">
        <f>prices!I50/prices!I49-1</f>
        <v>-7.4199943358820297E-3</v>
      </c>
      <c r="J49" s="5">
        <f>prices!J50/prices!J49-1</f>
        <v>3.5836902275865334E-3</v>
      </c>
      <c r="K49" s="8">
        <f>SUMPRODUCT(B49:I49,weights!$B$5:$I$5)</f>
        <v>-4.4814182069200367E-3</v>
      </c>
      <c r="L49" s="4">
        <f t="shared" si="0"/>
        <v>104.12884181034035</v>
      </c>
      <c r="M49" s="4">
        <f>L49/MAX(L$2:L49)-1</f>
        <v>-4.4814182069200514E-3</v>
      </c>
      <c r="N49" s="4">
        <f t="shared" si="1"/>
        <v>3.7262717653246291E-2</v>
      </c>
    </row>
    <row r="50" spans="1:14">
      <c r="A50" s="3">
        <f>prices!A51</f>
        <v>43538</v>
      </c>
      <c r="B50" s="5">
        <f>prices!B51/prices!B50-1</f>
        <v>-4.2758690074953254E-3</v>
      </c>
      <c r="C50" s="5">
        <f>prices!C51/prices!C50-1</f>
        <v>-6.547655438038813E-3</v>
      </c>
      <c r="D50" s="5">
        <f>prices!D51/prices!D50-1</f>
        <v>-8.1662810367277849E-4</v>
      </c>
      <c r="E50" s="5">
        <f>prices!E51/prices!E50-1</f>
        <v>-1.378716070660202E-4</v>
      </c>
      <c r="F50" s="5">
        <f>prices!F51/prices!F50-1</f>
        <v>2.0489803883305679E-3</v>
      </c>
      <c r="G50" s="5">
        <f>prices!G51/prices!G50-1</f>
        <v>-6.70515415012507E-4</v>
      </c>
      <c r="H50" s="5">
        <f>prices!H51/prices!H50-1</f>
        <v>2.1136250797928913E-2</v>
      </c>
      <c r="I50" s="5">
        <f>prices!I51/prices!I50-1</f>
        <v>8.3966478625230323E-4</v>
      </c>
      <c r="J50" s="5">
        <f>prices!J51/prices!J50-1</f>
        <v>1.3666381582999598E-4</v>
      </c>
      <c r="K50" s="8">
        <f>SUMPRODUCT(B50:I50,weights!$B$5:$I$5)</f>
        <v>2.2029335341226365E-3</v>
      </c>
      <c r="L50" s="4">
        <f t="shared" si="0"/>
        <v>104.3582307278337</v>
      </c>
      <c r="M50" s="4">
        <f>L50/MAX(L$2:L50)-1</f>
        <v>-2.2883569392458947E-3</v>
      </c>
      <c r="N50" s="4">
        <f t="shared" si="1"/>
        <v>3.9627602039719712E-2</v>
      </c>
    </row>
    <row r="51" spans="1:14">
      <c r="A51" s="3">
        <f>prices!A52</f>
        <v>43539</v>
      </c>
      <c r="B51" s="5">
        <f>prices!B52/prices!B51-1</f>
        <v>-1.4836145633357001E-2</v>
      </c>
      <c r="C51" s="5">
        <f>prices!C52/prices!C51-1</f>
        <v>2.6443239650705497E-2</v>
      </c>
      <c r="D51" s="5">
        <f>prices!D52/prices!D51-1</f>
        <v>1.2706999552433373E-2</v>
      </c>
      <c r="E51" s="5">
        <f>prices!E52/prices!E51-1</f>
        <v>1.4392333281624481E-2</v>
      </c>
      <c r="F51" s="5">
        <f>prices!F52/prices!F51-1</f>
        <v>-1.5920155793573532E-2</v>
      </c>
      <c r="G51" s="5">
        <f>prices!G52/prices!G51-1</f>
        <v>-3.240716791781395E-4</v>
      </c>
      <c r="H51" s="5">
        <f>prices!H52/prices!H51-1</f>
        <v>-3.8665462712139664E-3</v>
      </c>
      <c r="I51" s="5">
        <f>prices!I52/prices!I51-1</f>
        <v>1.2136416580462717E-2</v>
      </c>
      <c r="J51" s="5">
        <f>prices!J52/prices!J51-1</f>
        <v>7.3700218191434796E-3</v>
      </c>
      <c r="K51" s="8">
        <f>SUMPRODUCT(B51:I51,weights!$B$5:$I$5)</f>
        <v>3.0109773017979583E-3</v>
      </c>
      <c r="L51" s="4">
        <f t="shared" si="0"/>
        <v>104.67245099181099</v>
      </c>
      <c r="M51" s="4">
        <f>L51/MAX(L$2:L51)-1</f>
        <v>0</v>
      </c>
      <c r="N51" s="4">
        <f t="shared" si="1"/>
        <v>5.3417734747878143E-2</v>
      </c>
    </row>
    <row r="52" spans="1:14">
      <c r="A52" s="3">
        <f>prices!A53</f>
        <v>43542</v>
      </c>
      <c r="B52" s="5">
        <f>prices!B53/prices!B52-1</f>
        <v>2.1486812191244598E-2</v>
      </c>
      <c r="C52" s="5">
        <f>prices!C53/prices!C52-1</f>
        <v>-8.4114726971870057E-3</v>
      </c>
      <c r="D52" s="5">
        <f>prices!D53/prices!D52-1</f>
        <v>3.7469735982476049E-3</v>
      </c>
      <c r="E52" s="5">
        <f>prices!E53/prices!E52-1</f>
        <v>-1.1622374770611121E-2</v>
      </c>
      <c r="F52" s="5">
        <f>prices!F53/prices!F52-1</f>
        <v>9.4493642705189007E-3</v>
      </c>
      <c r="G52" s="5">
        <f>prices!G53/prices!G52-1</f>
        <v>-2.6821439496901966E-2</v>
      </c>
      <c r="H52" s="5">
        <f>prices!H53/prices!H52-1</f>
        <v>1.1853849014502593E-3</v>
      </c>
      <c r="I52" s="5">
        <f>prices!I53/prices!I52-1</f>
        <v>-1.2602506015563897E-2</v>
      </c>
      <c r="J52" s="5">
        <f>prices!J53/prices!J52-1</f>
        <v>3.0935909721401256E-3</v>
      </c>
      <c r="K52" s="8">
        <f>SUMPRODUCT(B52:I52,weights!$B$5:$I$5)</f>
        <v>-5.4371828985060443E-3</v>
      </c>
      <c r="L52" s="4">
        <f t="shared" si="0"/>
        <v>104.10332773133361</v>
      </c>
      <c r="M52" s="4">
        <f>L52/MAX(L$2:L52)-1</f>
        <v>-5.4371828985060322E-3</v>
      </c>
      <c r="N52" s="4">
        <f t="shared" si="1"/>
        <v>5.1982491614517512E-2</v>
      </c>
    </row>
    <row r="53" spans="1:14">
      <c r="A53" s="3">
        <f>prices!A54</f>
        <v>43543</v>
      </c>
      <c r="B53" s="5">
        <f>prices!B54/prices!B53-1</f>
        <v>1.9629170989658107E-2</v>
      </c>
      <c r="C53" s="5">
        <f>prices!C54/prices!C53-1</f>
        <v>0</v>
      </c>
      <c r="D53" s="5">
        <f>prices!D54/prices!D53-1</f>
        <v>2.7758102494401804E-3</v>
      </c>
      <c r="E53" s="5">
        <f>prices!E54/prices!E53-1</f>
        <v>1.6968092421950187E-2</v>
      </c>
      <c r="F53" s="5">
        <f>prices!F54/prices!F53-1</f>
        <v>2.0143109194275644E-2</v>
      </c>
      <c r="G53" s="5">
        <f>prices!G54/prices!G53-1</f>
        <v>-9.9792626511903126E-3</v>
      </c>
      <c r="H53" s="5">
        <f>prices!H54/prices!H53-1</f>
        <v>8.7057457922228298E-3</v>
      </c>
      <c r="I53" s="5">
        <f>prices!I54/prices!I53-1</f>
        <v>-1.5192143119116541E-2</v>
      </c>
      <c r="J53" s="5">
        <f>prices!J54/prices!J53-1</f>
        <v>6.1244787213623475E-3</v>
      </c>
      <c r="K53" s="8">
        <f>SUMPRODUCT(B53:I53,weights!$B$5:$I$5)</f>
        <v>2.2080229630703813E-3</v>
      </c>
      <c r="L53" s="4">
        <f t="shared" si="0"/>
        <v>104.33319026949643</v>
      </c>
      <c r="M53" s="4">
        <f>L53/MAX(L$2:L53)-1</f>
        <v>-3.2411653601299717E-3</v>
      </c>
      <c r="N53" s="4">
        <f t="shared" si="1"/>
        <v>6.7469165881920201E-2</v>
      </c>
    </row>
    <row r="54" spans="1:14">
      <c r="A54" s="3">
        <f>prices!A55</f>
        <v>43544</v>
      </c>
      <c r="B54" s="5">
        <f>prices!B55/prices!B54-1</f>
        <v>-7.8777633716808904E-4</v>
      </c>
      <c r="C54" s="5">
        <f>prices!C55/prices!C54-1</f>
        <v>-3.8272478279008926E-3</v>
      </c>
      <c r="D54" s="5">
        <f>prices!D55/prices!D54-1</f>
        <v>1.3783360696422164E-2</v>
      </c>
      <c r="E54" s="5">
        <f>prices!E55/prices!E54-1</f>
        <v>2.3125686755134822E-2</v>
      </c>
      <c r="F54" s="5">
        <f>prices!F55/prices!F54-1</f>
        <v>-1.8736488109537541E-3</v>
      </c>
      <c r="G54" s="5">
        <f>prices!G55/prices!G54-1</f>
        <v>-2.2219589444668175E-2</v>
      </c>
      <c r="H54" s="5">
        <f>prices!H55/prices!H54-1</f>
        <v>1.2382048331415429E-2</v>
      </c>
      <c r="I54" s="5">
        <f>prices!I55/prices!I54-1</f>
        <v>9.5339772078357754E-3</v>
      </c>
      <c r="J54" s="5">
        <f>prices!J55/prices!J54-1</f>
        <v>-9.8418369116581861E-4</v>
      </c>
      <c r="K54" s="8">
        <f>SUMPRODUCT(B54:I54,weights!$B$5:$I$5)</f>
        <v>1.8187360105305205E-3</v>
      </c>
      <c r="L54" s="4">
        <f t="shared" si="0"/>
        <v>104.5229447997331</v>
      </c>
      <c r="M54" s="4">
        <f>L54/MAX(L$2:L54)-1</f>
        <v>-1.4283241737560459E-3</v>
      </c>
      <c r="N54" s="4">
        <f t="shared" si="1"/>
        <v>7.4089277921906893E-2</v>
      </c>
    </row>
    <row r="55" spans="1:14">
      <c r="A55" s="3">
        <f>prices!A56</f>
        <v>43546</v>
      </c>
      <c r="B55" s="5">
        <f>prices!B56/prices!B55-1</f>
        <v>-2.4506019742785434E-2</v>
      </c>
      <c r="C55" s="5">
        <f>prices!C56/prices!C55-1</f>
        <v>-4.6673949987859897E-3</v>
      </c>
      <c r="D55" s="5">
        <f>prices!D56/prices!D55-1</f>
        <v>-9.9427538415184369E-3</v>
      </c>
      <c r="E55" s="5">
        <f>prices!E56/prices!E55-1</f>
        <v>5.6176990565570684E-3</v>
      </c>
      <c r="F55" s="5">
        <f>prices!F56/prices!F55-1</f>
        <v>-2.3103581055062827E-3</v>
      </c>
      <c r="G55" s="5">
        <f>prices!G56/prices!G55-1</f>
        <v>-1.8108853450601758E-2</v>
      </c>
      <c r="H55" s="5">
        <f>prices!H56/prices!H55-1</f>
        <v>-3.1599527143766348E-3</v>
      </c>
      <c r="I55" s="5">
        <f>prices!I56/prices!I55-1</f>
        <v>1.736307518260749E-2</v>
      </c>
      <c r="J55" s="5">
        <f>prices!J56/prices!J55-1</f>
        <v>-5.5680688826105218E-3</v>
      </c>
      <c r="K55" s="8">
        <f>SUMPRODUCT(B55:I55,weights!$B$5:$I$5)</f>
        <v>-4.5615015177459198E-3</v>
      </c>
      <c r="L55" s="4">
        <f t="shared" si="0"/>
        <v>104.04616322838984</v>
      </c>
      <c r="M55" s="4">
        <f>L55/MAX(L$2:L55)-1</f>
        <v>-5.9833103886154371E-3</v>
      </c>
      <c r="N55" s="4">
        <f t="shared" si="1"/>
        <v>5.6025425961184538E-2</v>
      </c>
    </row>
    <row r="56" spans="1:14">
      <c r="A56" s="3">
        <f>prices!A57</f>
        <v>43549</v>
      </c>
      <c r="B56" s="5">
        <f>prices!B57/prices!B56-1</f>
        <v>-1.2897577073967437E-2</v>
      </c>
      <c r="C56" s="5">
        <f>prices!C57/prices!C56-1</f>
        <v>-1.0671317328389995E-2</v>
      </c>
      <c r="D56" s="5">
        <f>prices!D57/prices!D56-1</f>
        <v>2.2633901399879974E-3</v>
      </c>
      <c r="E56" s="5">
        <f>prices!E57/prices!E56-1</f>
        <v>-1.0564710908104957E-2</v>
      </c>
      <c r="F56" s="5">
        <f>prices!F57/prices!F56-1</f>
        <v>-1.05654187572366E-2</v>
      </c>
      <c r="G56" s="5">
        <f>prices!G57/prices!G56-1</f>
        <v>-4.593843065633374E-3</v>
      </c>
      <c r="H56" s="5">
        <f>prices!H57/prices!H56-1</f>
        <v>-1.8176013135989488E-2</v>
      </c>
      <c r="I56" s="5">
        <f>prices!I57/prices!I56-1</f>
        <v>-1.2868550616030539E-2</v>
      </c>
      <c r="J56" s="5">
        <f>prices!J57/prices!J56-1</f>
        <v>-8.9596662273389027E-3</v>
      </c>
      <c r="K56" s="8">
        <f>SUMPRODUCT(B56:I56,weights!$B$5:$I$5)</f>
        <v>-1.0358538855529292E-2</v>
      </c>
      <c r="L56" s="4">
        <f t="shared" si="0"/>
        <v>102.96839700381983</v>
      </c>
      <c r="M56" s="4">
        <f>L56/MAX(L$2:L56)-1</f>
        <v>-1.6279870890999582E-2</v>
      </c>
      <c r="N56" s="4">
        <f t="shared" si="1"/>
        <v>4.2080594880613331E-2</v>
      </c>
    </row>
    <row r="57" spans="1:14">
      <c r="A57" s="3">
        <f>prices!A58</f>
        <v>43550</v>
      </c>
      <c r="B57" s="5">
        <f>prices!B58/prices!B57-1</f>
        <v>3.232409381663115E-2</v>
      </c>
      <c r="C57" s="5">
        <f>prices!C58/prices!C57-1</f>
        <v>-8.0127711244393218E-4</v>
      </c>
      <c r="D57" s="5">
        <f>prices!D58/prices!D57-1</f>
        <v>1.3170129993357982E-2</v>
      </c>
      <c r="E57" s="5">
        <f>prices!E58/prices!E57-1</f>
        <v>-1.0195948189970272E-2</v>
      </c>
      <c r="F57" s="5">
        <f>prices!F58/prices!F57-1</f>
        <v>-5.6072943585743218E-3</v>
      </c>
      <c r="G57" s="5">
        <f>prices!G58/prices!G57-1</f>
        <v>9.6747319737247039E-3</v>
      </c>
      <c r="H57" s="5">
        <f>prices!H58/prices!H57-1</f>
        <v>1.1079624639970254E-2</v>
      </c>
      <c r="I57" s="5">
        <f>prices!I58/prices!I57-1</f>
        <v>-2.8733755632468494E-3</v>
      </c>
      <c r="J57" s="5">
        <f>prices!J58/prices!J57-1</f>
        <v>1.1361384503600025E-2</v>
      </c>
      <c r="K57" s="8">
        <f>SUMPRODUCT(B57:I57,weights!$B$5:$I$5)</f>
        <v>6.6759041299945202E-3</v>
      </c>
      <c r="L57" s="4">
        <f t="shared" si="0"/>
        <v>103.65580415063654</v>
      </c>
      <c r="M57" s="4">
        <f>L57/MAX(L$2:L57)-1</f>
        <v>-9.7126496183220778E-3</v>
      </c>
      <c r="N57" s="4">
        <f t="shared" si="1"/>
        <v>4.7996537501107328E-2</v>
      </c>
    </row>
    <row r="58" spans="1:14">
      <c r="A58" s="3">
        <f>prices!A59</f>
        <v>43551</v>
      </c>
      <c r="B58" s="5">
        <f>prices!B59/prices!B58-1</f>
        <v>-1.3169200264375402E-2</v>
      </c>
      <c r="C58" s="5">
        <f>prices!C59/prices!C58-1</f>
        <v>-7.44551572687846E-3</v>
      </c>
      <c r="D58" s="5">
        <f>prices!D59/prices!D58-1</f>
        <v>-5.132143325404126E-3</v>
      </c>
      <c r="E58" s="5">
        <f>prices!E59/prices!E58-1</f>
        <v>2.6675166929504002E-3</v>
      </c>
      <c r="F58" s="5">
        <f>prices!F59/prices!F58-1</f>
        <v>-1.0297146219476749E-3</v>
      </c>
      <c r="G58" s="5">
        <f>prices!G59/prices!G58-1</f>
        <v>-1.0279438993764267E-2</v>
      </c>
      <c r="H58" s="5">
        <f>prices!H59/prices!H58-1</f>
        <v>-1.0544694341703353E-2</v>
      </c>
      <c r="I58" s="5">
        <f>prices!I59/prices!I58-1</f>
        <v>-4.6253847665205239E-3</v>
      </c>
      <c r="J58" s="5">
        <f>prices!J59/prices!J58-1</f>
        <v>-3.3265843728910172E-3</v>
      </c>
      <c r="K58" s="8">
        <f>SUMPRODUCT(B58:I58,weights!$B$5:$I$5)</f>
        <v>-7.0711753996990645E-3</v>
      </c>
      <c r="L58" s="4">
        <f t="shared" si="0"/>
        <v>102.92283577829053</v>
      </c>
      <c r="M58" s="4">
        <f>L58/MAX(L$2:L58)-1</f>
        <v>-1.671514516897421E-2</v>
      </c>
      <c r="N58" s="4">
        <f t="shared" si="1"/>
        <v>3.1745838555621742E-2</v>
      </c>
    </row>
    <row r="59" spans="1:14">
      <c r="A59" s="3">
        <f>prices!A60</f>
        <v>43552</v>
      </c>
      <c r="B59" s="5">
        <f>prices!B60/prices!B59-1</f>
        <v>7.9701287611138039E-3</v>
      </c>
      <c r="C59" s="5">
        <f>prices!C60/prices!C59-1</f>
        <v>1.6469447620941713E-2</v>
      </c>
      <c r="D59" s="5">
        <f>prices!D60/prices!D59-1</f>
        <v>1.4496846465217317E-3</v>
      </c>
      <c r="E59" s="5">
        <f>prices!E60/prices!E59-1</f>
        <v>1.1110181544382147E-2</v>
      </c>
      <c r="F59" s="5">
        <f>prices!F60/prices!F59-1</f>
        <v>2.3560594905021492E-2</v>
      </c>
      <c r="G59" s="5">
        <f>prices!G60/prices!G59-1</f>
        <v>1.2003930183011491E-2</v>
      </c>
      <c r="H59" s="5">
        <f>prices!H60/prices!H59-1</f>
        <v>2.2823310889249937E-2</v>
      </c>
      <c r="I59" s="5">
        <f>prices!I60/prices!I59-1</f>
        <v>1.4820663393290578E-2</v>
      </c>
      <c r="J59" s="5">
        <f>prices!J60/prices!J59-1</f>
        <v>1.0917383497669464E-2</v>
      </c>
      <c r="K59" s="8">
        <f>SUMPRODUCT(B59:I59,weights!$B$5:$I$5)</f>
        <v>1.4175083450665904E-2</v>
      </c>
      <c r="L59" s="4">
        <f t="shared" si="0"/>
        <v>104.38177556442699</v>
      </c>
      <c r="M59" s="4">
        <f>L59/MAX(L$2:L59)-1</f>
        <v>-2.7770002959685014E-3</v>
      </c>
      <c r="N59" s="4">
        <f t="shared" si="1"/>
        <v>4.9927144218609776E-2</v>
      </c>
    </row>
    <row r="60" spans="1:14">
      <c r="A60" s="3">
        <f>prices!A61</f>
        <v>43556</v>
      </c>
      <c r="B60" s="5">
        <f>prices!B61/prices!B60-1</f>
        <v>2.3405704413694606E-2</v>
      </c>
      <c r="C60" s="5">
        <f>prices!C61/prices!C60-1</f>
        <v>1.5670665346001922E-2</v>
      </c>
      <c r="D60" s="5">
        <f>prices!D61/prices!D60-1</f>
        <v>3.9103624605205667E-3</v>
      </c>
      <c r="E60" s="5">
        <f>prices!E61/prices!E60-1</f>
        <v>2.3449006271823336E-2</v>
      </c>
      <c r="F60" s="5">
        <f>prices!F61/prices!F60-1</f>
        <v>-9.159353570229678E-3</v>
      </c>
      <c r="G60" s="5">
        <f>prices!G61/prices!G60-1</f>
        <v>3.7060585901809162E-2</v>
      </c>
      <c r="H60" s="5">
        <f>prices!H61/prices!H60-1</f>
        <v>7.1504778335187424E-3</v>
      </c>
      <c r="I60" s="5">
        <f>prices!I61/prices!I60-1</f>
        <v>1.8388997398471441E-2</v>
      </c>
      <c r="J60" s="5">
        <f>prices!J61/prices!J60-1</f>
        <v>8.569576490924824E-3</v>
      </c>
      <c r="K60" s="8">
        <f>SUMPRODUCT(B60:I60,weights!$B$5:$I$5)</f>
        <v>1.7772164956668349E-2</v>
      </c>
      <c r="L60" s="4">
        <f t="shared" si="0"/>
        <v>106.23686569822793</v>
      </c>
      <c r="M60" s="4">
        <f>L60/MAX(L$2:L60)-1</f>
        <v>0</v>
      </c>
      <c r="N60" s="4">
        <f t="shared" si="1"/>
        <v>6.1450613275869648E-2</v>
      </c>
    </row>
    <row r="61" spans="1:14">
      <c r="A61" s="3">
        <f>prices!A62</f>
        <v>43557</v>
      </c>
      <c r="B61" s="5">
        <f>prices!B62/prices!B61-1</f>
        <v>-1.5420075314894754E-3</v>
      </c>
      <c r="C61" s="5">
        <f>prices!C62/prices!C61-1</f>
        <v>2.3453349145481805E-2</v>
      </c>
      <c r="D61" s="5">
        <f>prices!D62/prices!D61-1</f>
        <v>-7.3408239700373246E-3</v>
      </c>
      <c r="E61" s="5">
        <f>prices!E62/prices!E61-1</f>
        <v>5.6915564466577528E-3</v>
      </c>
      <c r="F61" s="5">
        <f>prices!F62/prices!F61-1</f>
        <v>2.1779111412254526E-3</v>
      </c>
      <c r="G61" s="5">
        <f>prices!G62/prices!G61-1</f>
        <v>7.1617364058611521E-3</v>
      </c>
      <c r="H61" s="5">
        <f>prices!H62/prices!H61-1</f>
        <v>-1.9112874143526914E-2</v>
      </c>
      <c r="I61" s="5">
        <f>prices!I62/prices!I61-1</f>
        <v>-1.7348676566552035E-3</v>
      </c>
      <c r="J61" s="5">
        <f>prices!J62/prices!J61-1</f>
        <v>3.7749107689935002E-3</v>
      </c>
      <c r="K61" s="8">
        <f>SUMPRODUCT(B61:I61,weights!$B$5:$I$5)</f>
        <v>1.4884123588311472E-4</v>
      </c>
      <c r="L61" s="4">
        <f t="shared" si="0"/>
        <v>106.25267812461482</v>
      </c>
      <c r="M61" s="4">
        <f>L61/MAX(L$2:L61)-1</f>
        <v>0</v>
      </c>
      <c r="N61" s="4">
        <f t="shared" si="1"/>
        <v>6.6424109756567429E-2</v>
      </c>
    </row>
    <row r="62" spans="1:14">
      <c r="A62" s="3">
        <f>prices!A63</f>
        <v>43558</v>
      </c>
      <c r="B62" s="5">
        <f>prices!B63/prices!B62-1</f>
        <v>-1.0436818233544032E-2</v>
      </c>
      <c r="C62" s="5">
        <f>prices!C63/prices!C62-1</f>
        <v>0</v>
      </c>
      <c r="D62" s="5">
        <f>prices!D63/prices!D62-1</f>
        <v>-9.0552369453666959E-4</v>
      </c>
      <c r="E62" s="5">
        <f>prices!E63/prices!E62-1</f>
        <v>-8.0388436927232299E-3</v>
      </c>
      <c r="F62" s="5">
        <f>prices!F63/prices!F62-1</f>
        <v>-5.8917274351668603E-3</v>
      </c>
      <c r="G62" s="5">
        <f>prices!G63/prices!G62-1</f>
        <v>2.6590425756658043E-2</v>
      </c>
      <c r="H62" s="5">
        <f>prices!H63/prices!H62-1</f>
        <v>-1.6406249999999956E-2</v>
      </c>
      <c r="I62" s="5">
        <f>prices!I63/prices!I62-1</f>
        <v>-2.2488839285714324E-2</v>
      </c>
      <c r="J62" s="5">
        <f>prices!J63/prices!J62-1</f>
        <v>-5.9121333196735515E-3</v>
      </c>
      <c r="K62" s="8">
        <f>SUMPRODUCT(B62:I62,weights!$B$5:$I$5)</f>
        <v>-4.3058695870577925E-3</v>
      </c>
      <c r="L62" s="4">
        <f t="shared" si="0"/>
        <v>105.7951679493346</v>
      </c>
      <c r="M62" s="4">
        <f>L62/MAX(L$2:L62)-1</f>
        <v>-4.305869587057809E-3</v>
      </c>
      <c r="N62" s="4">
        <f t="shared" si="1"/>
        <v>5.3539281692149832E-2</v>
      </c>
    </row>
    <row r="63" spans="1:14">
      <c r="A63" s="3">
        <f>prices!A64</f>
        <v>43559</v>
      </c>
      <c r="B63" s="5">
        <f>prices!B64/prices!B63-1</f>
        <v>-1.6099620508945311E-2</v>
      </c>
      <c r="C63" s="5">
        <f>prices!C64/prices!C63-1</f>
        <v>-3.1162322881191473E-2</v>
      </c>
      <c r="D63" s="5">
        <f>prices!D64/prices!D63-1</f>
        <v>-3.8330815709969324E-3</v>
      </c>
      <c r="E63" s="5">
        <f>prices!E64/prices!E63-1</f>
        <v>-7.1639275179099515E-3</v>
      </c>
      <c r="F63" s="5">
        <f>prices!F64/prices!F63-1</f>
        <v>-4.566431867864984E-3</v>
      </c>
      <c r="G63" s="5">
        <f>prices!G64/prices!G63-1</f>
        <v>5.6842865831630007E-3</v>
      </c>
      <c r="H63" s="5">
        <f>prices!H64/prices!H63-1</f>
        <v>7.8026444890901825E-3</v>
      </c>
      <c r="I63" s="5">
        <f>prices!I64/prices!I63-1</f>
        <v>-6.785245353493452E-3</v>
      </c>
      <c r="J63" s="5">
        <f>prices!J64/prices!J63-1</f>
        <v>-3.9462553514916232E-3</v>
      </c>
      <c r="K63" s="8">
        <f>SUMPRODUCT(B63:I63,weights!$B$5:$I$5)</f>
        <v>-5.1137349040721539E-3</v>
      </c>
      <c r="L63" s="4">
        <f t="shared" si="0"/>
        <v>105.2541595063099</v>
      </c>
      <c r="M63" s="4">
        <f>L63/MAX(L$2:L63)-1</f>
        <v>-9.3975854155302629E-3</v>
      </c>
      <c r="N63" s="4">
        <f t="shared" si="1"/>
        <v>3.8234878380514425E-2</v>
      </c>
    </row>
    <row r="64" spans="1:14">
      <c r="A64" s="3">
        <f>prices!A65</f>
        <v>43560</v>
      </c>
      <c r="B64" s="5">
        <f>prices!B65/prices!B64-1</f>
        <v>6.3448598286885982E-4</v>
      </c>
      <c r="C64" s="5">
        <f>prices!C65/prices!C64-1</f>
        <v>1.6774428558419041E-2</v>
      </c>
      <c r="D64" s="5">
        <f>prices!D65/prices!D64-1</f>
        <v>9.4774153192940247E-3</v>
      </c>
      <c r="E64" s="5">
        <f>prices!E65/prices!E64-1</f>
        <v>1.5247485960558915E-2</v>
      </c>
      <c r="F64" s="5">
        <f>prices!F65/prices!F64-1</f>
        <v>-8.2963252159473644E-4</v>
      </c>
      <c r="G64" s="5">
        <f>prices!G65/prices!G64-1</f>
        <v>-7.5938085450799608E-4</v>
      </c>
      <c r="H64" s="5">
        <f>prices!H65/prices!H64-1</f>
        <v>-5.2619378766805003E-3</v>
      </c>
      <c r="I64" s="5">
        <f>prices!I65/prices!I64-1</f>
        <v>3.7278198822536801E-3</v>
      </c>
      <c r="J64" s="5">
        <f>prices!J65/prices!J64-1</f>
        <v>5.8587687532334343E-3</v>
      </c>
      <c r="K64" s="8">
        <f>SUMPRODUCT(B64:I64,weights!$B$5:$I$5)</f>
        <v>3.2740631239595794E-3</v>
      </c>
      <c r="L64" s="4">
        <f t="shared" si="0"/>
        <v>105.59876826859288</v>
      </c>
      <c r="M64" s="4">
        <f>L64/MAX(L$2:L64)-1</f>
        <v>-6.154290579433952E-3</v>
      </c>
      <c r="N64" s="4">
        <f t="shared" si="1"/>
        <v>3.5717803915576107E-2</v>
      </c>
    </row>
    <row r="65" spans="1:14">
      <c r="A65" s="3">
        <f>prices!A66</f>
        <v>43563</v>
      </c>
      <c r="B65" s="5">
        <f>prices!B66/prices!B65-1</f>
        <v>-1.8204875769660678E-2</v>
      </c>
      <c r="C65" s="5">
        <f>prices!C66/prices!C65-1</f>
        <v>1.0962633898183638E-2</v>
      </c>
      <c r="D65" s="5">
        <f>prices!D66/prices!D65-1</f>
        <v>-7.0413279005576701E-3</v>
      </c>
      <c r="E65" s="5">
        <f>prices!E66/prices!E65-1</f>
        <v>1.04679208876024E-2</v>
      </c>
      <c r="F65" s="5">
        <f>prices!F66/prices!F65-1</f>
        <v>-6.1053042883657538E-3</v>
      </c>
      <c r="G65" s="5">
        <f>prices!G66/prices!G65-1</f>
        <v>3.0595512759254984E-3</v>
      </c>
      <c r="H65" s="5">
        <f>prices!H66/prices!H65-1</f>
        <v>-1.5146925174188697E-3</v>
      </c>
      <c r="I65" s="5">
        <f>prices!I66/prices!I65-1</f>
        <v>-1.0634729755165662E-4</v>
      </c>
      <c r="J65" s="5">
        <f>prices!J66/prices!J65-1</f>
        <v>-5.2674664300808027E-3</v>
      </c>
      <c r="K65" s="8">
        <f>SUMPRODUCT(B65:I65,weights!$B$5:$I$5)</f>
        <v>-1.1563319473830186E-3</v>
      </c>
      <c r="L65" s="4">
        <f t="shared" si="0"/>
        <v>105.4766610392396</v>
      </c>
      <c r="M65" s="4">
        <f>L65/MAX(L$2:L65)-1</f>
        <v>-7.3035061240065424E-3</v>
      </c>
      <c r="N65" s="4">
        <f t="shared" si="1"/>
        <v>3.0937740960515825E-2</v>
      </c>
    </row>
    <row r="66" spans="1:14">
      <c r="A66" s="3">
        <f>prices!A67</f>
        <v>43564</v>
      </c>
      <c r="B66" s="5">
        <f>prices!B67/prices!B66-1</f>
        <v>3.9090383765592041E-3</v>
      </c>
      <c r="C66" s="5">
        <f>prices!C67/prices!C66-1</f>
        <v>1.0022797878497913E-2</v>
      </c>
      <c r="D66" s="5">
        <f>prices!D67/prices!D66-1</f>
        <v>-9.2659127869598734E-4</v>
      </c>
      <c r="E66" s="5">
        <f>prices!E67/prices!E66-1</f>
        <v>-8.6726818478380929E-3</v>
      </c>
      <c r="F66" s="5">
        <f>prices!F67/prices!F66-1</f>
        <v>1.2138188608776801E-2</v>
      </c>
      <c r="G66" s="5">
        <f>prices!G67/prices!G66-1</f>
        <v>1.2217510706767687E-2</v>
      </c>
      <c r="H66" s="5">
        <f>prices!H67/prices!H66-1</f>
        <v>1.8390589992531625E-2</v>
      </c>
      <c r="I66" s="5">
        <f>prices!I67/prices!I66-1</f>
        <v>1.1290375364074734E-3</v>
      </c>
      <c r="J66" s="5">
        <f>prices!J67/prices!J66-1</f>
        <v>5.8124003619286491E-3</v>
      </c>
      <c r="K66" s="8">
        <f>SUMPRODUCT(B66:I66,weights!$B$5:$I$5)</f>
        <v>6.9594382122137137E-3</v>
      </c>
      <c r="L66" s="4">
        <f t="shared" si="0"/>
        <v>106.21071934457281</v>
      </c>
      <c r="M66" s="4">
        <f>L66/MAX(L$2:L66)-1</f>
        <v>-3.9489621139521258E-4</v>
      </c>
      <c r="N66" s="4">
        <f t="shared" si="1"/>
        <v>4.1005799926608688E-2</v>
      </c>
    </row>
    <row r="67" spans="1:14">
      <c r="A67" s="3">
        <f>prices!A68</f>
        <v>43565</v>
      </c>
      <c r="B67" s="5">
        <f>prices!B68/prices!B67-1</f>
        <v>-2.2855014559489684E-3</v>
      </c>
      <c r="C67" s="5">
        <f>prices!C68/prices!C67-1</f>
        <v>-2.4507195443567831E-2</v>
      </c>
      <c r="D67" s="5">
        <f>prices!D68/prices!D67-1</f>
        <v>-2.1823481536161315E-2</v>
      </c>
      <c r="E67" s="5">
        <f>prices!E68/prices!E67-1</f>
        <v>-1.0385899576216828E-2</v>
      </c>
      <c r="F67" s="5">
        <f>prices!F68/prices!F67-1</f>
        <v>-5.4379491163333293E-3</v>
      </c>
      <c r="G67" s="5">
        <f>prices!G68/prices!G67-1</f>
        <v>-4.1847005197634957E-3</v>
      </c>
      <c r="H67" s="5">
        <f>prices!H68/prices!H67-1</f>
        <v>2.1083509029240499E-3</v>
      </c>
      <c r="I67" s="5">
        <f>prices!I68/prices!I67-1</f>
        <v>-2.6559665266495669E-3</v>
      </c>
      <c r="J67" s="5">
        <f>prices!J68/prices!J67-1</f>
        <v>-7.5094564318731738E-3</v>
      </c>
      <c r="K67" s="8">
        <f>SUMPRODUCT(B67:I67,weights!$B$5:$I$5)</f>
        <v>-6.4184842975243102E-3</v>
      </c>
      <c r="L67" s="4">
        <f t="shared" si="0"/>
        <v>105.5290075102309</v>
      </c>
      <c r="M67" s="4">
        <f>L67/MAX(L$2:L67)-1</f>
        <v>-6.8108458737876632E-3</v>
      </c>
      <c r="N67" s="4">
        <f t="shared" si="1"/>
        <v>2.4842711338602941E-2</v>
      </c>
    </row>
    <row r="68" spans="1:14">
      <c r="A68" s="3">
        <f>prices!A69</f>
        <v>43566</v>
      </c>
      <c r="B68" s="5">
        <f>prices!B69/prices!B68-1</f>
        <v>1.1555495223389167E-2</v>
      </c>
      <c r="C68" s="5">
        <f>prices!C69/prices!C68-1</f>
        <v>-1.0166646685049741E-2</v>
      </c>
      <c r="D68" s="5">
        <f>prices!D69/prices!D68-1</f>
        <v>9.0170278637773382E-3</v>
      </c>
      <c r="E68" s="5">
        <f>prices!E69/prices!E68-1</f>
        <v>-1.3284887021687397E-2</v>
      </c>
      <c r="F68" s="5">
        <f>prices!F69/prices!F68-1</f>
        <v>5.8094122241749702E-3</v>
      </c>
      <c r="G68" s="5">
        <f>prices!G69/prices!G68-1</f>
        <v>2.0853899679251775E-4</v>
      </c>
      <c r="H68" s="5">
        <f>prices!H69/prices!H68-1</f>
        <v>-1.3561105012806274E-2</v>
      </c>
      <c r="I68" s="5">
        <f>prices!I69/prices!I68-1</f>
        <v>4.7033374030038821E-3</v>
      </c>
      <c r="J68" s="5">
        <f>prices!J69/prices!J68-1</f>
        <v>1.0704142675863615E-3</v>
      </c>
      <c r="K68" s="8">
        <f>SUMPRODUCT(B68:I68,weights!$B$5:$I$5)</f>
        <v>-4.6985697522955569E-4</v>
      </c>
      <c r="L68" s="4">
        <f t="shared" ref="L68:L131" si="2">L67*(1+K68)</f>
        <v>105.47942396996316</v>
      </c>
      <c r="M68" s="4">
        <f>L68/MAX(L$2:L68)-1</f>
        <v>-7.277502725576146E-3</v>
      </c>
      <c r="N68" s="4">
        <f t="shared" si="1"/>
        <v>8.4307549505577839E-3</v>
      </c>
    </row>
    <row r="69" spans="1:14">
      <c r="A69" s="3">
        <f>prices!A70</f>
        <v>43567</v>
      </c>
      <c r="B69" s="5">
        <f>prices!B70/prices!B69-1</f>
        <v>-2.7342570537122191E-3</v>
      </c>
      <c r="C69" s="5">
        <f>prices!C70/prices!C69-1</f>
        <v>-2.4769264310456895E-3</v>
      </c>
      <c r="D69" s="5">
        <f>prices!D70/prices!D69-1</f>
        <v>3.4326698116824428E-3</v>
      </c>
      <c r="E69" s="5">
        <f>prices!E70/prices!E69-1</f>
        <v>6.8058523754728206E-3</v>
      </c>
      <c r="F69" s="5">
        <f>prices!F70/prices!F69-1</f>
        <v>3.1500266951414835E-2</v>
      </c>
      <c r="G69" s="5">
        <f>prices!G70/prices!G69-1</f>
        <v>2.1565036351718359E-2</v>
      </c>
      <c r="H69" s="5">
        <f>prices!H70/prices!H69-1</f>
        <v>-1.0664193810131506E-3</v>
      </c>
      <c r="I69" s="5">
        <f>prices!I70/prices!I69-1</f>
        <v>-1.2412836928597626E-2</v>
      </c>
      <c r="J69" s="5">
        <f>prices!J70/prices!J69-1</f>
        <v>4.0313192546155285E-3</v>
      </c>
      <c r="K69" s="8">
        <f>SUMPRODUCT(B69:I69,weights!$B$5:$I$5)</f>
        <v>4.4862280255648836E-3</v>
      </c>
      <c r="L69" s="4">
        <f t="shared" si="2"/>
        <v>105.95262871789765</v>
      </c>
      <c r="M69" s="4">
        <f>L69/MAX(L$2:L69)-1</f>
        <v>-2.8239232366948919E-3</v>
      </c>
      <c r="N69" s="4">
        <f t="shared" si="1"/>
        <v>1.7514714231424477E-2</v>
      </c>
    </row>
    <row r="70" spans="1:14">
      <c r="A70" s="3">
        <f>prices!A71</f>
        <v>43570</v>
      </c>
      <c r="B70" s="5">
        <f>prices!B71/prices!B70-1</f>
        <v>-2.2034953154698167E-3</v>
      </c>
      <c r="C70" s="5">
        <f>prices!C71/prices!C70-1</f>
        <v>4.9042285159214272E-2</v>
      </c>
      <c r="D70" s="5">
        <f>prices!D71/prices!D70-1</f>
        <v>1.0396559961777463E-2</v>
      </c>
      <c r="E70" s="5">
        <f>prices!E71/prices!E70-1</f>
        <v>-2.7088367840115035E-2</v>
      </c>
      <c r="F70" s="5">
        <f>prices!F71/prices!F70-1</f>
        <v>-7.9992471296830292E-4</v>
      </c>
      <c r="G70" s="5">
        <f>prices!G71/prices!G70-1</f>
        <v>1.3141318360549992E-3</v>
      </c>
      <c r="H70" s="5">
        <f>prices!H71/prices!H70-1</f>
        <v>-1.3762213093829079E-2</v>
      </c>
      <c r="I70" s="5">
        <f>prices!I71/prices!I70-1</f>
        <v>-2.9398891760878954E-3</v>
      </c>
      <c r="J70" s="5">
        <f>prices!J71/prices!J70-1</f>
        <v>4.0280157513450376E-3</v>
      </c>
      <c r="K70" s="8">
        <f>SUMPRODUCT(B70:I70,weights!$B$5:$I$5)</f>
        <v>3.5250501653047678E-5</v>
      </c>
      <c r="L70" s="4">
        <f t="shared" si="2"/>
        <v>105.95636360121141</v>
      </c>
      <c r="M70" s="4">
        <f>L70/MAX(L$2:L70)-1</f>
        <v>-2.7887722797527159E-3</v>
      </c>
      <c r="N70" s="4">
        <f t="shared" si="1"/>
        <v>1.5313913068779827E-2</v>
      </c>
    </row>
    <row r="71" spans="1:14">
      <c r="A71" s="3">
        <f>prices!A72</f>
        <v>43571</v>
      </c>
      <c r="B71" s="5">
        <f>prices!B72/prices!B71-1</f>
        <v>2.6803776129464829E-3</v>
      </c>
      <c r="C71" s="5">
        <f>prices!C72/prices!C71-1</f>
        <v>8.7561417418529075E-3</v>
      </c>
      <c r="D71" s="5">
        <f>prices!D72/prices!D71-1</f>
        <v>7.0930034613856385E-3</v>
      </c>
      <c r="E71" s="5">
        <f>prices!E72/prices!E71-1</f>
        <v>-4.665603759335335E-3</v>
      </c>
      <c r="F71" s="5">
        <f>prices!F72/prices!F71-1</f>
        <v>5.5568636684719674E-3</v>
      </c>
      <c r="G71" s="5">
        <f>prices!G72/prices!G71-1</f>
        <v>1.4423281369830621E-2</v>
      </c>
      <c r="H71" s="5">
        <f>prices!H72/prices!H71-1</f>
        <v>8.4949171686747871E-3</v>
      </c>
      <c r="I71" s="5">
        <f>prices!I72/prices!I71-1</f>
        <v>1.8055774120609325E-2</v>
      </c>
      <c r="J71" s="5">
        <f>prices!J72/prices!J71-1</f>
        <v>8.2803337795702703E-3</v>
      </c>
      <c r="K71" s="8">
        <f>SUMPRODUCT(B71:I71,weights!$B$5:$I$5)</f>
        <v>9.3480894531131828E-3</v>
      </c>
      <c r="L71" s="4">
        <f t="shared" si="2"/>
        <v>106.94685316628212</v>
      </c>
      <c r="M71" s="4">
        <f>L71/MAX(L$2:L71)-1</f>
        <v>0</v>
      </c>
      <c r="N71" s="4">
        <f t="shared" si="1"/>
        <v>2.1728756257451742E-2</v>
      </c>
    </row>
    <row r="72" spans="1:14">
      <c r="A72" s="3">
        <f>prices!A73</f>
        <v>43573</v>
      </c>
      <c r="B72" s="5">
        <f>prices!B73/prices!B72-1</f>
        <v>3.1406042468770545E-2</v>
      </c>
      <c r="C72" s="5">
        <f>prices!C73/prices!C72-1</f>
        <v>8.5596594494738998E-3</v>
      </c>
      <c r="D72" s="5">
        <f>prices!D73/prices!D72-1</f>
        <v>-4.9395237022014093E-3</v>
      </c>
      <c r="E72" s="5">
        <f>prices!E73/prices!E72-1</f>
        <v>-9.7458984605528487E-3</v>
      </c>
      <c r="F72" s="5">
        <f>prices!F73/prices!F72-1</f>
        <v>-9.0853744204560938E-3</v>
      </c>
      <c r="G72" s="5">
        <f>prices!G73/prices!G72-1</f>
        <v>-1.4888932897170193E-3</v>
      </c>
      <c r="H72" s="5">
        <f>prices!H73/prices!H72-1</f>
        <v>1.4233380777937121E-3</v>
      </c>
      <c r="I72" s="5">
        <f>prices!I73/prices!I72-1</f>
        <v>-1.4985722072618168E-2</v>
      </c>
      <c r="J72" s="5">
        <f>prices!J73/prices!J72-1</f>
        <v>-2.9141904531629903E-3</v>
      </c>
      <c r="K72" s="8">
        <f>SUMPRODUCT(B72:I72,weights!$B$5:$I$5)</f>
        <v>-2.308114628984414E-4</v>
      </c>
      <c r="L72" s="4">
        <f t="shared" si="2"/>
        <v>106.92216860665043</v>
      </c>
      <c r="M72" s="4">
        <f>L72/MAX(L$2:L72)-1</f>
        <v>-2.3081146289849475E-4</v>
      </c>
      <c r="N72" s="4">
        <f t="shared" si="1"/>
        <v>2.7077336880062086E-2</v>
      </c>
    </row>
    <row r="73" spans="1:14">
      <c r="A73" s="3">
        <f>prices!A74</f>
        <v>43577</v>
      </c>
      <c r="B73" s="5">
        <f>prices!B74/prices!B73-1</f>
        <v>-2.9292385935742571E-2</v>
      </c>
      <c r="C73" s="5">
        <f>prices!C74/prices!C73-1</f>
        <v>5.3015392666582173E-3</v>
      </c>
      <c r="D73" s="5">
        <f>prices!D74/prices!D73-1</f>
        <v>-1.0890696664842103E-2</v>
      </c>
      <c r="E73" s="5">
        <f>prices!E74/prices!E73-1</f>
        <v>5.5849750549132882E-3</v>
      </c>
      <c r="F73" s="5">
        <f>prices!F74/prices!F73-1</f>
        <v>-8.5542795028120677E-3</v>
      </c>
      <c r="G73" s="5">
        <f>prices!G74/prices!G73-1</f>
        <v>-1.694512847461993E-2</v>
      </c>
      <c r="H73" s="5">
        <f>prices!H74/prices!H73-1</f>
        <v>-1.880329931497271E-2</v>
      </c>
      <c r="I73" s="5">
        <f>prices!I74/prices!I73-1</f>
        <v>-4.0470782572787911E-4</v>
      </c>
      <c r="J73" s="5">
        <f>prices!J74/prices!J73-1</f>
        <v>-1.3473385065686405E-2</v>
      </c>
      <c r="K73" s="8">
        <f>SUMPRODUCT(B73:I73,weights!$B$5:$I$5)</f>
        <v>-1.0524362308790475E-2</v>
      </c>
      <c r="L73" s="4">
        <f t="shared" si="2"/>
        <v>105.79688096539246</v>
      </c>
      <c r="M73" s="4">
        <f>L73/MAX(L$2:L73)-1</f>
        <v>-1.0752744628228283E-2</v>
      </c>
      <c r="N73" s="4">
        <f t="shared" si="1"/>
        <v>1.4029003542547436E-2</v>
      </c>
    </row>
    <row r="74" spans="1:14">
      <c r="A74" s="3">
        <f>prices!A75</f>
        <v>43578</v>
      </c>
      <c r="B74" s="5">
        <f>prices!B75/prices!B74-1</f>
        <v>1.3753148614609634E-2</v>
      </c>
      <c r="C74" s="5">
        <f>prices!C75/prices!C74-1</f>
        <v>-2.9593164714536435E-3</v>
      </c>
      <c r="D74" s="5">
        <f>prices!D75/prices!D74-1</f>
        <v>-1.0304556904053075E-2</v>
      </c>
      <c r="E74" s="5">
        <f>prices!E75/prices!E74-1</f>
        <v>9.9226171326005641E-3</v>
      </c>
      <c r="F74" s="5">
        <f>prices!F75/prices!F74-1</f>
        <v>5.29125750786541E-3</v>
      </c>
      <c r="G74" s="5">
        <f>prices!G75/prices!G74-1</f>
        <v>-3.7200281568181559E-2</v>
      </c>
      <c r="H74" s="5">
        <f>prices!H75/prices!H74-1</f>
        <v>3.0918287383344012E-2</v>
      </c>
      <c r="I74" s="5">
        <f>prices!I75/prices!I74-1</f>
        <v>-8.7832366598911138E-3</v>
      </c>
      <c r="J74" s="5">
        <f>prices!J75/prices!J74-1</f>
        <v>-1.5955909939668889E-3</v>
      </c>
      <c r="K74" s="8">
        <f>SUMPRODUCT(B74:I74,weights!$B$5:$I$5)</f>
        <v>-2.2896312540239194E-3</v>
      </c>
      <c r="L74" s="4">
        <f t="shared" si="2"/>
        <v>105.55464512015585</v>
      </c>
      <c r="M74" s="4">
        <f>L74/MAX(L$2:L74)-1</f>
        <v>-1.3017756062084884E-2</v>
      </c>
      <c r="N74" s="4">
        <f t="shared" si="1"/>
        <v>9.8705630844930781E-3</v>
      </c>
    </row>
    <row r="75" spans="1:14">
      <c r="A75" s="3">
        <f>prices!A76</f>
        <v>43579</v>
      </c>
      <c r="B75" s="5">
        <f>prices!B76/prices!B75-1</f>
        <v>1.8801040269012192E-2</v>
      </c>
      <c r="C75" s="5">
        <f>prices!C76/prices!C75-1</f>
        <v>1.3177683065939583E-2</v>
      </c>
      <c r="D75" s="5">
        <f>prices!D76/prices!D75-1</f>
        <v>1.534783279345997E-2</v>
      </c>
      <c r="E75" s="5">
        <f>prices!E76/prices!E75-1</f>
        <v>1.1317338162064372E-2</v>
      </c>
      <c r="F75" s="5">
        <f>prices!F76/prices!F75-1</f>
        <v>1.005263407463608E-2</v>
      </c>
      <c r="G75" s="5">
        <f>prices!G76/prices!G75-1</f>
        <v>-4.5671948154845099E-3</v>
      </c>
      <c r="H75" s="5">
        <f>prices!H76/prices!H75-1</f>
        <v>1.7045585423720588E-3</v>
      </c>
      <c r="I75" s="5">
        <f>prices!I76/prices!I75-1</f>
        <v>9.2361811558563378E-3</v>
      </c>
      <c r="J75" s="5">
        <f>prices!J76/prices!J75-1</f>
        <v>1.2975176983314407E-2</v>
      </c>
      <c r="K75" s="8">
        <f>SUMPRODUCT(B75:I75,weights!$B$5:$I$5)</f>
        <v>7.6796510781875302E-3</v>
      </c>
      <c r="L75" s="4">
        <f t="shared" si="2"/>
        <v>106.36526796436057</v>
      </c>
      <c r="M75" s="4">
        <f>L75/MAX(L$2:L75)-1</f>
        <v>-5.4380768082750164E-3</v>
      </c>
      <c r="N75" s="4">
        <f t="shared" si="1"/>
        <v>2.2289190336409526E-2</v>
      </c>
    </row>
    <row r="76" spans="1:14">
      <c r="A76" s="3">
        <f>prices!A77</f>
        <v>43580</v>
      </c>
      <c r="B76" s="5">
        <f>prices!B77/prices!B76-1</f>
        <v>-1.2291883454734531E-2</v>
      </c>
      <c r="C76" s="5">
        <f>prices!C77/prices!C76-1</f>
        <v>5.2876563471480065E-3</v>
      </c>
      <c r="D76" s="5">
        <f>prices!D77/prices!D76-1</f>
        <v>-7.1591340676034898E-3</v>
      </c>
      <c r="E76" s="5">
        <f>prices!E77/prices!E76-1</f>
        <v>-1.0726482973573259E-2</v>
      </c>
      <c r="F76" s="5">
        <f>prices!F77/prices!F76-1</f>
        <v>-7.5113844420449105E-3</v>
      </c>
      <c r="G76" s="5">
        <f>prices!G77/prices!G76-1</f>
        <v>-1.5883357124308772E-2</v>
      </c>
      <c r="H76" s="5">
        <f>prices!H77/prices!H76-1</f>
        <v>-1.7775427139145039E-2</v>
      </c>
      <c r="I76" s="5">
        <f>prices!I77/prices!I76-1</f>
        <v>-4.03895235027385E-3</v>
      </c>
      <c r="J76" s="5">
        <f>prices!J77/prices!J76-1</f>
        <v>-7.1933243221347087E-3</v>
      </c>
      <c r="K76" s="8">
        <f>SUMPRODUCT(B76:I76,weights!$B$5:$I$5)</f>
        <v>-9.7340795413281712E-3</v>
      </c>
      <c r="L76" s="4">
        <f t="shared" si="2"/>
        <v>105.3298999855608</v>
      </c>
      <c r="M76" s="4">
        <f>L76/MAX(L$2:L76)-1</f>
        <v>-1.5119221677399652E-2</v>
      </c>
      <c r="N76" s="4">
        <f t="shared" si="1"/>
        <v>2.293425022100104E-2</v>
      </c>
    </row>
    <row r="77" spans="1:14">
      <c r="A77" s="3">
        <f>prices!A78</f>
        <v>43581</v>
      </c>
      <c r="B77" s="5">
        <f>prices!B78/prices!B77-1</f>
        <v>1.4864686903272473E-2</v>
      </c>
      <c r="C77" s="5">
        <f>prices!C78/prices!C77-1</f>
        <v>1.9841424615401726E-2</v>
      </c>
      <c r="D77" s="5">
        <f>prices!D78/prices!D77-1</f>
        <v>7.7271770938927009E-3</v>
      </c>
      <c r="E77" s="5">
        <f>prices!E78/prices!E77-1</f>
        <v>1.2971125002094741E-2</v>
      </c>
      <c r="F77" s="5">
        <f>prices!F78/prices!F77-1</f>
        <v>1.3244406603283299E-3</v>
      </c>
      <c r="G77" s="5">
        <f>prices!G78/prices!G77-1</f>
        <v>-9.0371133698690098E-3</v>
      </c>
      <c r="H77" s="5">
        <f>prices!H78/prices!H77-1</f>
        <v>6.7191084890199093E-3</v>
      </c>
      <c r="I77" s="5">
        <f>prices!I78/prices!I77-1</f>
        <v>2.2474332819160114E-3</v>
      </c>
      <c r="J77" s="5">
        <f>prices!J78/prices!J77-1</f>
        <v>9.6935181844732821E-3</v>
      </c>
      <c r="K77" s="8">
        <f>SUMPRODUCT(B77:I77,weights!$B$5:$I$5)</f>
        <v>5.1181091969815752E-3</v>
      </c>
      <c r="L77" s="4">
        <f t="shared" si="2"/>
        <v>105.86898991539405</v>
      </c>
      <c r="M77" s="4">
        <f>L77/MAX(L$2:L77)-1</f>
        <v>-1.0078494307936281E-2</v>
      </c>
      <c r="N77" s="4">
        <f t="shared" si="1"/>
        <v>2.1351296079293647E-2</v>
      </c>
    </row>
    <row r="78" spans="1:14">
      <c r="A78" s="3">
        <f>prices!A79</f>
        <v>43585</v>
      </c>
      <c r="B78" s="5">
        <f>prices!B79/prices!B78-1</f>
        <v>0</v>
      </c>
      <c r="C78" s="5">
        <f>prices!C79/prices!C78-1</f>
        <v>9.7413595288307064E-3</v>
      </c>
      <c r="D78" s="5">
        <f>prices!D79/prices!D78-1</f>
        <v>1.6000151840112276E-2</v>
      </c>
      <c r="E78" s="5">
        <f>prices!E79/prices!E78-1</f>
        <v>1.8099098353875354E-2</v>
      </c>
      <c r="F78" s="5">
        <f>prices!F79/prices!F78-1</f>
        <v>-1.0487032925504236E-2</v>
      </c>
      <c r="G78" s="5">
        <f>prices!G79/prices!G78-1</f>
        <v>-2.5786141721365952E-2</v>
      </c>
      <c r="H78" s="5">
        <f>prices!H79/prices!H78-1</f>
        <v>-1.3906653333643493E-2</v>
      </c>
      <c r="I78" s="5">
        <f>prices!I79/prices!I78-1</f>
        <v>-7.1078086601076285E-3</v>
      </c>
      <c r="J78" s="5">
        <f>prices!J79/prices!J78-1</f>
        <v>-5.5297265337550527E-4</v>
      </c>
      <c r="K78" s="8">
        <f>SUMPRODUCT(B78:I78,weights!$B$5:$I$5)</f>
        <v>-5.8080226346985788E-3</v>
      </c>
      <c r="L78" s="4">
        <f t="shared" si="2"/>
        <v>105.25410042565277</v>
      </c>
      <c r="M78" s="4">
        <f>L78/MAX(L$2:L78)-1</f>
        <v>-1.5827980819570708E-2</v>
      </c>
      <c r="N78" s="4">
        <f t="shared" si="1"/>
        <v>2.2650606444463817E-2</v>
      </c>
    </row>
    <row r="79" spans="1:14">
      <c r="A79" s="3">
        <f>prices!A80</f>
        <v>43587</v>
      </c>
      <c r="B79" s="5">
        <f>prices!B80/prices!B79-1</f>
        <v>8.7914226857632727E-3</v>
      </c>
      <c r="C79" s="5">
        <f>prices!C80/prices!C79-1</f>
        <v>-1.988994518902476E-2</v>
      </c>
      <c r="D79" s="5">
        <f>prices!D80/prices!D79-1</f>
        <v>1.6551466467401577E-2</v>
      </c>
      <c r="E79" s="5">
        <f>prices!E80/prices!E79-1</f>
        <v>-2.7348510700531459E-2</v>
      </c>
      <c r="F79" s="5">
        <f>prices!F80/prices!F79-1</f>
        <v>1.207810187616376E-2</v>
      </c>
      <c r="G79" s="5">
        <f>prices!G80/prices!G79-1</f>
        <v>2.5278336643399513E-3</v>
      </c>
      <c r="H79" s="5">
        <f>prices!H80/prices!H79-1</f>
        <v>-1.1909534702733149E-2</v>
      </c>
      <c r="I79" s="5">
        <f>prices!I80/prices!I79-1</f>
        <v>7.5670450189175842E-3</v>
      </c>
      <c r="J79" s="5">
        <f>prices!J80/prices!J79-1</f>
        <v>-1.9918029647221225E-3</v>
      </c>
      <c r="K79" s="8">
        <f>SUMPRODUCT(B79:I79,weights!$B$5:$I$5)</f>
        <v>-5.1890380686885496E-4</v>
      </c>
      <c r="L79" s="4">
        <f t="shared" si="2"/>
        <v>105.19948367225334</v>
      </c>
      <c r="M79" s="4">
        <f>L79/MAX(L$2:L79)-1</f>
        <v>-1.6338671426937235E-2</v>
      </c>
      <c r="N79" s="4">
        <f t="shared" si="1"/>
        <v>7.8338206397114973E-3</v>
      </c>
    </row>
    <row r="80" spans="1:14">
      <c r="A80" s="3">
        <f>prices!A81</f>
        <v>43588</v>
      </c>
      <c r="B80" s="5">
        <f>prices!B81/prices!B80-1</f>
        <v>2.7012686315182055E-3</v>
      </c>
      <c r="C80" s="5">
        <f>prices!C81/prices!C80-1</f>
        <v>-3.7644707713880399E-2</v>
      </c>
      <c r="D80" s="5">
        <f>prices!D81/prices!D80-1</f>
        <v>5.1639223757720121E-3</v>
      </c>
      <c r="E80" s="5">
        <f>prices!E81/prices!E80-1</f>
        <v>-9.8569901095962864E-3</v>
      </c>
      <c r="F80" s="5">
        <f>prices!F81/prices!F80-1</f>
        <v>-2.4528301886792558E-3</v>
      </c>
      <c r="G80" s="5">
        <f>prices!G81/prices!G80-1</f>
        <v>4.0023940156064253E-3</v>
      </c>
      <c r="H80" s="5">
        <f>prices!H81/prices!H80-1</f>
        <v>2.3390137954077961E-3</v>
      </c>
      <c r="I80" s="5">
        <f>prices!I81/prices!I80-1</f>
        <v>3.5648707217414977E-3</v>
      </c>
      <c r="J80" s="5">
        <f>prices!J81/prices!J80-1</f>
        <v>-1.0661208128105448E-3</v>
      </c>
      <c r="K80" s="8">
        <f>SUMPRODUCT(B80:I80,weights!$B$5:$I$5)</f>
        <v>-1.784400488052887E-3</v>
      </c>
      <c r="L80" s="4">
        <f t="shared" si="2"/>
        <v>105.01176566224566</v>
      </c>
      <c r="M80" s="4">
        <f>L80/MAX(L$2:L80)-1</f>
        <v>-1.8093917181721708E-2</v>
      </c>
      <c r="N80" s="4">
        <f t="shared" si="1"/>
        <v>-1.1531778803247406E-2</v>
      </c>
    </row>
    <row r="81" spans="1:14">
      <c r="A81" s="3">
        <f>prices!A82</f>
        <v>43591</v>
      </c>
      <c r="B81" s="5">
        <f>prices!B82/prices!B81-1</f>
        <v>-1.6997803114125798E-2</v>
      </c>
      <c r="C81" s="5">
        <f>prices!C82/prices!C81-1</f>
        <v>1.2126983398538238E-2</v>
      </c>
      <c r="D81" s="5">
        <f>prices!D82/prices!D81-1</f>
        <v>-1.6691957511380862E-2</v>
      </c>
      <c r="E81" s="5">
        <f>prices!E82/prices!E81-1</f>
        <v>-7.1879323726925515E-3</v>
      </c>
      <c r="F81" s="5">
        <f>prices!F82/prices!F81-1</f>
        <v>9.0315869112918001E-3</v>
      </c>
      <c r="G81" s="5">
        <f>prices!G82/prices!G81-1</f>
        <v>-5.3023973263011115E-5</v>
      </c>
      <c r="H81" s="5">
        <f>prices!H82/prices!H81-1</f>
        <v>-2.3811791599193111E-4</v>
      </c>
      <c r="I81" s="5">
        <f>prices!I82/prices!I81-1</f>
        <v>-7.9862856766088619E-3</v>
      </c>
      <c r="J81" s="5">
        <f>prices!J82/prices!J81-1</f>
        <v>-9.7333987918631903E-3</v>
      </c>
      <c r="K81" s="8">
        <f>SUMPRODUCT(B81:I81,weights!$B$5:$I$5)</f>
        <v>-3.8136434272339958E-3</v>
      </c>
      <c r="L81" s="4">
        <f t="shared" si="2"/>
        <v>104.6112882323456</v>
      </c>
      <c r="M81" s="4">
        <f>L81/MAX(L$2:L81)-1</f>
        <v>-2.1838556860622749E-2</v>
      </c>
      <c r="N81" s="4">
        <f t="shared" si="1"/>
        <v>-1.5447986076587816E-2</v>
      </c>
    </row>
    <row r="82" spans="1:14">
      <c r="A82" s="3">
        <f>prices!A83</f>
        <v>43592</v>
      </c>
      <c r="B82" s="5">
        <f>prices!B83/prices!B82-1</f>
        <v>-2.9901632926053523E-2</v>
      </c>
      <c r="C82" s="5">
        <f>prices!C83/prices!C82-1</f>
        <v>-2.7375365571651322E-3</v>
      </c>
      <c r="D82" s="5">
        <f>prices!D83/prices!D82-1</f>
        <v>-2.6030046110366856E-3</v>
      </c>
      <c r="E82" s="5">
        <f>prices!E83/prices!E82-1</f>
        <v>8.5656016315434069E-3</v>
      </c>
      <c r="F82" s="5">
        <f>prices!F83/prices!F82-1</f>
        <v>-1.6589343455644556E-2</v>
      </c>
      <c r="G82" s="5">
        <f>prices!G83/prices!G82-1</f>
        <v>-1.1392724403730403E-3</v>
      </c>
      <c r="H82" s="5">
        <f>prices!H83/prices!H82-1</f>
        <v>-1.0908398037441147E-2</v>
      </c>
      <c r="I82" s="5">
        <f>prices!I83/prices!I82-1</f>
        <v>1.0268851151506997E-2</v>
      </c>
      <c r="J82" s="5">
        <f>prices!J83/prices!J82-1</f>
        <v>-8.652167352833473E-3</v>
      </c>
      <c r="K82" s="8">
        <f>SUMPRODUCT(B82:I82,weights!$B$5:$I$5)</f>
        <v>-4.7448986152032122E-3</v>
      </c>
      <c r="L82" s="4">
        <f t="shared" si="2"/>
        <v>104.11491827567733</v>
      </c>
      <c r="M82" s="4">
        <f>L82/MAX(L$2:L82)-1</f>
        <v>-2.6479833737619862E-2</v>
      </c>
      <c r="N82" s="4">
        <f t="shared" si="1"/>
        <v>-1.5882102237995799E-2</v>
      </c>
    </row>
    <row r="83" spans="1:14">
      <c r="A83" s="3">
        <f>prices!A84</f>
        <v>43593</v>
      </c>
      <c r="B83" s="5">
        <f>prices!B84/prices!B83-1</f>
        <v>-3.2790744602138933E-2</v>
      </c>
      <c r="C83" s="5">
        <f>prices!C84/prices!C83-1</f>
        <v>4.2056685592184451E-4</v>
      </c>
      <c r="D83" s="5">
        <f>prices!D84/prices!D83-1</f>
        <v>-6.5058534039221794E-3</v>
      </c>
      <c r="E83" s="5">
        <f>prices!E84/prices!E83-1</f>
        <v>-7.1784847667836216E-3</v>
      </c>
      <c r="F83" s="5">
        <f>prices!F84/prices!F83-1</f>
        <v>-4.1458184417441091E-3</v>
      </c>
      <c r="G83" s="5">
        <f>prices!G84/prices!G83-1</f>
        <v>-7.7362624634421673E-3</v>
      </c>
      <c r="H83" s="5">
        <f>prices!H84/prices!H83-1</f>
        <v>-2.0203236370641475E-2</v>
      </c>
      <c r="I83" s="5">
        <f>prices!I84/prices!I83-1</f>
        <v>-4.572368421052575E-3</v>
      </c>
      <c r="J83" s="5">
        <f>prices!J84/prices!J83-1</f>
        <v>-1.2041329286217373E-2</v>
      </c>
      <c r="K83" s="8">
        <f>SUMPRODUCT(B83:I83,weights!$B$5:$I$5)</f>
        <v>-1.1027496817844413E-2</v>
      </c>
      <c r="L83" s="4">
        <f t="shared" si="2"/>
        <v>102.96679134570216</v>
      </c>
      <c r="M83" s="4">
        <f>L83/MAX(L$2:L83)-1</f>
        <v>-3.7215324273185635E-2</v>
      </c>
      <c r="N83" s="4">
        <f t="shared" si="1"/>
        <v>-2.1731855266685307E-2</v>
      </c>
    </row>
    <row r="84" spans="1:14">
      <c r="A84" s="3">
        <f>prices!A85</f>
        <v>43594</v>
      </c>
      <c r="B84" s="5">
        <f>prices!B85/prices!B84-1</f>
        <v>-3.3085295038075002E-2</v>
      </c>
      <c r="C84" s="5">
        <f>prices!C85/prices!C84-1</f>
        <v>9.1520050901283678E-3</v>
      </c>
      <c r="D84" s="5">
        <f>prices!D85/prices!D84-1</f>
        <v>-7.092597804672307E-3</v>
      </c>
      <c r="E84" s="5">
        <f>prices!E85/prices!E84-1</f>
        <v>2.3592111069623556E-3</v>
      </c>
      <c r="F84" s="5">
        <f>prices!F85/prices!F84-1</f>
        <v>-2.6796822662455977E-3</v>
      </c>
      <c r="G84" s="5">
        <f>prices!G85/prices!G84-1</f>
        <v>-3.7904764684043579E-3</v>
      </c>
      <c r="H84" s="5">
        <f>prices!H85/prices!H84-1</f>
        <v>4.669566713362272E-4</v>
      </c>
      <c r="I84" s="5">
        <f>prices!I85/prices!I84-1</f>
        <v>-2.8667261491689411E-3</v>
      </c>
      <c r="J84" s="5">
        <f>prices!J85/prices!J84-1</f>
        <v>-5.0750696556612906E-3</v>
      </c>
      <c r="K84" s="8">
        <f>SUMPRODUCT(B84:I84,weights!$B$5:$I$5)</f>
        <v>-5.1904401256986556E-3</v>
      </c>
      <c r="L84" s="4">
        <f t="shared" si="2"/>
        <v>102.43234838028698</v>
      </c>
      <c r="M84" s="4">
        <f>L84/MAX(L$2:L84)-1</f>
        <v>-4.2212600486486007E-2</v>
      </c>
      <c r="N84" s="4">
        <f t="shared" si="1"/>
        <v>-2.9985386574320927E-2</v>
      </c>
    </row>
    <row r="85" spans="1:14">
      <c r="A85" s="3">
        <f>prices!A86</f>
        <v>43595</v>
      </c>
      <c r="B85" s="5">
        <f>prices!B86/prices!B85-1</f>
        <v>-4.2074979771644649E-3</v>
      </c>
      <c r="C85" s="5">
        <f>prices!C86/prices!C85-1</f>
        <v>-1.6916425539580615E-2</v>
      </c>
      <c r="D85" s="5">
        <f>prices!D86/prices!D85-1</f>
        <v>2.4377799194967853E-3</v>
      </c>
      <c r="E85" s="5">
        <f>prices!E86/prices!E85-1</f>
        <v>-5.8248810471240864E-3</v>
      </c>
      <c r="F85" s="5">
        <f>prices!F86/prices!F85-1</f>
        <v>-7.0050858842720665E-3</v>
      </c>
      <c r="G85" s="5">
        <f>prices!G86/prices!G85-1</f>
        <v>1.0041157353235519E-3</v>
      </c>
      <c r="H85" s="5">
        <f>prices!H86/prices!H85-1</f>
        <v>-3.6602142085093714E-3</v>
      </c>
      <c r="I85" s="5">
        <f>prices!I86/prices!I85-1</f>
        <v>-6.9595764600605126E-4</v>
      </c>
      <c r="J85" s="5">
        <f>prices!J86/prices!J85-1</f>
        <v>-2.0262259109168346E-3</v>
      </c>
      <c r="K85" s="8">
        <f>SUMPRODUCT(B85:I85,weights!$B$5:$I$5)</f>
        <v>-3.412752764870036E-3</v>
      </c>
      <c r="L85" s="4">
        <f t="shared" si="2"/>
        <v>102.08277210014002</v>
      </c>
      <c r="M85" s="4">
        <f>L85/MAX(L$2:L85)-1</f>
        <v>-4.5481292082333424E-2</v>
      </c>
      <c r="N85" s="4">
        <f t="shared" si="1"/>
        <v>-3.2176681605772361E-2</v>
      </c>
    </row>
    <row r="86" spans="1:14">
      <c r="A86" s="3">
        <f>prices!A87</f>
        <v>43598</v>
      </c>
      <c r="B86" s="5">
        <f>prices!B87/prices!B86-1</f>
        <v>-1.5275997183149315E-2</v>
      </c>
      <c r="C86" s="5">
        <f>prices!C87/prices!C86-1</f>
        <v>-3.3040719680701436E-3</v>
      </c>
      <c r="D86" s="5">
        <f>prices!D87/prices!D86-1</f>
        <v>-4.034234438034856E-3</v>
      </c>
      <c r="E86" s="5">
        <f>prices!E87/prices!E86-1</f>
        <v>3.9684567301960794E-3</v>
      </c>
      <c r="F86" s="5">
        <f>prices!F87/prices!F86-1</f>
        <v>-2.8362968689601864E-2</v>
      </c>
      <c r="G86" s="5">
        <f>prices!G87/prices!G86-1</f>
        <v>-1.3246884998569408E-2</v>
      </c>
      <c r="H86" s="5">
        <f>prices!H87/prices!H86-1</f>
        <v>-9.055943193865712E-2</v>
      </c>
      <c r="I86" s="5">
        <f>prices!I87/prices!I86-1</f>
        <v>-2.7924021457056969E-2</v>
      </c>
      <c r="J86" s="5">
        <f>prices!J87/prices!J86-1</f>
        <v>-1.1588009469008398E-2</v>
      </c>
      <c r="K86" s="8">
        <f>SUMPRODUCT(B86:I86,weights!$B$5:$I$5)</f>
        <v>-2.6304440103348682E-2</v>
      </c>
      <c r="L86" s="4">
        <f t="shared" si="2"/>
        <v>99.397541935848096</v>
      </c>
      <c r="M86" s="4">
        <f>L86/MAX(L$2:L86)-1</f>
        <v>-7.0589372262279459E-2</v>
      </c>
      <c r="N86" s="4">
        <f t="shared" si="1"/>
        <v>-6.4147738107498742E-2</v>
      </c>
    </row>
    <row r="87" spans="1:14">
      <c r="A87" s="3">
        <f>prices!A88</f>
        <v>43599</v>
      </c>
      <c r="B87" s="5">
        <f>prices!B88/prices!B87-1</f>
        <v>2.3049417805079297E-2</v>
      </c>
      <c r="C87" s="5">
        <f>prices!C88/prices!C87-1</f>
        <v>-1.7097945488808164E-2</v>
      </c>
      <c r="D87" s="5">
        <f>prices!D88/prices!D87-1</f>
        <v>3.0284675953962115E-4</v>
      </c>
      <c r="E87" s="5">
        <f>prices!E88/prices!E87-1</f>
        <v>-8.1260814983206142E-3</v>
      </c>
      <c r="F87" s="5">
        <f>prices!F88/prices!F87-1</f>
        <v>1.7454870953304447E-2</v>
      </c>
      <c r="G87" s="5">
        <f>prices!G88/prices!G87-1</f>
        <v>4.9593040498236984E-3</v>
      </c>
      <c r="H87" s="5">
        <f>prices!H88/prices!H87-1</f>
        <v>5.362468145095689E-2</v>
      </c>
      <c r="I87" s="5">
        <f>prices!I88/prices!I87-1</f>
        <v>1.8329139835387531E-2</v>
      </c>
      <c r="J87" s="5">
        <f>prices!J88/prices!J87-1</f>
        <v>6.6243877935450168E-3</v>
      </c>
      <c r="K87" s="8">
        <f>SUMPRODUCT(B87:I87,weights!$B$5:$I$5)</f>
        <v>1.4889081560810773E-2</v>
      </c>
      <c r="L87" s="4">
        <f t="shared" si="2"/>
        <v>100.87748004467504</v>
      </c>
      <c r="M87" s="4">
        <f>L87/MAX(L$2:L87)-1</f>
        <v>-5.6751301622408268E-2</v>
      </c>
      <c r="N87" s="4">
        <f t="shared" ref="N87:N150" si="3">L87/L67-1</f>
        <v>-4.4078188313340316E-2</v>
      </c>
    </row>
    <row r="88" spans="1:14">
      <c r="A88" s="3">
        <f>prices!A89</f>
        <v>43600</v>
      </c>
      <c r="B88" s="5">
        <f>prices!B89/prices!B88-1</f>
        <v>-2.8140235159161975E-3</v>
      </c>
      <c r="C88" s="5">
        <f>prices!C89/prices!C88-1</f>
        <v>1.4554594341829041E-3</v>
      </c>
      <c r="D88" s="5">
        <f>prices!D89/prices!D88-1</f>
        <v>-5.2982137450796607E-4</v>
      </c>
      <c r="E88" s="5">
        <f>prices!E89/prices!E88-1</f>
        <v>3.1641780833633337E-3</v>
      </c>
      <c r="F88" s="5">
        <f>prices!F89/prices!F88-1</f>
        <v>9.188660801564108E-3</v>
      </c>
      <c r="G88" s="5">
        <f>prices!G89/prices!G88-1</f>
        <v>-1.2538732683006759E-2</v>
      </c>
      <c r="H88" s="5">
        <f>prices!H89/prices!H88-1</f>
        <v>-2.3131947303417055E-2</v>
      </c>
      <c r="I88" s="5">
        <f>prices!I89/prices!I88-1</f>
        <v>-1.1926897499036859E-2</v>
      </c>
      <c r="J88" s="5">
        <f>prices!J89/prices!J88-1</f>
        <v>-5.7966236115504222E-3</v>
      </c>
      <c r="K88" s="8">
        <f>SUMPRODUCT(B88:I88,weights!$B$5:$I$5)</f>
        <v>-7.5090797747635867E-3</v>
      </c>
      <c r="L88" s="4">
        <f t="shared" si="2"/>
        <v>100.11998299954246</v>
      </c>
      <c r="M88" s="4">
        <f>L88/MAX(L$2:L88)-1</f>
        <v>-6.383423134596744E-2</v>
      </c>
      <c r="N88" s="4">
        <f t="shared" si="3"/>
        <v>-5.0810298053456271E-2</v>
      </c>
    </row>
    <row r="89" spans="1:14">
      <c r="A89" s="3">
        <f>prices!A90</f>
        <v>43601</v>
      </c>
      <c r="B89" s="5">
        <f>prices!B90/prices!B89-1</f>
        <v>6.7223869866090968E-3</v>
      </c>
      <c r="C89" s="5">
        <f>prices!C90/prices!C89-1</f>
        <v>6.3737020586123183E-3</v>
      </c>
      <c r="D89" s="5">
        <f>prices!D90/prices!D89-1</f>
        <v>1.0469519121544923E-2</v>
      </c>
      <c r="E89" s="5">
        <f>prices!E90/prices!E89-1</f>
        <v>2.3733206028780041E-2</v>
      </c>
      <c r="F89" s="5">
        <f>prices!F90/prices!F89-1</f>
        <v>-7.7489345215032701E-3</v>
      </c>
      <c r="G89" s="5">
        <f>prices!G90/prices!G89-1</f>
        <v>-2.1700077369825044E-3</v>
      </c>
      <c r="H89" s="5">
        <f>prices!H90/prices!H89-1</f>
        <v>6.4796523113395121E-3</v>
      </c>
      <c r="I89" s="5">
        <f>prices!I90/prices!I89-1</f>
        <v>8.5614986861064502E-3</v>
      </c>
      <c r="J89" s="5">
        <f>prices!J90/prices!J89-1</f>
        <v>8.9719458635835192E-3</v>
      </c>
      <c r="K89" s="8">
        <f>SUMPRODUCT(B89:I89,weights!$B$5:$I$5)</f>
        <v>5.7994155983856887E-3</v>
      </c>
      <c r="L89" s="4">
        <f t="shared" si="2"/>
        <v>100.70062039066011</v>
      </c>
      <c r="M89" s="4">
        <f>L89/MAX(L$2:L89)-1</f>
        <v>-5.8405016984560576E-2</v>
      </c>
      <c r="N89" s="4">
        <f t="shared" si="3"/>
        <v>-4.9569400880285719E-2</v>
      </c>
    </row>
    <row r="90" spans="1:14">
      <c r="A90" s="3">
        <f>prices!A91</f>
        <v>43602</v>
      </c>
      <c r="B90" s="5">
        <f>prices!B91/prices!B90-1</f>
        <v>1.6247388812511421E-3</v>
      </c>
      <c r="C90" s="5">
        <f>prices!C91/prices!C90-1</f>
        <v>-6.3043364787352951E-3</v>
      </c>
      <c r="D90" s="5">
        <f>prices!D91/prices!D90-1</f>
        <v>2.2277181346373576E-2</v>
      </c>
      <c r="E90" s="5">
        <f>prices!E91/prices!E90-1</f>
        <v>-1.2557457864233013E-2</v>
      </c>
      <c r="F90" s="5">
        <f>prices!F91/prices!F90-1</f>
        <v>2.2549785240140618E-2</v>
      </c>
      <c r="G90" s="5">
        <f>prices!G91/prices!G90-1</f>
        <v>3.5063519663225184E-2</v>
      </c>
      <c r="H90" s="5">
        <f>prices!H91/prices!H90-1</f>
        <v>-8.0081651880348215E-3</v>
      </c>
      <c r="I90" s="5">
        <f>prices!I91/prices!I90-1</f>
        <v>1.8507312153303035E-2</v>
      </c>
      <c r="J90" s="5">
        <f>prices!J91/prices!J90-1</f>
        <v>1.3329365467127374E-2</v>
      </c>
      <c r="K90" s="8">
        <f>SUMPRODUCT(B90:I90,weights!$B$5:$I$5)</f>
        <v>1.1384345297448329E-2</v>
      </c>
      <c r="L90" s="4">
        <f t="shared" si="2"/>
        <v>101.84703102485464</v>
      </c>
      <c r="M90" s="4">
        <f>L90/MAX(L$2:L90)-1</f>
        <v>-4.7685574567567945E-2</v>
      </c>
      <c r="N90" s="4">
        <f t="shared" si="3"/>
        <v>-3.878325413113537E-2</v>
      </c>
    </row>
    <row r="91" spans="1:14">
      <c r="A91" s="3">
        <f>prices!A92</f>
        <v>43605</v>
      </c>
      <c r="B91" s="5">
        <f>prices!B92/prices!B91-1</f>
        <v>4.6149732620320849E-2</v>
      </c>
      <c r="C91" s="5">
        <f>prices!C92/prices!C91-1</f>
        <v>2.3141933299870576E-2</v>
      </c>
      <c r="D91" s="5">
        <f>prices!D92/prices!D91-1</f>
        <v>2.9727649279718493E-2</v>
      </c>
      <c r="E91" s="5">
        <f>prices!E92/prices!E91-1</f>
        <v>-2.0576825771631002E-3</v>
      </c>
      <c r="F91" s="5">
        <f>prices!F92/prices!F91-1</f>
        <v>1.8568019093078592E-2</v>
      </c>
      <c r="G91" s="5">
        <f>prices!G92/prices!G91-1</f>
        <v>5.6321816907476396E-2</v>
      </c>
      <c r="H91" s="5">
        <f>prices!H92/prices!H91-1</f>
        <v>1.0763751483973127E-2</v>
      </c>
      <c r="I91" s="5">
        <f>prices!I92/prices!I91-1</f>
        <v>6.5752339456355058E-2</v>
      </c>
      <c r="J91" s="5">
        <f>prices!J92/prices!J91-1</f>
        <v>3.691544338419317E-2</v>
      </c>
      <c r="K91" s="8">
        <f>SUMPRODUCT(B91:I91,weights!$B$5:$I$5)</f>
        <v>3.7018166942745685E-2</v>
      </c>
      <c r="L91" s="4">
        <f t="shared" si="2"/>
        <v>105.6172214219557</v>
      </c>
      <c r="M91" s="4">
        <f>L91/MAX(L$2:L91)-1</f>
        <v>-1.2432640184925292E-2</v>
      </c>
      <c r="N91" s="4">
        <f t="shared" si="3"/>
        <v>-1.2432640184925292E-2</v>
      </c>
    </row>
    <row r="92" spans="1:14">
      <c r="A92" s="3">
        <f>prices!A93</f>
        <v>43606</v>
      </c>
      <c r="B92" s="5">
        <f>prices!B93/prices!B92-1</f>
        <v>1.049600436197573E-2</v>
      </c>
      <c r="C92" s="5">
        <f>prices!C93/prices!C92-1</f>
        <v>-1.5949891328530086E-2</v>
      </c>
      <c r="D92" s="5">
        <f>prices!D93/prices!D92-1</f>
        <v>-1.1764915278371091E-2</v>
      </c>
      <c r="E92" s="5">
        <f>prices!E93/prices!E92-1</f>
        <v>-1.8134802595997646E-2</v>
      </c>
      <c r="F92" s="5">
        <f>prices!F93/prices!F92-1</f>
        <v>-3.5615539622287917E-3</v>
      </c>
      <c r="G92" s="5">
        <f>prices!G93/prices!G92-1</f>
        <v>-2.9535659499866029E-2</v>
      </c>
      <c r="H92" s="5">
        <f>prices!H93/prices!H92-1</f>
        <v>-1.1249445357972454E-2</v>
      </c>
      <c r="I92" s="5">
        <f>prices!I93/prices!I92-1</f>
        <v>-1.6182733255902804E-3</v>
      </c>
      <c r="J92" s="5">
        <f>prices!J93/prices!J92-1</f>
        <v>-1.0073341364952526E-2</v>
      </c>
      <c r="K92" s="8">
        <f>SUMPRODUCT(B92:I92,weights!$B$5:$I$5)</f>
        <v>-1.0530475339130574E-2</v>
      </c>
      <c r="L92" s="4">
        <f t="shared" si="2"/>
        <v>104.5050218763843</v>
      </c>
      <c r="M92" s="4">
        <f>L92/MAX(L$2:L92)-1</f>
        <v>-2.2832193913188248E-2</v>
      </c>
      <c r="N92" s="4">
        <f t="shared" si="3"/>
        <v>-2.2606600312779168E-2</v>
      </c>
    </row>
    <row r="93" spans="1:14">
      <c r="A93" s="3">
        <f>prices!A94</f>
        <v>43607</v>
      </c>
      <c r="B93" s="5">
        <f>prices!B94/prices!B93-1</f>
        <v>4.3841160104540755E-4</v>
      </c>
      <c r="C93" s="5">
        <f>prices!C94/prices!C93-1</f>
        <v>-1.3275131446989219E-2</v>
      </c>
      <c r="D93" s="5">
        <f>prices!D94/prices!D93-1</f>
        <v>8.4649604668340928E-4</v>
      </c>
      <c r="E93" s="5">
        <f>prices!E94/prices!E93-1</f>
        <v>6.1967467079759864E-4</v>
      </c>
      <c r="F93" s="5">
        <f>prices!F94/prices!F93-1</f>
        <v>-6.1139067864368624E-4</v>
      </c>
      <c r="G93" s="5">
        <f>prices!G94/prices!G93-1</f>
        <v>3.5565535929347192E-3</v>
      </c>
      <c r="H93" s="5">
        <f>prices!H94/prices!H93-1</f>
        <v>3.0199039121482585E-2</v>
      </c>
      <c r="I93" s="5">
        <f>prices!I94/prices!I93-1</f>
        <v>8.2828580513567562E-3</v>
      </c>
      <c r="J93" s="5">
        <f>prices!J94/prices!J93-1</f>
        <v>2.4596254195454748E-3</v>
      </c>
      <c r="K93" s="8">
        <f>SUMPRODUCT(B93:I93,weights!$B$5:$I$5)</f>
        <v>5.8327012031613246E-3</v>
      </c>
      <c r="L93" s="4">
        <f t="shared" si="2"/>
        <v>105.1145684432191</v>
      </c>
      <c r="M93" s="4">
        <f>L93/MAX(L$2:L93)-1</f>
        <v>-1.7132666074935132E-2</v>
      </c>
      <c r="N93" s="4">
        <f t="shared" si="3"/>
        <v>-6.4492687870123522E-3</v>
      </c>
    </row>
    <row r="94" spans="1:14">
      <c r="A94" s="3">
        <f>prices!A95</f>
        <v>43608</v>
      </c>
      <c r="B94" s="5">
        <f>prices!B95/prices!B94-1</f>
        <v>-4.854123476765948E-3</v>
      </c>
      <c r="C94" s="5">
        <f>prices!C95/prices!C94-1</f>
        <v>-1.3306856703072079E-2</v>
      </c>
      <c r="D94" s="5">
        <f>prices!D95/prices!D94-1</f>
        <v>-3.0610041389238729E-2</v>
      </c>
      <c r="E94" s="5">
        <f>prices!E95/prices!E94-1</f>
        <v>-1.2248198035471392E-2</v>
      </c>
      <c r="F94" s="5">
        <f>prices!F95/prices!F94-1</f>
        <v>-3.854117647058819E-2</v>
      </c>
      <c r="G94" s="5">
        <f>prices!G95/prices!G94-1</f>
        <v>4.2689901306947053E-3</v>
      </c>
      <c r="H94" s="5">
        <f>prices!H95/prices!H94-1</f>
        <v>-1.9576692461435896E-2</v>
      </c>
      <c r="I94" s="5">
        <f>prices!I95/prices!I94-1</f>
        <v>1.0268519871701187E-2</v>
      </c>
      <c r="J94" s="5">
        <f>prices!J95/prices!J94-1</f>
        <v>-6.8879441808160635E-3</v>
      </c>
      <c r="K94" s="8">
        <f>SUMPRODUCT(B94:I94,weights!$B$5:$I$5)</f>
        <v>-8.4227803190619864E-3</v>
      </c>
      <c r="L94" s="4">
        <f t="shared" si="2"/>
        <v>104.22921152488887</v>
      </c>
      <c r="M94" s="4">
        <f>L94/MAX(L$2:L94)-1</f>
        <v>-2.5411141711367935E-2</v>
      </c>
      <c r="N94" s="4">
        <f t="shared" si="3"/>
        <v>-1.2556847628621193E-2</v>
      </c>
    </row>
    <row r="95" spans="1:14">
      <c r="A95" s="3">
        <f>prices!A96</f>
        <v>43609</v>
      </c>
      <c r="B95" s="5">
        <f>prices!B96/prices!B95-1</f>
        <v>2.2187219484106624E-3</v>
      </c>
      <c r="C95" s="5">
        <f>prices!C96/prices!C95-1</f>
        <v>-2.9413866196680294E-3</v>
      </c>
      <c r="D95" s="5">
        <f>prices!D96/prices!D95-1</f>
        <v>1.7691065362267722E-2</v>
      </c>
      <c r="E95" s="5">
        <f>prices!E96/prices!E95-1</f>
        <v>1.1616363921350015E-2</v>
      </c>
      <c r="F95" s="5">
        <f>prices!F96/prices!F95-1</f>
        <v>7.8312368459694248E-3</v>
      </c>
      <c r="G95" s="5">
        <f>prices!G96/prices!G95-1</f>
        <v>2.3653484695719262E-2</v>
      </c>
      <c r="H95" s="5">
        <f>prices!H96/prices!H95-1</f>
        <v>6.7691181851443627E-3</v>
      </c>
      <c r="I95" s="5">
        <f>prices!I96/prices!I95-1</f>
        <v>4.6100316725545154E-2</v>
      </c>
      <c r="J95" s="5">
        <f>prices!J96/prices!J95-1</f>
        <v>1.6046083700421709E-2</v>
      </c>
      <c r="K95" s="8">
        <f>SUMPRODUCT(B95:I95,weights!$B$5:$I$5)</f>
        <v>1.7679111991894869E-2</v>
      </c>
      <c r="L95" s="4">
        <f t="shared" si="2"/>
        <v>106.07189142826428</v>
      </c>
      <c r="M95" s="4">
        <f>L95/MAX(L$2:L95)-1</f>
        <v>-8.1812761396302669E-3</v>
      </c>
      <c r="N95" s="4">
        <f t="shared" si="3"/>
        <v>-2.7581986273431669E-3</v>
      </c>
    </row>
    <row r="96" spans="1:14">
      <c r="A96" s="3">
        <f>prices!A97</f>
        <v>43612</v>
      </c>
      <c r="B96" s="5">
        <f>prices!B97/prices!B96-1</f>
        <v>-1.960320410991323E-2</v>
      </c>
      <c r="C96" s="5">
        <f>prices!C97/prices!C96-1</f>
        <v>3.4875249322203761E-3</v>
      </c>
      <c r="D96" s="5">
        <f>prices!D97/prices!D96-1</f>
        <v>1.4738608587793189E-2</v>
      </c>
      <c r="E96" s="5">
        <f>prices!E97/prices!E96-1</f>
        <v>-1.5494267121164418E-3</v>
      </c>
      <c r="F96" s="5">
        <f>prices!F97/prices!F96-1</f>
        <v>1.3598173959497029E-3</v>
      </c>
      <c r="G96" s="5">
        <f>prices!G97/prices!G96-1</f>
        <v>-3.4823027277784968E-3</v>
      </c>
      <c r="H96" s="5">
        <f>prices!H97/prices!H96-1</f>
        <v>-2.1546688819085169E-3</v>
      </c>
      <c r="I96" s="5">
        <f>prices!I97/prices!I96-1</f>
        <v>3.3573752356276243E-2</v>
      </c>
      <c r="J96" s="5">
        <f>prices!J97/prices!J96-1</f>
        <v>6.809297456117358E-3</v>
      </c>
      <c r="K96" s="8">
        <f>SUMPRODUCT(B96:I96,weights!$B$5:$I$5)</f>
        <v>4.5009862055180802E-3</v>
      </c>
      <c r="L96" s="4">
        <f t="shared" si="2"/>
        <v>106.5493195483761</v>
      </c>
      <c r="M96" s="4">
        <f>L96/MAX(L$2:L96)-1</f>
        <v>-3.7171137451602609E-3</v>
      </c>
      <c r="N96" s="4">
        <f t="shared" si="3"/>
        <v>1.1577145359318308E-2</v>
      </c>
    </row>
    <row r="97" spans="1:14">
      <c r="A97" s="3">
        <f>prices!A98</f>
        <v>43613</v>
      </c>
      <c r="B97" s="5">
        <f>prices!B98/prices!B97-1</f>
        <v>9.9975867893957737E-3</v>
      </c>
      <c r="C97" s="5">
        <f>prices!C98/prices!C97-1</f>
        <v>9.0515240600339553E-3</v>
      </c>
      <c r="D97" s="5">
        <f>prices!D98/prices!D97-1</f>
        <v>3.2536401222362787E-3</v>
      </c>
      <c r="E97" s="5">
        <f>prices!E98/prices!E97-1</f>
        <v>2.8243327126008744E-2</v>
      </c>
      <c r="F97" s="5">
        <f>prices!F98/prices!F97-1</f>
        <v>-6.692856103593714E-3</v>
      </c>
      <c r="G97" s="5">
        <f>prices!G98/prices!G97-1</f>
        <v>-1.9523891599692034E-3</v>
      </c>
      <c r="H97" s="5">
        <f>prices!H98/prices!H97-1</f>
        <v>-5.0731047401009199E-3</v>
      </c>
      <c r="I97" s="5">
        <f>prices!I98/prices!I97-1</f>
        <v>-1.3470692617525204E-2</v>
      </c>
      <c r="J97" s="5">
        <f>prices!J98/prices!J97-1</f>
        <v>3.3543680161018941E-4</v>
      </c>
      <c r="K97" s="8">
        <f>SUMPRODUCT(B97:I97,weights!$B$5:$I$5)</f>
        <v>3.450943473065197E-4</v>
      </c>
      <c r="L97" s="4">
        <f t="shared" si="2"/>
        <v>106.5860891162616</v>
      </c>
      <c r="M97" s="4">
        <f>L97/MAX(L$2:L97)-1</f>
        <v>-3.3733021527955209E-3</v>
      </c>
      <c r="N97" s="4">
        <f t="shared" si="3"/>
        <v>6.7734584172440826E-3</v>
      </c>
    </row>
    <row r="98" spans="1:14">
      <c r="A98" s="3">
        <f>prices!A99</f>
        <v>43614</v>
      </c>
      <c r="B98" s="5">
        <f>prices!B99/prices!B98-1</f>
        <v>-8.0895654845206666E-3</v>
      </c>
      <c r="C98" s="5">
        <f>prices!C99/prices!C98-1</f>
        <v>1.6301110527898954E-2</v>
      </c>
      <c r="D98" s="5">
        <f>prices!D99/prices!D98-1</f>
        <v>3.0459945172101044E-4</v>
      </c>
      <c r="E98" s="5">
        <f>prices!E99/prices!E98-1</f>
        <v>-4.0245497534963093E-4</v>
      </c>
      <c r="F98" s="5">
        <f>prices!F99/prices!F98-1</f>
        <v>-2.7830672330452222E-3</v>
      </c>
      <c r="G98" s="5">
        <f>prices!G99/prices!G98-1</f>
        <v>-2.3133693092291852E-2</v>
      </c>
      <c r="H98" s="5">
        <f>prices!H99/prices!H98-1</f>
        <v>2.6776142039065975E-2</v>
      </c>
      <c r="I98" s="5">
        <f>prices!I99/prices!I98-1</f>
        <v>-1.4004382615150801E-2</v>
      </c>
      <c r="J98" s="5">
        <f>prices!J99/prices!J98-1</f>
        <v>-5.6711725872367058E-3</v>
      </c>
      <c r="K98" s="8">
        <f>SUMPRODUCT(B98:I98,weights!$B$5:$I$5)</f>
        <v>-3.0597075330867536E-3</v>
      </c>
      <c r="L98" s="4">
        <f t="shared" si="2"/>
        <v>106.25996685647033</v>
      </c>
      <c r="M98" s="4">
        <f>L98/MAX(L$2:L98)-1</f>
        <v>-6.4226883678738522E-3</v>
      </c>
      <c r="N98" s="4">
        <f t="shared" si="3"/>
        <v>9.5565533955426218E-3</v>
      </c>
    </row>
    <row r="99" spans="1:14">
      <c r="A99" s="3">
        <f>prices!A100</f>
        <v>43615</v>
      </c>
      <c r="B99" s="5">
        <f>prices!B100/prices!B99-1</f>
        <v>1.2732278045423318E-2</v>
      </c>
      <c r="C99" s="5">
        <f>prices!C100/prices!C99-1</f>
        <v>1.8384081057084778E-2</v>
      </c>
      <c r="D99" s="5">
        <f>prices!D100/prices!D99-1</f>
        <v>9.3680590384752627E-3</v>
      </c>
      <c r="E99" s="5">
        <f>prices!E100/prices!E99-1</f>
        <v>7.9013588324106099E-3</v>
      </c>
      <c r="F99" s="5">
        <f>prices!F100/prices!F99-1</f>
        <v>1.9095182138659794E-3</v>
      </c>
      <c r="G99" s="5">
        <f>prices!G100/prices!G99-1</f>
        <v>-3.4465495392606016E-3</v>
      </c>
      <c r="H99" s="5">
        <f>prices!H100/prices!H99-1</f>
        <v>-2.6077877097817503E-2</v>
      </c>
      <c r="I99" s="5">
        <f>prices!I100/prices!I99-1</f>
        <v>3.9670761635188789E-3</v>
      </c>
      <c r="J99" s="5">
        <f>prices!J100/prices!J99-1</f>
        <v>7.1494212172562577E-3</v>
      </c>
      <c r="K99" s="8">
        <f>SUMPRODUCT(B99:I99,weights!$B$5:$I$5)</f>
        <v>9.3861954625721526E-4</v>
      </c>
      <c r="L99" s="4">
        <f t="shared" si="2"/>
        <v>106.35970453834646</v>
      </c>
      <c r="M99" s="4">
        <f>L99/MAX(L$2:L99)-1</f>
        <v>-5.4900972824581951E-3</v>
      </c>
      <c r="N99" s="4">
        <f t="shared" si="3"/>
        <v>1.1028769587004605E-2</v>
      </c>
    </row>
    <row r="100" spans="1:14">
      <c r="A100" s="3">
        <f>prices!A101</f>
        <v>43616</v>
      </c>
      <c r="B100" s="5">
        <f>prices!B101/prices!B100-1</f>
        <v>2.8882093102278183E-4</v>
      </c>
      <c r="C100" s="5">
        <f>prices!C101/prices!C100-1</f>
        <v>2.3414306146753994E-2</v>
      </c>
      <c r="D100" s="5">
        <f>prices!D101/prices!D100-1</f>
        <v>-5.8206597930825499E-3</v>
      </c>
      <c r="E100" s="5">
        <f>prices!E101/prices!E100-1</f>
        <v>5.7256037682462679E-3</v>
      </c>
      <c r="F100" s="5">
        <f>prices!F101/prices!F100-1</f>
        <v>-3.4989981918584712E-2</v>
      </c>
      <c r="G100" s="5">
        <f>prices!G101/prices!G100-1</f>
        <v>3.1240825950917817E-4</v>
      </c>
      <c r="H100" s="5">
        <f>prices!H101/prices!H100-1</f>
        <v>-7.0339670004968546E-3</v>
      </c>
      <c r="I100" s="5">
        <f>prices!I101/prices!I100-1</f>
        <v>-6.7779500306441864E-4</v>
      </c>
      <c r="J100" s="5">
        <f>prices!J101/prices!J100-1</f>
        <v>-1.9337178446161563E-3</v>
      </c>
      <c r="K100" s="8">
        <f>SUMPRODUCT(B100:I100,weights!$B$5:$I$5)</f>
        <v>-1.9146817445044816E-3</v>
      </c>
      <c r="L100" s="4">
        <f t="shared" si="2"/>
        <v>106.15605955371601</v>
      </c>
      <c r="M100" s="4">
        <f>L100/MAX(L$2:L100)-1</f>
        <v>-7.39426723792036E-3</v>
      </c>
      <c r="N100" s="4">
        <f t="shared" si="3"/>
        <v>1.0896816030603551E-2</v>
      </c>
    </row>
    <row r="101" spans="1:14">
      <c r="A101" s="3">
        <f>prices!A102</f>
        <v>43619</v>
      </c>
      <c r="B101" s="5">
        <f>prices!B102/prices!B101-1</f>
        <v>2.260645073628087E-2</v>
      </c>
      <c r="C101" s="5">
        <f>prices!C102/prices!C101-1</f>
        <v>2.0829621380846319E-2</v>
      </c>
      <c r="D101" s="5">
        <f>prices!D102/prices!D101-1</f>
        <v>1.3083911964728578E-2</v>
      </c>
      <c r="E101" s="5">
        <f>prices!E102/prices!E101-1</f>
        <v>9.3504344228381164E-3</v>
      </c>
      <c r="F101" s="5">
        <f>prices!F102/prices!F101-1</f>
        <v>0</v>
      </c>
      <c r="G101" s="5">
        <f>prices!G102/prices!G101-1</f>
        <v>2.2279208896617275E-2</v>
      </c>
      <c r="H101" s="5">
        <f>prices!H102/prices!H101-1</f>
        <v>1.6958971928161315E-2</v>
      </c>
      <c r="I101" s="5">
        <f>prices!I102/prices!I101-1</f>
        <v>1.1905534991447642E-3</v>
      </c>
      <c r="J101" s="5">
        <f>prices!J102/prices!J101-1</f>
        <v>1.3901935786895692E-2</v>
      </c>
      <c r="K101" s="8">
        <f>SUMPRODUCT(B101:I101,weights!$B$5:$I$5)</f>
        <v>1.3594453848322889E-2</v>
      </c>
      <c r="L101" s="4">
        <f t="shared" si="2"/>
        <v>107.59919320603881</v>
      </c>
      <c r="M101" s="4">
        <f>L101/MAX(L$2:L101)-1</f>
        <v>0</v>
      </c>
      <c r="N101" s="4">
        <f t="shared" si="3"/>
        <v>2.8561974756079467E-2</v>
      </c>
    </row>
    <row r="102" spans="1:14">
      <c r="A102" s="3">
        <f>prices!A103</f>
        <v>43620</v>
      </c>
      <c r="B102" s="5">
        <f>prices!B103/prices!B102-1</f>
        <v>-6.2948445389318097E-3</v>
      </c>
      <c r="C102" s="5">
        <f>prices!C103/prices!C102-1</f>
        <v>-1.8522861771235077E-2</v>
      </c>
      <c r="D102" s="5">
        <f>prices!D103/prices!D102-1</f>
        <v>-1.9557403622523228E-3</v>
      </c>
      <c r="E102" s="5">
        <f>prices!E103/prices!E102-1</f>
        <v>-1.2559435973110267E-2</v>
      </c>
      <c r="F102" s="5">
        <f>prices!F103/prices!F102-1</f>
        <v>2.5320301817997048E-3</v>
      </c>
      <c r="G102" s="5">
        <f>prices!G103/prices!G102-1</f>
        <v>4.1143292261685005E-3</v>
      </c>
      <c r="H102" s="5">
        <f>prices!H103/prices!H102-1</f>
        <v>-1.3542907452483322E-2</v>
      </c>
      <c r="I102" s="5">
        <f>prices!I103/prices!I102-1</f>
        <v>6.6663783908442742E-3</v>
      </c>
      <c r="J102" s="5">
        <f>prices!J103/prices!J102-1</f>
        <v>-5.5341624926066313E-3</v>
      </c>
      <c r="K102" s="8">
        <f>SUMPRODUCT(B102:I102,weights!$B$5:$I$5)</f>
        <v>-3.3552408621460974E-3</v>
      </c>
      <c r="L102" s="4">
        <f t="shared" si="2"/>
        <v>107.23817199625995</v>
      </c>
      <c r="M102" s="4">
        <f>L102/MAX(L$2:L102)-1</f>
        <v>-3.3552408621461138E-3</v>
      </c>
      <c r="N102" s="4">
        <f t="shared" si="3"/>
        <v>2.9998138329348834E-2</v>
      </c>
    </row>
    <row r="103" spans="1:14">
      <c r="A103" s="3">
        <f>prices!A104</f>
        <v>43622</v>
      </c>
      <c r="B103" s="5">
        <f>prices!B104/prices!B103-1</f>
        <v>-1.7984589413160834E-2</v>
      </c>
      <c r="C103" s="5">
        <f>prices!C104/prices!C103-1</f>
        <v>-7.785712300980796E-3</v>
      </c>
      <c r="D103" s="5">
        <f>prices!D104/prices!D103-1</f>
        <v>-1.1792744284579548E-2</v>
      </c>
      <c r="E103" s="5">
        <f>prices!E104/prices!E103-1</f>
        <v>4.1511689691819953E-4</v>
      </c>
      <c r="F103" s="5">
        <f>prices!F104/prices!F103-1</f>
        <v>-1.2527150578370394E-2</v>
      </c>
      <c r="G103" s="5">
        <f>prices!G104/prices!G103-1</f>
        <v>-8.947164030321253E-3</v>
      </c>
      <c r="H103" s="5">
        <f>prices!H104/prices!H103-1</f>
        <v>-1.703635647722801E-2</v>
      </c>
      <c r="I103" s="5">
        <f>prices!I104/prices!I103-1</f>
        <v>-3.4335378469512734E-2</v>
      </c>
      <c r="J103" s="5">
        <f>prices!J104/prices!J103-1</f>
        <v>-1.479830139789462E-2</v>
      </c>
      <c r="K103" s="8">
        <f>SUMPRODUCT(B103:I103,weights!$B$5:$I$5)</f>
        <v>-1.5934270717584582E-2</v>
      </c>
      <c r="L103" s="4">
        <f t="shared" si="2"/>
        <v>105.52940993241265</v>
      </c>
      <c r="M103" s="4">
        <f>L103/MAX(L$2:L103)-1</f>
        <v>-1.9236048263510552E-2</v>
      </c>
      <c r="N103" s="4">
        <f t="shared" si="3"/>
        <v>2.4887816287357367E-2</v>
      </c>
    </row>
    <row r="104" spans="1:14">
      <c r="A104" s="3">
        <f>prices!A105</f>
        <v>43623</v>
      </c>
      <c r="B104" s="5">
        <f>prices!B105/prices!B104-1</f>
        <v>-9.3782445151736615E-3</v>
      </c>
      <c r="C104" s="5">
        <f>prices!C105/prices!C104-1</f>
        <v>7.2195089165694171E-3</v>
      </c>
      <c r="D104" s="5">
        <f>prices!D105/prices!D104-1</f>
        <v>1.0021973310466725E-2</v>
      </c>
      <c r="E104" s="5">
        <f>prices!E105/prices!E104-1</f>
        <v>4.7469667546349292E-3</v>
      </c>
      <c r="F104" s="5">
        <f>prices!F105/prices!F104-1</f>
        <v>-1.8415264207888304E-3</v>
      </c>
      <c r="G104" s="5">
        <f>prices!G105/prices!G104-1</f>
        <v>-5.7882476357971058E-3</v>
      </c>
      <c r="H104" s="5">
        <f>prices!H105/prices!H104-1</f>
        <v>-1.212412540725305E-2</v>
      </c>
      <c r="I104" s="5">
        <f>prices!I105/prices!I104-1</f>
        <v>-1.3492975497645388E-3</v>
      </c>
      <c r="J104" s="5">
        <f>prices!J105/prices!J104-1</f>
        <v>2.271240105540917E-3</v>
      </c>
      <c r="K104" s="8">
        <f>SUMPRODUCT(B104:I104,weights!$B$5:$I$5)</f>
        <v>-2.7860530732784043E-3</v>
      </c>
      <c r="L104" s="4">
        <f t="shared" si="2"/>
        <v>105.23539939554919</v>
      </c>
      <c r="M104" s="4">
        <f>L104/MAX(L$2:L104)-1</f>
        <v>-2.1968508685406674E-2</v>
      </c>
      <c r="N104" s="4">
        <f t="shared" si="3"/>
        <v>2.7364900440002504E-2</v>
      </c>
    </row>
    <row r="105" spans="1:14">
      <c r="A105" s="3">
        <f>prices!A106</f>
        <v>43626</v>
      </c>
      <c r="B105" s="5">
        <f>prices!B106/prices!B105-1</f>
        <v>3.2473110889659207E-3</v>
      </c>
      <c r="C105" s="5">
        <f>prices!C106/prices!C105-1</f>
        <v>2.2804490833161939E-2</v>
      </c>
      <c r="D105" s="5">
        <f>prices!D106/prices!D105-1</f>
        <v>-3.0422017050479866E-3</v>
      </c>
      <c r="E105" s="5">
        <f>prices!E106/prices!E105-1</f>
        <v>1.9492855372924778E-2</v>
      </c>
      <c r="F105" s="5">
        <f>prices!F106/prices!F105-1</f>
        <v>1.5118126377287044E-2</v>
      </c>
      <c r="G105" s="5">
        <f>prices!G106/prices!G105-1</f>
        <v>3.1235549872916657E-3</v>
      </c>
      <c r="H105" s="5">
        <f>prices!H106/prices!H105-1</f>
        <v>7.0285467128026191E-3</v>
      </c>
      <c r="I105" s="5">
        <f>prices!I106/prices!I105-1</f>
        <v>1.205615316659614E-2</v>
      </c>
      <c r="J105" s="5">
        <f>prices!J106/prices!J105-1</f>
        <v>4.3847641030609896E-3</v>
      </c>
      <c r="K105" s="8">
        <f>SUMPRODUCT(B105:I105,weights!$B$5:$I$5)</f>
        <v>9.1476168914274777E-3</v>
      </c>
      <c r="L105" s="4">
        <f t="shared" si="2"/>
        <v>106.19805251263604</v>
      </c>
      <c r="M105" s="4">
        <f>L105/MAX(L$2:L105)-1</f>
        <v>-1.3021851295109244E-2</v>
      </c>
      <c r="N105" s="4">
        <f t="shared" si="3"/>
        <v>4.0313172613093418E-2</v>
      </c>
    </row>
    <row r="106" spans="1:14">
      <c r="A106" s="3">
        <f>prices!A107</f>
        <v>43627</v>
      </c>
      <c r="B106" s="5">
        <f>prices!B107/prices!B106-1</f>
        <v>7.569659707831855E-3</v>
      </c>
      <c r="C106" s="5">
        <f>prices!C107/prices!C106-1</f>
        <v>9.5469026933574508E-3</v>
      </c>
      <c r="D106" s="5">
        <f>prices!D107/prices!D106-1</f>
        <v>3.3530851932015437E-3</v>
      </c>
      <c r="E106" s="5">
        <f>prices!E107/prices!E106-1</f>
        <v>1.8472008425827191E-3</v>
      </c>
      <c r="F106" s="5">
        <f>prices!F107/prices!F106-1</f>
        <v>1.5650242326330499E-3</v>
      </c>
      <c r="G106" s="5">
        <f>prices!G107/prices!G106-1</f>
        <v>1.1972694830857389E-3</v>
      </c>
      <c r="H106" s="5">
        <f>prices!H107/prices!H106-1</f>
        <v>-3.0092344035219543E-2</v>
      </c>
      <c r="I106" s="5">
        <f>prices!I107/prices!I106-1</f>
        <v>-5.0907010350114135E-3</v>
      </c>
      <c r="J106" s="5">
        <f>prices!J107/prices!J106-1</f>
        <v>3.5981782649903149E-3</v>
      </c>
      <c r="K106" s="8">
        <f>SUMPRODUCT(B106:I106,weights!$B$5:$I$5)</f>
        <v>-2.970613028695464E-3</v>
      </c>
      <c r="L106" s="4">
        <f t="shared" si="2"/>
        <v>105.88257919421991</v>
      </c>
      <c r="M106" s="4">
        <f>L106/MAX(L$2:L106)-1</f>
        <v>-1.5953781442689774E-2</v>
      </c>
      <c r="N106" s="4">
        <f t="shared" si="3"/>
        <v>6.5243436930837895E-2</v>
      </c>
    </row>
    <row r="107" spans="1:14">
      <c r="A107" s="3">
        <f>prices!A108</f>
        <v>43628</v>
      </c>
      <c r="B107" s="5">
        <f>prices!B108/prices!B107-1</f>
        <v>2.2606360375978518E-3</v>
      </c>
      <c r="C107" s="5">
        <f>prices!C108/prices!C107-1</f>
        <v>3.5920081856857244E-3</v>
      </c>
      <c r="D107" s="5">
        <f>prices!D108/prices!D107-1</f>
        <v>-8.7171779683492545E-3</v>
      </c>
      <c r="E107" s="5">
        <f>prices!E108/prices!E107-1</f>
        <v>-1.4556276181080241E-3</v>
      </c>
      <c r="F107" s="5">
        <f>prices!F108/prices!F107-1</f>
        <v>4.0324613135744869E-4</v>
      </c>
      <c r="G107" s="5">
        <f>prices!G108/prices!G107-1</f>
        <v>-1.8098247186150496E-2</v>
      </c>
      <c r="H107" s="5">
        <f>prices!H108/prices!H107-1</f>
        <v>3.7087265782844714E-3</v>
      </c>
      <c r="I107" s="5">
        <f>prices!I108/prices!I107-1</f>
        <v>-9.8796015718887187E-3</v>
      </c>
      <c r="J107" s="5">
        <f>prices!J108/prices!J107-1</f>
        <v>-4.9642307949454567E-3</v>
      </c>
      <c r="K107" s="8">
        <f>SUMPRODUCT(B107:I107,weights!$B$5:$I$5)</f>
        <v>-5.0394606854857645E-3</v>
      </c>
      <c r="L107" s="4">
        <f t="shared" si="2"/>
        <v>105.34898809909281</v>
      </c>
      <c r="M107" s="4">
        <f>L107/MAX(L$2:L107)-1</f>
        <v>-2.09128436738103E-2</v>
      </c>
      <c r="N107" s="4">
        <f t="shared" si="3"/>
        <v>4.432612761973731E-2</v>
      </c>
    </row>
    <row r="108" spans="1:14">
      <c r="A108" s="3">
        <f>prices!A109</f>
        <v>43629</v>
      </c>
      <c r="B108" s="5">
        <f>prices!B109/prices!B108-1</f>
        <v>-3.6800868296984479E-3</v>
      </c>
      <c r="C108" s="5">
        <f>prices!C109/prices!C108-1</f>
        <v>-3.0049850555653457E-3</v>
      </c>
      <c r="D108" s="5">
        <f>prices!D109/prices!D108-1</f>
        <v>7.277656879883132E-3</v>
      </c>
      <c r="E108" s="5">
        <f>prices!E109/prices!E108-1</f>
        <v>-8.7464973517548117E-4</v>
      </c>
      <c r="F108" s="5">
        <f>prices!F109/prices!F108-1</f>
        <v>2.3177306393913355E-3</v>
      </c>
      <c r="G108" s="5">
        <f>prices!G109/prices!G108-1</f>
        <v>-9.8217081464161415E-3</v>
      </c>
      <c r="H108" s="5">
        <f>prices!H109/prices!H108-1</f>
        <v>-4.2189438852887617E-3</v>
      </c>
      <c r="I108" s="5">
        <f>prices!I109/prices!I108-1</f>
        <v>5.5028929281495387E-3</v>
      </c>
      <c r="J108" s="5">
        <f>prices!J109/prices!J108-1</f>
        <v>6.5932035410121159E-4</v>
      </c>
      <c r="K108" s="8">
        <f>SUMPRODUCT(B108:I108,weights!$B$5:$I$5)</f>
        <v>-1.5329206936020477E-3</v>
      </c>
      <c r="L108" s="4">
        <f t="shared" si="2"/>
        <v>105.18749645518568</v>
      </c>
      <c r="M108" s="4">
        <f>L108/MAX(L$2:L108)-1</f>
        <v>-2.2413706636582598E-2</v>
      </c>
      <c r="N108" s="4">
        <f t="shared" si="3"/>
        <v>5.061440587406385E-2</v>
      </c>
    </row>
    <row r="109" spans="1:14">
      <c r="A109" s="3">
        <f>prices!A110</f>
        <v>43630</v>
      </c>
      <c r="B109" s="5">
        <f>prices!B110/prices!B109-1</f>
        <v>-7.3022519532246477E-3</v>
      </c>
      <c r="C109" s="5">
        <f>prices!C110/prices!C109-1</f>
        <v>1.7761320150477822E-4</v>
      </c>
      <c r="D109" s="5">
        <f>prices!D110/prices!D109-1</f>
        <v>-3.9312909509474636E-3</v>
      </c>
      <c r="E109" s="5">
        <f>prices!E110/prices!E109-1</f>
        <v>-2.9504741833509263E-3</v>
      </c>
      <c r="F109" s="5">
        <f>prices!F110/prices!F109-1</f>
        <v>-9.0986779269089935E-3</v>
      </c>
      <c r="G109" s="5">
        <f>prices!G110/prices!G109-1</f>
        <v>-5.4982686810035597E-3</v>
      </c>
      <c r="H109" s="5">
        <f>prices!H110/prices!H109-1</f>
        <v>7.1721311475410054E-3</v>
      </c>
      <c r="I109" s="5">
        <f>prices!I110/prices!I109-1</f>
        <v>5.7690029030155188E-3</v>
      </c>
      <c r="J109" s="5">
        <f>prices!J110/prices!J109-1</f>
        <v>-7.6170571719944569E-3</v>
      </c>
      <c r="K109" s="8">
        <f>SUMPRODUCT(B109:I109,weights!$B$5:$I$5)</f>
        <v>-1.0675827632015268E-3</v>
      </c>
      <c r="L109" s="4">
        <f t="shared" si="2"/>
        <v>105.0752000970658</v>
      </c>
      <c r="M109" s="4">
        <f>L109/MAX(L$2:L109)-1</f>
        <v>-2.3457360912919389E-2</v>
      </c>
      <c r="N109" s="4">
        <f t="shared" si="3"/>
        <v>4.3441437494971424E-2</v>
      </c>
    </row>
    <row r="110" spans="1:14">
      <c r="A110" s="3">
        <f>prices!A111</f>
        <v>43633</v>
      </c>
      <c r="B110" s="5">
        <f>prices!B111/prices!B110-1</f>
        <v>-2.6766117969821646E-2</v>
      </c>
      <c r="C110" s="5">
        <f>prices!C111/prices!C110-1</f>
        <v>-2.35161168810194E-3</v>
      </c>
      <c r="D110" s="5">
        <f>prices!D111/prices!D110-1</f>
        <v>-5.3868581994025444E-3</v>
      </c>
      <c r="E110" s="5">
        <f>prices!E111/prices!E110-1</f>
        <v>1.3007495569339333E-4</v>
      </c>
      <c r="F110" s="5">
        <f>prices!F111/prices!F110-1</f>
        <v>-1.0957792207792139E-2</v>
      </c>
      <c r="G110" s="5">
        <f>prices!G111/prices!G110-1</f>
        <v>-2.4565815901787857E-2</v>
      </c>
      <c r="H110" s="5">
        <f>prices!H111/prices!H110-1</f>
        <v>-2.4580022545434566E-2</v>
      </c>
      <c r="I110" s="5">
        <f>prices!I111/prices!I110-1</f>
        <v>-1.8054502212633716E-2</v>
      </c>
      <c r="J110" s="5">
        <f>prices!J111/prices!J110-1</f>
        <v>-1.2784078895063056E-2</v>
      </c>
      <c r="K110" s="8">
        <f>SUMPRODUCT(B110:I110,weights!$B$5:$I$5)</f>
        <v>-1.6958232788177419E-2</v>
      </c>
      <c r="L110" s="4">
        <f t="shared" si="2"/>
        <v>103.29331039355544</v>
      </c>
      <c r="M110" s="4">
        <f>L110/MAX(L$2:L110)-1</f>
        <v>-4.0017798314139208E-2</v>
      </c>
      <c r="N110" s="4">
        <f t="shared" si="3"/>
        <v>1.4200505936671437E-2</v>
      </c>
    </row>
    <row r="111" spans="1:14">
      <c r="A111" s="3">
        <f>prices!A112</f>
        <v>43634</v>
      </c>
      <c r="B111" s="5">
        <f>prices!B112/prices!B111-1</f>
        <v>-1.0042460226572514E-3</v>
      </c>
      <c r="C111" s="5">
        <f>prices!C112/prices!C111-1</f>
        <v>7.3357678013730165E-4</v>
      </c>
      <c r="D111" s="5">
        <f>prices!D112/prices!D111-1</f>
        <v>-1.9483421217267871E-3</v>
      </c>
      <c r="E111" s="5">
        <f>prices!E112/prices!E111-1</f>
        <v>1.2957032075563868E-2</v>
      </c>
      <c r="F111" s="5">
        <f>prices!F112/prices!F111-1</f>
        <v>3.5904800984809526E-4</v>
      </c>
      <c r="G111" s="5">
        <f>prices!G112/prices!G111-1</f>
        <v>-2.167399726433572E-2</v>
      </c>
      <c r="H111" s="5">
        <f>prices!H112/prices!H111-1</f>
        <v>-1.1613157820559827E-2</v>
      </c>
      <c r="I111" s="5">
        <f>prices!I112/prices!I111-1</f>
        <v>4.3716584557473848E-3</v>
      </c>
      <c r="J111" s="5">
        <f>prices!J112/prices!J111-1</f>
        <v>1.657792266206437E-3</v>
      </c>
      <c r="K111" s="8">
        <f>SUMPRODUCT(B111:I111,weights!$B$5:$I$5)</f>
        <v>-4.1834177995293213E-3</v>
      </c>
      <c r="L111" s="4">
        <f t="shared" si="2"/>
        <v>102.86119132028273</v>
      </c>
      <c r="M111" s="4">
        <f>L111/MAX(L$2:L111)-1</f>
        <v>-4.4033804943903299E-2</v>
      </c>
      <c r="N111" s="4">
        <f t="shared" si="3"/>
        <v>-2.6094514365817778E-2</v>
      </c>
    </row>
    <row r="112" spans="1:14">
      <c r="A112" s="3">
        <f>prices!A113</f>
        <v>43635</v>
      </c>
      <c r="B112" s="5">
        <f>prices!B113/prices!B112-1</f>
        <v>-2.857042079644434E-3</v>
      </c>
      <c r="C112" s="5">
        <f>prices!C113/prices!C112-1</f>
        <v>4.0209347325754763E-3</v>
      </c>
      <c r="D112" s="5">
        <f>prices!D113/prices!D112-1</f>
        <v>4.584855648685382E-3</v>
      </c>
      <c r="E112" s="5">
        <f>prices!E113/prices!E112-1</f>
        <v>2.3431983051933614E-3</v>
      </c>
      <c r="F112" s="5">
        <f>prices!F113/prices!F112-1</f>
        <v>7.6398502794441381E-3</v>
      </c>
      <c r="G112" s="5">
        <f>prices!G113/prices!G112-1</f>
        <v>-2.2286445286859857E-3</v>
      </c>
      <c r="H112" s="5">
        <f>prices!H113/prices!H112-1</f>
        <v>-8.5840581776700509E-3</v>
      </c>
      <c r="I112" s="5">
        <f>prices!I113/prices!I112-1</f>
        <v>-9.7056935091432983E-5</v>
      </c>
      <c r="J112" s="5">
        <f>prices!J113/prices!J112-1</f>
        <v>-4.2766112131609191E-6</v>
      </c>
      <c r="K112" s="8">
        <f>SUMPRODUCT(B112:I112,weights!$B$5:$I$5)</f>
        <v>-5.7944548220202044E-4</v>
      </c>
      <c r="L112" s="4">
        <f t="shared" si="2"/>
        <v>102.80158886767828</v>
      </c>
      <c r="M112" s="4">
        <f>L112/MAX(L$2:L112)-1</f>
        <v>-4.4587735236766401E-2</v>
      </c>
      <c r="N112" s="4">
        <f t="shared" si="3"/>
        <v>-1.6300011024551253E-2</v>
      </c>
    </row>
    <row r="113" spans="1:14">
      <c r="A113" s="3">
        <f>prices!A114</f>
        <v>43636</v>
      </c>
      <c r="B113" s="5">
        <f>prices!B114/prices!B113-1</f>
        <v>1.5192783869826698E-2</v>
      </c>
      <c r="C113" s="5">
        <f>prices!C114/prices!C113-1</f>
        <v>7.9881895047644313E-3</v>
      </c>
      <c r="D113" s="5">
        <f>prices!D114/prices!D113-1</f>
        <v>5.3840119803181263E-3</v>
      </c>
      <c r="E113" s="5">
        <f>prices!E114/prices!E113-1</f>
        <v>3.986934383706453E-3</v>
      </c>
      <c r="F113" s="5">
        <f>prices!F114/prices!F113-1</f>
        <v>-7.6328109098311447E-4</v>
      </c>
      <c r="G113" s="5">
        <f>prices!G114/prices!G113-1</f>
        <v>2.9901341348194999E-2</v>
      </c>
      <c r="H113" s="5">
        <f>prices!H114/prices!H113-1</f>
        <v>4.0789322287423824E-2</v>
      </c>
      <c r="I113" s="5">
        <f>prices!I114/prices!I113-1</f>
        <v>3.4510822898700111E-2</v>
      </c>
      <c r="J113" s="5">
        <f>prices!J114/prices!J113-1</f>
        <v>1.2000222384733972E-2</v>
      </c>
      <c r="K113" s="8">
        <f>SUMPRODUCT(B113:I113,weights!$B$5:$I$5)</f>
        <v>2.2072333833485201E-2</v>
      </c>
      <c r="L113" s="4">
        <f t="shared" si="2"/>
        <v>105.07065985577836</v>
      </c>
      <c r="M113" s="4">
        <f>L113/MAX(L$2:L113)-1</f>
        <v>-2.3499556780306241E-2</v>
      </c>
      <c r="N113" s="4">
        <f t="shared" si="3"/>
        <v>-4.1772123589567389E-4</v>
      </c>
    </row>
    <row r="114" spans="1:14">
      <c r="A114" s="3">
        <f>prices!A115</f>
        <v>43637</v>
      </c>
      <c r="B114" s="5">
        <f>prices!B115/prices!B114-1</f>
        <v>-1.3310336417010737E-2</v>
      </c>
      <c r="C114" s="5">
        <f>prices!C115/prices!C114-1</f>
        <v>-1.2334698529529287E-2</v>
      </c>
      <c r="D114" s="5">
        <f>prices!D115/prices!D114-1</f>
        <v>-5.0005319714864216E-3</v>
      </c>
      <c r="E114" s="5">
        <f>prices!E115/prices!E114-1</f>
        <v>-6.2357462960304089E-3</v>
      </c>
      <c r="F114" s="5">
        <f>prices!F115/prices!F114-1</f>
        <v>-9.9302337424250764E-3</v>
      </c>
      <c r="G114" s="5">
        <f>prices!G115/prices!G114-1</f>
        <v>-3.0150999411775237E-2</v>
      </c>
      <c r="H114" s="5">
        <f>prices!H115/prices!H114-1</f>
        <v>-1.9733569178044252E-2</v>
      </c>
      <c r="I114" s="5">
        <f>prices!I115/prices!I114-1</f>
        <v>-1.114391090645328E-2</v>
      </c>
      <c r="J114" s="5">
        <f>prices!J115/prices!J114-1</f>
        <v>-9.098400490206382E-3</v>
      </c>
      <c r="K114" s="8">
        <f>SUMPRODUCT(B114:I114,weights!$B$5:$I$5)</f>
        <v>-1.5540101307546045E-2</v>
      </c>
      <c r="L114" s="4">
        <f t="shared" si="2"/>
        <v>103.43785115716885</v>
      </c>
      <c r="M114" s="4">
        <f>L114/MAX(L$2:L114)-1</f>
        <v>-3.8674472594803833E-2</v>
      </c>
      <c r="N114" s="4">
        <f t="shared" si="3"/>
        <v>-7.5925007600297079E-3</v>
      </c>
    </row>
    <row r="115" spans="1:14">
      <c r="A115" s="3">
        <f>prices!A116</f>
        <v>43640</v>
      </c>
      <c r="B115" s="5">
        <f>prices!B116/prices!B115-1</f>
        <v>-1.3348636002472047E-2</v>
      </c>
      <c r="C115" s="5">
        <f>prices!C116/prices!C115-1</f>
        <v>1.139948341035435E-2</v>
      </c>
      <c r="D115" s="5">
        <f>prices!D116/prices!D115-1</f>
        <v>1.5504704875961561E-3</v>
      </c>
      <c r="E115" s="5">
        <f>prices!E116/prices!E115-1</f>
        <v>-6.258826550263108E-3</v>
      </c>
      <c r="F115" s="5">
        <f>prices!F116/prices!F115-1</f>
        <v>7.3037753317559684E-3</v>
      </c>
      <c r="G115" s="5">
        <f>prices!G116/prices!G115-1</f>
        <v>6.6464272093573751E-3</v>
      </c>
      <c r="H115" s="5">
        <f>prices!H116/prices!H115-1</f>
        <v>1.6916657268521984E-3</v>
      </c>
      <c r="I115" s="5">
        <f>prices!I116/prices!I115-1</f>
        <v>8.1747647930408007E-4</v>
      </c>
      <c r="J115" s="5">
        <f>prices!J116/prices!J115-1</f>
        <v>-2.0854479235080658E-3</v>
      </c>
      <c r="K115" s="8">
        <f>SUMPRODUCT(B115:I115,weights!$B$5:$I$5)</f>
        <v>1.205173455470026E-3</v>
      </c>
      <c r="L115" s="4">
        <f t="shared" si="2"/>
        <v>103.56251170967434</v>
      </c>
      <c r="M115" s="4">
        <f>L115/MAX(L$2:L115)-1</f>
        <v>-3.7515908587109292E-2</v>
      </c>
      <c r="N115" s="4">
        <f t="shared" si="3"/>
        <v>-2.3657348660432009E-2</v>
      </c>
    </row>
    <row r="116" spans="1:14">
      <c r="A116" s="3">
        <f>prices!A117</f>
        <v>43641</v>
      </c>
      <c r="B116" s="5">
        <f>prices!B117/prices!B116-1</f>
        <v>2.6485799674296429E-2</v>
      </c>
      <c r="C116" s="5">
        <f>prices!C117/prices!C116-1</f>
        <v>-3.3855652294453309E-3</v>
      </c>
      <c r="D116" s="5">
        <f>prices!D117/prices!D116-1</f>
        <v>4.448477730920386E-3</v>
      </c>
      <c r="E116" s="5">
        <f>prices!E117/prices!E116-1</f>
        <v>3.4882594231451236E-3</v>
      </c>
      <c r="F116" s="5">
        <f>prices!F117/prices!F116-1</f>
        <v>8.1699346405228468E-3</v>
      </c>
      <c r="G116" s="5">
        <f>prices!G117/prices!G116-1</f>
        <v>9.6901844740078236E-3</v>
      </c>
      <c r="H116" s="5">
        <f>prices!H117/prices!H116-1</f>
        <v>5.9952713352851017E-3</v>
      </c>
      <c r="I116" s="5">
        <f>prices!I117/prices!I116-1</f>
        <v>-3.8944274681117497E-3</v>
      </c>
      <c r="J116" s="5">
        <f>prices!J117/prices!J116-1</f>
        <v>8.2737517788995518E-3</v>
      </c>
      <c r="K116" s="8">
        <f>SUMPRODUCT(B116:I116,weights!$B$5:$I$5)</f>
        <v>6.4043159992186504E-3</v>
      </c>
      <c r="L116" s="4">
        <f t="shared" si="2"/>
        <v>104.22575876033588</v>
      </c>
      <c r="M116" s="4">
        <f>L116/MAX(L$2:L116)-1</f>
        <v>-3.1351856321480298E-2</v>
      </c>
      <c r="N116" s="4">
        <f t="shared" si="3"/>
        <v>-2.1807373316779066E-2</v>
      </c>
    </row>
    <row r="117" spans="1:14">
      <c r="A117" s="3">
        <f>prices!A118</f>
        <v>43642</v>
      </c>
      <c r="B117" s="5">
        <f>prices!B118/prices!B117-1</f>
        <v>-1.3075541763279963E-3</v>
      </c>
      <c r="C117" s="5">
        <f>prices!C118/prices!C117-1</f>
        <v>-5.9970255609171907E-3</v>
      </c>
      <c r="D117" s="5">
        <f>prices!D118/prices!D117-1</f>
        <v>1.6138461265921444E-2</v>
      </c>
      <c r="E117" s="5">
        <f>prices!E118/prices!E117-1</f>
        <v>-1.189288358170526E-2</v>
      </c>
      <c r="F117" s="5">
        <f>prices!F118/prices!F117-1</f>
        <v>-3.9505672609400078E-3</v>
      </c>
      <c r="G117" s="5">
        <f>prices!G118/prices!G117-1</f>
        <v>-6.4697529956079247E-3</v>
      </c>
      <c r="H117" s="5">
        <f>prices!H118/prices!H117-1</f>
        <v>3.5533421001091137E-2</v>
      </c>
      <c r="I117" s="5">
        <f>prices!I118/prices!I117-1</f>
        <v>1.0550206830911124E-2</v>
      </c>
      <c r="J117" s="5">
        <f>prices!J118/prices!J117-1</f>
        <v>4.331811689109788E-3</v>
      </c>
      <c r="K117" s="8">
        <f>SUMPRODUCT(B117:I117,weights!$B$5:$I$5)</f>
        <v>5.3488591799552721E-3</v>
      </c>
      <c r="L117" s="4">
        <f t="shared" si="2"/>
        <v>104.7832476668689</v>
      </c>
      <c r="M117" s="4">
        <f>L117/MAX(L$2:L117)-1</f>
        <v>-2.6170693806018774E-2</v>
      </c>
      <c r="N117" s="4">
        <f t="shared" si="3"/>
        <v>-1.6914415983742548E-2</v>
      </c>
    </row>
    <row r="118" spans="1:14">
      <c r="A118" s="3">
        <f>prices!A119</f>
        <v>43643</v>
      </c>
      <c r="B118" s="5">
        <f>prices!B119/prices!B118-1</f>
        <v>-1.5449340129879197E-2</v>
      </c>
      <c r="C118" s="5">
        <f>prices!C119/prices!C118-1</f>
        <v>-7.3195016280502845E-4</v>
      </c>
      <c r="D118" s="5">
        <f>prices!D119/prices!D118-1</f>
        <v>-2.2663877266388965E-3</v>
      </c>
      <c r="E118" s="5">
        <f>prices!E119/prices!E118-1</f>
        <v>-1.1710288441179939E-2</v>
      </c>
      <c r="F118" s="5">
        <f>prices!F119/prices!F118-1</f>
        <v>-1.4085223227906063E-2</v>
      </c>
      <c r="G118" s="5">
        <f>prices!G119/prices!G118-1</f>
        <v>9.8826230544624138E-4</v>
      </c>
      <c r="H118" s="5">
        <f>prices!H119/prices!H118-1</f>
        <v>8.3758882494393561E-3</v>
      </c>
      <c r="I118" s="5">
        <f>prices!I119/prices!I118-1</f>
        <v>-1.9561531885292638E-4</v>
      </c>
      <c r="J118" s="5">
        <f>prices!J119/prices!J118-1</f>
        <v>-5.0643381965043144E-4</v>
      </c>
      <c r="K118" s="8">
        <f>SUMPRODUCT(B118:I118,weights!$B$5:$I$5)</f>
        <v>-2.9526810067022381E-3</v>
      </c>
      <c r="L118" s="4">
        <f t="shared" si="2"/>
        <v>104.47385616166237</v>
      </c>
      <c r="M118" s="4">
        <f>L118/MAX(L$2:L118)-1</f>
        <v>-2.9046101102187749E-2</v>
      </c>
      <c r="N118" s="4">
        <f t="shared" si="3"/>
        <v>-1.6808876829601638E-2</v>
      </c>
    </row>
    <row r="119" spans="1:14">
      <c r="A119" s="3">
        <f>prices!A120</f>
        <v>43644</v>
      </c>
      <c r="B119" s="5">
        <f>prices!B120/prices!B119-1</f>
        <v>-1.6525115693540759E-2</v>
      </c>
      <c r="C119" s="5">
        <f>prices!C120/prices!C119-1</f>
        <v>-1.1251205101551753E-2</v>
      </c>
      <c r="D119" s="5">
        <f>prices!D120/prices!D119-1</f>
        <v>-7.5310152018170928E-3</v>
      </c>
      <c r="E119" s="5">
        <f>prices!E120/prices!E119-1</f>
        <v>1.9940672379696878E-3</v>
      </c>
      <c r="F119" s="5">
        <f>prices!F120/prices!F119-1</f>
        <v>1.2893908917428476E-3</v>
      </c>
      <c r="G119" s="5">
        <f>prices!G120/prices!G119-1</f>
        <v>7.3913527654829725E-3</v>
      </c>
      <c r="H119" s="5">
        <f>prices!H120/prices!H119-1</f>
        <v>-4.5818707966024386E-3</v>
      </c>
      <c r="I119" s="5">
        <f>prices!I120/prices!I119-1</f>
        <v>1.4855180110000532E-3</v>
      </c>
      <c r="J119" s="5">
        <f>prices!J120/prices!J119-1</f>
        <v>-4.4504308979820273E-3</v>
      </c>
      <c r="K119" s="8">
        <f>SUMPRODUCT(B119:I119,weights!$B$5:$I$5)</f>
        <v>-2.3359357697271595E-3</v>
      </c>
      <c r="L119" s="4">
        <f t="shared" si="2"/>
        <v>104.22981194405301</v>
      </c>
      <c r="M119" s="4">
        <f>L119/MAX(L$2:L119)-1</f>
        <v>-3.1314187045379249E-2</v>
      </c>
      <c r="N119" s="4">
        <f t="shared" si="3"/>
        <v>-2.0025371483855081E-2</v>
      </c>
    </row>
    <row r="120" spans="1:14">
      <c r="A120" s="3">
        <f>prices!A121</f>
        <v>43647</v>
      </c>
      <c r="B120" s="5">
        <f>prices!B121/prices!B120-1</f>
        <v>1.2566030252222138E-2</v>
      </c>
      <c r="C120" s="5">
        <f>prices!C121/prices!C120-1</f>
        <v>5.5452663688855264E-3</v>
      </c>
      <c r="D120" s="5">
        <f>prices!D121/prices!D120-1</f>
        <v>1.7095371397383818E-2</v>
      </c>
      <c r="E120" s="5">
        <f>prices!E121/prices!E120-1</f>
        <v>-9.5393167875534868E-4</v>
      </c>
      <c r="F120" s="5">
        <f>prices!F121/prices!F120-1</f>
        <v>4.0177191717316596E-3</v>
      </c>
      <c r="G120" s="5">
        <f>prices!G121/prices!G120-1</f>
        <v>-4.1016604630289555E-3</v>
      </c>
      <c r="H120" s="5">
        <f>prices!H121/prices!H120-1</f>
        <v>1.0955585464333728E-2</v>
      </c>
      <c r="I120" s="5">
        <f>prices!I121/prices!I120-1</f>
        <v>2.2213539405515625E-3</v>
      </c>
      <c r="J120" s="5">
        <f>prices!J121/prices!J120-1</f>
        <v>6.5103890540638698E-3</v>
      </c>
      <c r="K120" s="8">
        <f>SUMPRODUCT(B120:I120,weights!$B$5:$I$5)</f>
        <v>4.9051515675982071E-3</v>
      </c>
      <c r="L120" s="4">
        <f t="shared" si="2"/>
        <v>104.74107496950084</v>
      </c>
      <c r="M120" s="4">
        <f>L120/MAX(L$2:L120)-1</f>
        <v>-2.6562636311454724E-2</v>
      </c>
      <c r="N120" s="4">
        <f t="shared" si="3"/>
        <v>-1.3329286996557776E-2</v>
      </c>
    </row>
    <row r="121" spans="1:14">
      <c r="A121" s="3">
        <f>prices!A122</f>
        <v>43648</v>
      </c>
      <c r="B121" s="5">
        <f>prices!B122/prices!B121-1</f>
        <v>7.6027348479452694E-3</v>
      </c>
      <c r="C121" s="5">
        <f>prices!C122/prices!C121-1</f>
        <v>5.6013607948082189E-3</v>
      </c>
      <c r="D121" s="5">
        <f>prices!D122/prices!D121-1</f>
        <v>3.8082049506662496E-3</v>
      </c>
      <c r="E121" s="5">
        <f>prices!E122/prices!E121-1</f>
        <v>1.1886143259305593E-2</v>
      </c>
      <c r="F121" s="5">
        <f>prices!F122/prices!F121-1</f>
        <v>-4.0016416991586201E-3</v>
      </c>
      <c r="G121" s="5">
        <f>prices!G122/prices!G121-1</f>
        <v>8.0134523947581471E-3</v>
      </c>
      <c r="H121" s="5">
        <f>prices!H122/prices!H121-1</f>
        <v>-2.4176584924248457E-2</v>
      </c>
      <c r="I121" s="5">
        <f>prices!I122/prices!I121-1</f>
        <v>4.6277912945542621E-3</v>
      </c>
      <c r="J121" s="5">
        <f>prices!J122/prices!J121-1</f>
        <v>3.767192556634269E-3</v>
      </c>
      <c r="K121" s="8">
        <f>SUMPRODUCT(B121:I121,weights!$B$5:$I$5)</f>
        <v>1.2382128822263081E-3</v>
      </c>
      <c r="L121" s="4">
        <f t="shared" si="2"/>
        <v>104.87076671782631</v>
      </c>
      <c r="M121" s="4">
        <f>L121/MAX(L$2:L121)-1</f>
        <v>-2.5357313627695111E-2</v>
      </c>
      <c r="N121" s="4">
        <f t="shared" si="3"/>
        <v>-2.5357313627695111E-2</v>
      </c>
    </row>
    <row r="122" spans="1:14">
      <c r="A122" s="3">
        <f>prices!A123</f>
        <v>43649</v>
      </c>
      <c r="B122" s="5">
        <f>prices!B123/prices!B122-1</f>
        <v>3.1630471276353767E-3</v>
      </c>
      <c r="C122" s="5">
        <f>prices!C123/prices!C122-1</f>
        <v>-6.4159196690225517E-3</v>
      </c>
      <c r="D122" s="5">
        <f>prices!D123/prices!D122-1</f>
        <v>-2.1555440593206132E-3</v>
      </c>
      <c r="E122" s="5">
        <f>prices!E123/prices!E122-1</f>
        <v>-1.174652241112828E-2</v>
      </c>
      <c r="F122" s="5">
        <f>prices!F123/prices!F122-1</f>
        <v>1.0404862470382303E-2</v>
      </c>
      <c r="G122" s="5">
        <f>prices!G123/prices!G122-1</f>
        <v>-3.9937743139500936E-3</v>
      </c>
      <c r="H122" s="5">
        <f>prices!H123/prices!H122-1</f>
        <v>3.8200223744166983E-4</v>
      </c>
      <c r="I122" s="5">
        <f>prices!I123/prices!I122-1</f>
        <v>9.0764056571233098E-3</v>
      </c>
      <c r="J122" s="5">
        <f>prices!J123/prices!J122-1</f>
        <v>5.4154807183715015E-4</v>
      </c>
      <c r="K122" s="8">
        <f>SUMPRODUCT(B122:I122,weights!$B$5:$I$5)</f>
        <v>6.2276254586962664E-4</v>
      </c>
      <c r="L122" s="4">
        <f t="shared" si="2"/>
        <v>104.93607630349481</v>
      </c>
      <c r="M122" s="4">
        <f>L122/MAX(L$2:L122)-1</f>
        <v>-2.47503426670167E-2</v>
      </c>
      <c r="N122" s="4">
        <f t="shared" si="3"/>
        <v>-2.1467129193935008E-2</v>
      </c>
    </row>
    <row r="123" spans="1:14">
      <c r="A123" s="3">
        <f>prices!A124</f>
        <v>43650</v>
      </c>
      <c r="B123" s="5">
        <f>prices!B124/prices!B123-1</f>
        <v>1.1449709353530402E-3</v>
      </c>
      <c r="C123" s="5">
        <f>prices!C124/prices!C123-1</f>
        <v>2.2337766548652382E-3</v>
      </c>
      <c r="D123" s="5">
        <f>prices!D124/prices!D123-1</f>
        <v>-2.3502981076644058E-3</v>
      </c>
      <c r="E123" s="5">
        <f>prices!E124/prices!E123-1</f>
        <v>3.4078000757289395E-3</v>
      </c>
      <c r="F123" s="5">
        <f>prices!F124/prices!F123-1</f>
        <v>3.4155791190866314E-3</v>
      </c>
      <c r="G123" s="5">
        <f>prices!G124/prices!G123-1</f>
        <v>1.6303173013298977E-3</v>
      </c>
      <c r="H123" s="5">
        <f>prices!H124/prices!H123-1</f>
        <v>-9.0827264544636188E-3</v>
      </c>
      <c r="I123" s="5">
        <f>prices!I124/prices!I123-1</f>
        <v>-4.0237866324823734E-3</v>
      </c>
      <c r="J123" s="5">
        <f>prices!J124/prices!J123-1</f>
        <v>2.5174649128327786E-3</v>
      </c>
      <c r="K123" s="8">
        <f>SUMPRODUCT(B123:I123,weights!$B$5:$I$5)</f>
        <v>-1.1041732360009145E-3</v>
      </c>
      <c r="L123" s="4">
        <f t="shared" si="2"/>
        <v>104.82020869654956</v>
      </c>
      <c r="M123" s="4">
        <f>L123/MAX(L$2:L123)-1</f>
        <v>-2.5827187237062676E-2</v>
      </c>
      <c r="N123" s="4">
        <f t="shared" si="3"/>
        <v>-6.7204131655554944E-3</v>
      </c>
    </row>
    <row r="124" spans="1:14">
      <c r="A124" s="3">
        <f>prices!A125</f>
        <v>43651</v>
      </c>
      <c r="B124" s="5">
        <f>prices!B125/prices!B124-1</f>
        <v>-1.6081639834608974E-2</v>
      </c>
      <c r="C124" s="5">
        <f>prices!C125/prices!C124-1</f>
        <v>-3.5471428648710002E-2</v>
      </c>
      <c r="D124" s="5">
        <f>prices!D125/prices!D124-1</f>
        <v>-4.5904138301373631E-3</v>
      </c>
      <c r="E124" s="5">
        <f>prices!E125/prices!E124-1</f>
        <v>-2.152584085315834E-2</v>
      </c>
      <c r="F124" s="5">
        <f>prices!F125/prices!F124-1</f>
        <v>6.50307371843728E-3</v>
      </c>
      <c r="G124" s="5">
        <f>prices!G125/prices!G124-1</f>
        <v>-2.8184281842818404E-2</v>
      </c>
      <c r="H124" s="5">
        <f>prices!H125/prices!H124-1</f>
        <v>-4.2967244701348828E-2</v>
      </c>
      <c r="I124" s="5">
        <f>prices!I125/prices!I124-1</f>
        <v>-8.4948158741509072E-3</v>
      </c>
      <c r="J124" s="5">
        <f>prices!J125/prices!J124-1</f>
        <v>-1.1350367254692739E-2</v>
      </c>
      <c r="K124" s="8">
        <f>SUMPRODUCT(B124:I124,weights!$B$5:$I$5)</f>
        <v>-2.0415555596505642E-2</v>
      </c>
      <c r="L124" s="4">
        <f t="shared" si="2"/>
        <v>102.68024589826783</v>
      </c>
      <c r="M124" s="4">
        <f>L124/MAX(L$2:L124)-1</f>
        <v>-4.5715466456628717E-2</v>
      </c>
      <c r="N124" s="4">
        <f t="shared" si="3"/>
        <v>-2.4280361094818348E-2</v>
      </c>
    </row>
    <row r="125" spans="1:14">
      <c r="A125" s="3">
        <f>prices!A126</f>
        <v>43654</v>
      </c>
      <c r="B125" s="5">
        <f>prices!B126/prices!B125-1</f>
        <v>-8.9590672555927009E-3</v>
      </c>
      <c r="C125" s="5">
        <f>prices!C126/prices!C125-1</f>
        <v>5.6871718939290883E-3</v>
      </c>
      <c r="D125" s="5">
        <f>prices!D126/prices!D125-1</f>
        <v>-2.538980927189205E-2</v>
      </c>
      <c r="E125" s="5">
        <f>prices!E126/prices!E125-1</f>
        <v>-5.5333847546867876E-4</v>
      </c>
      <c r="F125" s="5">
        <f>prices!F126/prices!F125-1</f>
        <v>-7.1677350966635744E-3</v>
      </c>
      <c r="G125" s="5">
        <f>prices!G126/prices!G125-1</f>
        <v>-5.0518988908233142E-2</v>
      </c>
      <c r="H125" s="5">
        <f>prices!H126/prices!H125-1</f>
        <v>-2.2520060973855949E-2</v>
      </c>
      <c r="I125" s="5">
        <f>prices!I126/prices!I125-1</f>
        <v>-4.3631276052559453E-2</v>
      </c>
      <c r="J125" s="5">
        <f>prices!J126/prices!J125-1</f>
        <v>-2.1382337875651358E-2</v>
      </c>
      <c r="K125" s="8">
        <f>SUMPRODUCT(B125:I125,weights!$B$5:$I$5)</f>
        <v>-2.498667395608881E-2</v>
      </c>
      <c r="L125" s="4">
        <f t="shared" si="2"/>
        <v>100.11460807227678</v>
      </c>
      <c r="M125" s="4">
        <f>L125/MAX(L$2:L125)-1</f>
        <v>-6.9559862957615293E-2</v>
      </c>
      <c r="N125" s="4">
        <f t="shared" si="3"/>
        <v>-5.7283954803553638E-2</v>
      </c>
    </row>
    <row r="126" spans="1:14">
      <c r="A126" s="3">
        <f>prices!A127</f>
        <v>43655</v>
      </c>
      <c r="B126" s="5">
        <f>prices!B127/prices!B126-1</f>
        <v>2.2410682064236687E-2</v>
      </c>
      <c r="C126" s="5">
        <f>prices!C127/prices!C126-1</f>
        <v>-1.9329652557024013E-2</v>
      </c>
      <c r="D126" s="5">
        <f>prices!D127/prices!D126-1</f>
        <v>-1.2641728417105536E-2</v>
      </c>
      <c r="E126" s="5">
        <f>prices!E127/prices!E126-1</f>
        <v>-2.9359953024075125E-3</v>
      </c>
      <c r="F126" s="5">
        <f>prices!F127/prices!F126-1</f>
        <v>-1.5659159082820562E-2</v>
      </c>
      <c r="G126" s="5">
        <f>prices!G127/prices!G126-1</f>
        <v>-1.5441995657887175E-2</v>
      </c>
      <c r="H126" s="5">
        <f>prices!H127/prices!H126-1</f>
        <v>5.3433766845171426E-2</v>
      </c>
      <c r="I126" s="5">
        <f>prices!I127/prices!I126-1</f>
        <v>2.4319066147859836E-2</v>
      </c>
      <c r="J126" s="5">
        <f>prices!J127/prices!J126-1</f>
        <v>-2.335923035662324E-4</v>
      </c>
      <c r="K126" s="8">
        <f>SUMPRODUCT(B126:I126,weights!$B$5:$I$5)</f>
        <v>8.5061244644681188E-3</v>
      </c>
      <c r="L126" s="4">
        <f t="shared" si="2"/>
        <v>100.96619538925101</v>
      </c>
      <c r="M126" s="4">
        <f>L126/MAX(L$2:L126)-1</f>
        <v>-6.164542334519596E-2</v>
      </c>
      <c r="N126" s="4">
        <f t="shared" si="3"/>
        <v>-4.6432414495219287E-2</v>
      </c>
    </row>
    <row r="127" spans="1:14">
      <c r="A127" s="3">
        <f>prices!A128</f>
        <v>43656</v>
      </c>
      <c r="B127" s="5">
        <f>prices!B128/prices!B127-1</f>
        <v>-9.7066817267299488E-4</v>
      </c>
      <c r="C127" s="5">
        <f>prices!C128/prices!C127-1</f>
        <v>-1.1788858306226002E-2</v>
      </c>
      <c r="D127" s="5">
        <f>prices!D128/prices!D127-1</f>
        <v>4.032768504620643E-3</v>
      </c>
      <c r="E127" s="5">
        <f>prices!E128/prices!E127-1</f>
        <v>2.4566717146223827E-3</v>
      </c>
      <c r="F127" s="5">
        <f>prices!F128/prices!F127-1</f>
        <v>1.5495067403525908E-4</v>
      </c>
      <c r="G127" s="5">
        <f>prices!G128/prices!G127-1</f>
        <v>-2.9522329435105465E-3</v>
      </c>
      <c r="H127" s="5">
        <f>prices!H128/prices!H127-1</f>
        <v>1.4999162057985682E-2</v>
      </c>
      <c r="I127" s="5">
        <f>prices!I128/prices!I127-1</f>
        <v>-1.7719767073772208E-2</v>
      </c>
      <c r="J127" s="5">
        <f>prices!J128/prices!J127-1</f>
        <v>-4.93254527990028E-3</v>
      </c>
      <c r="K127" s="8">
        <f>SUMPRODUCT(B127:I127,weights!$B$5:$I$5)</f>
        <v>-2.4395873641075432E-3</v>
      </c>
      <c r="L127" s="4">
        <f t="shared" si="2"/>
        <v>100.71987953477738</v>
      </c>
      <c r="M127" s="4">
        <f>L127/MAX(L$2:L127)-1</f>
        <v>-6.3934621313455509E-2</v>
      </c>
      <c r="N127" s="4">
        <f t="shared" si="3"/>
        <v>-4.394070268583139E-2</v>
      </c>
    </row>
    <row r="128" spans="1:14">
      <c r="A128" s="3">
        <f>prices!A129</f>
        <v>43657</v>
      </c>
      <c r="B128" s="5">
        <f>prices!B129/prices!B128-1</f>
        <v>2.1022135071633308E-3</v>
      </c>
      <c r="C128" s="5">
        <f>prices!C129/prices!C128-1</f>
        <v>-2.6816902705284473E-3</v>
      </c>
      <c r="D128" s="5">
        <f>prices!D129/prices!D128-1</f>
        <v>7.7089337175793027E-3</v>
      </c>
      <c r="E128" s="5">
        <f>prices!E129/prices!E128-1</f>
        <v>5.9252047804485564E-3</v>
      </c>
      <c r="F128" s="5">
        <f>prices!F129/prices!F128-1</f>
        <v>9.1923156372650805E-3</v>
      </c>
      <c r="G128" s="5">
        <f>prices!G129/prices!G128-1</f>
        <v>1.7427553431220266E-2</v>
      </c>
      <c r="H128" s="5">
        <f>prices!H129/prices!H128-1</f>
        <v>1.5162772778557487E-2</v>
      </c>
      <c r="I128" s="5">
        <f>prices!I129/prices!I128-1</f>
        <v>-2.9003972120211774E-3</v>
      </c>
      <c r="J128" s="5">
        <f>prices!J129/prices!J128-1</f>
        <v>7.3050465696717914E-3</v>
      </c>
      <c r="K128" s="8">
        <f>SUMPRODUCT(B128:I128,weights!$B$5:$I$5)</f>
        <v>6.9793854562119478E-3</v>
      </c>
      <c r="L128" s="4">
        <f t="shared" si="2"/>
        <v>101.42284239715381</v>
      </c>
      <c r="M128" s="4">
        <f>L128/MAX(L$2:L128)-1</f>
        <v>-5.7401460223387213E-2</v>
      </c>
      <c r="N128" s="4">
        <f t="shared" si="3"/>
        <v>-3.5789938775049768E-2</v>
      </c>
    </row>
    <row r="129" spans="1:14">
      <c r="A129" s="3">
        <f>prices!A130</f>
        <v>43658</v>
      </c>
      <c r="B129" s="5">
        <f>prices!B130/prices!B129-1</f>
        <v>-8.1091562951740581E-4</v>
      </c>
      <c r="C129" s="5">
        <f>prices!C130/prices!C129-1</f>
        <v>2.4061625458007274E-3</v>
      </c>
      <c r="D129" s="5">
        <f>prices!D130/prices!D129-1</f>
        <v>-5.5051118896118911E-3</v>
      </c>
      <c r="E129" s="5">
        <f>prices!E130/prices!E129-1</f>
        <v>7.2752757429626058E-3</v>
      </c>
      <c r="F129" s="5">
        <f>prices!F130/prices!F129-1</f>
        <v>-2.2003889059460935E-3</v>
      </c>
      <c r="G129" s="5">
        <f>prices!G130/prices!G129-1</f>
        <v>-9.9070255505442351E-3</v>
      </c>
      <c r="H129" s="5">
        <f>prices!H130/prices!H129-1</f>
        <v>2.3990241257793476E-2</v>
      </c>
      <c r="I129" s="5">
        <f>prices!I130/prices!I129-1</f>
        <v>-1.8956277293807333E-2</v>
      </c>
      <c r="J129" s="5">
        <f>prices!J130/prices!J129-1</f>
        <v>-2.6245586165812851E-3</v>
      </c>
      <c r="K129" s="8">
        <f>SUMPRODUCT(B129:I129,weights!$B$5:$I$5)</f>
        <v>-1.9101283099621856E-3</v>
      </c>
      <c r="L129" s="4">
        <f t="shared" si="2"/>
        <v>101.22911175461418</v>
      </c>
      <c r="M129" s="4">
        <f>L129/MAX(L$2:L129)-1</f>
        <v>-5.9201944379143501E-2</v>
      </c>
      <c r="N129" s="4">
        <f t="shared" si="3"/>
        <v>-3.6603197889689465E-2</v>
      </c>
    </row>
    <row r="130" spans="1:14">
      <c r="A130" s="3">
        <f>prices!A131</f>
        <v>43661</v>
      </c>
      <c r="B130" s="5">
        <f>prices!B131/prices!B130-1</f>
        <v>-3.4403669724769603E-3</v>
      </c>
      <c r="C130" s="5">
        <f>prices!C131/prices!C130-1</f>
        <v>1.8074855228468412E-2</v>
      </c>
      <c r="D130" s="5">
        <f>prices!D131/prices!D130-1</f>
        <v>3.5945363048184298E-4</v>
      </c>
      <c r="E130" s="5">
        <f>prices!E131/prices!E130-1</f>
        <v>7.2376377039675477E-2</v>
      </c>
      <c r="F130" s="5">
        <f>prices!F131/prices!F130-1</f>
        <v>-1.4872557567054745E-2</v>
      </c>
      <c r="G130" s="5">
        <f>prices!G131/prices!G130-1</f>
        <v>1.8127357323795446E-2</v>
      </c>
      <c r="H130" s="5">
        <f>prices!H131/prices!H130-1</f>
        <v>3.7405691594970314E-2</v>
      </c>
      <c r="I130" s="5">
        <f>prices!I131/prices!I130-1</f>
        <v>-1.7897503083795008E-2</v>
      </c>
      <c r="J130" s="5">
        <f>prices!J131/prices!J130-1</f>
        <v>3.1032244103008644E-3</v>
      </c>
      <c r="K130" s="8">
        <f>SUMPRODUCT(B130:I130,weights!$B$5:$I$5)</f>
        <v>1.1706528868938783E-2</v>
      </c>
      <c r="L130" s="4">
        <f t="shared" si="2"/>
        <v>102.41415327374661</v>
      </c>
      <c r="M130" s="4">
        <f>L130/MAX(L$2:L130)-1</f>
        <v>-4.8188464781176443E-2</v>
      </c>
      <c r="N130" s="4">
        <f t="shared" si="3"/>
        <v>-8.5112687013242372E-3</v>
      </c>
    </row>
    <row r="131" spans="1:14">
      <c r="A131" s="3">
        <f>prices!A132</f>
        <v>43662</v>
      </c>
      <c r="B131" s="5">
        <f>prices!B132/prices!B131-1</f>
        <v>1.3242453748782967E-2</v>
      </c>
      <c r="C131" s="5">
        <f>prices!C132/prices!C131-1</f>
        <v>-1.6210378713347073E-2</v>
      </c>
      <c r="D131" s="5">
        <f>prices!D132/prices!D131-1</f>
        <v>-1.4911965504851299E-3</v>
      </c>
      <c r="E131" s="5">
        <f>prices!E132/prices!E131-1</f>
        <v>7.0596595297678366E-3</v>
      </c>
      <c r="F131" s="5">
        <f>prices!F132/prices!F131-1</f>
        <v>3.644125149669275E-3</v>
      </c>
      <c r="G131" s="5">
        <f>prices!G132/prices!G131-1</f>
        <v>1.2887059562084691E-2</v>
      </c>
      <c r="H131" s="5">
        <f>prices!H132/prices!H131-1</f>
        <v>2.4471777074614787E-2</v>
      </c>
      <c r="I131" s="5">
        <f>prices!I132/prices!I131-1</f>
        <v>1.4299645044272058E-2</v>
      </c>
      <c r="J131" s="5">
        <f>prices!J132/prices!J131-1</f>
        <v>6.4072969836086457E-3</v>
      </c>
      <c r="K131" s="8">
        <f>SUMPRODUCT(B131:I131,weights!$B$5:$I$5)</f>
        <v>1.0067779930503928E-2</v>
      </c>
      <c r="L131" s="4">
        <f t="shared" si="2"/>
        <v>103.44523643067559</v>
      </c>
      <c r="M131" s="4">
        <f>L131/MAX(L$2:L131)-1</f>
        <v>-3.8605835709278113E-2</v>
      </c>
      <c r="N131" s="4">
        <f t="shared" si="3"/>
        <v>5.6779928649115519E-3</v>
      </c>
    </row>
    <row r="132" spans="1:14">
      <c r="A132" s="3">
        <f>prices!A133</f>
        <v>43663</v>
      </c>
      <c r="B132" s="5">
        <f>prices!B133/prices!B132-1</f>
        <v>-8.6313839917531165E-3</v>
      </c>
      <c r="C132" s="5">
        <f>prices!C133/prices!C132-1</f>
        <v>5.3449811776200562E-3</v>
      </c>
      <c r="D132" s="5">
        <f>prices!D133/prices!D132-1</f>
        <v>2.6089929287296254E-3</v>
      </c>
      <c r="E132" s="5">
        <f>prices!E133/prices!E132-1</f>
        <v>1.1842125446764218E-2</v>
      </c>
      <c r="F132" s="5">
        <f>prices!F133/prices!F132-1</f>
        <v>3.527153898023716E-3</v>
      </c>
      <c r="G132" s="5">
        <f>prices!G133/prices!G132-1</f>
        <v>-1.3372644730253569E-2</v>
      </c>
      <c r="H132" s="5">
        <f>prices!H133/prices!H132-1</f>
        <v>-7.4974468827061491E-3</v>
      </c>
      <c r="I132" s="5">
        <f>prices!I133/prices!I132-1</f>
        <v>-3.9379162885140317E-3</v>
      </c>
      <c r="J132" s="5">
        <f>prices!J133/prices!J132-1</f>
        <v>2.1350299247164806E-3</v>
      </c>
      <c r="K132" s="8">
        <f>SUMPRODUCT(B132:I132,weights!$B$5:$I$5)</f>
        <v>-3.6427443764683936E-3</v>
      </c>
      <c r="L132" s="4">
        <f t="shared" ref="L132:L195" si="4">L131*(1+K132)</f>
        <v>103.06841187739531</v>
      </c>
      <c r="M132" s="4">
        <f>L132/MAX(L$2:L132)-1</f>
        <v>-4.2107948894817726E-2</v>
      </c>
      <c r="N132" s="4">
        <f t="shared" si="3"/>
        <v>2.5955144531906171E-3</v>
      </c>
    </row>
    <row r="133" spans="1:14">
      <c r="A133" s="3">
        <f>prices!A134</f>
        <v>43664</v>
      </c>
      <c r="B133" s="5">
        <f>prices!B134/prices!B133-1</f>
        <v>-1.5597737006291967E-2</v>
      </c>
      <c r="C133" s="5">
        <f>prices!C134/prices!C133-1</f>
        <v>-2.423324281835082E-2</v>
      </c>
      <c r="D133" s="5">
        <f>prices!D134/prices!D133-1</f>
        <v>6.0299343167868891E-3</v>
      </c>
      <c r="E133" s="5">
        <f>prices!E134/prices!E133-1</f>
        <v>-1.8192016736655603E-3</v>
      </c>
      <c r="F133" s="5">
        <f>prices!F134/prices!F133-1</f>
        <v>3.6181320101302816E-4</v>
      </c>
      <c r="G133" s="5">
        <f>prices!G134/prices!G133-1</f>
        <v>-3.1824505614627907E-2</v>
      </c>
      <c r="H133" s="5">
        <f>prices!H134/prices!H133-1</f>
        <v>-8.9594940521006139E-3</v>
      </c>
      <c r="I133" s="5">
        <f>prices!I134/prices!I133-1</f>
        <v>-1.3914413231819411E-2</v>
      </c>
      <c r="J133" s="5">
        <f>prices!J134/prices!J133-1</f>
        <v>-7.7518716577540392E-3</v>
      </c>
      <c r="K133" s="8">
        <f>SUMPRODUCT(B133:I133,weights!$B$5:$I$5)</f>
        <v>-1.4066733847789316E-2</v>
      </c>
      <c r="L133" s="4">
        <f t="shared" si="4"/>
        <v>101.61857595940165</v>
      </c>
      <c r="M133" s="4">
        <f>L133/MAX(L$2:L133)-1</f>
        <v>-5.5582361432627403E-2</v>
      </c>
      <c r="N133" s="4">
        <f t="shared" si="3"/>
        <v>-3.2854879764865785E-2</v>
      </c>
    </row>
    <row r="134" spans="1:14">
      <c r="A134" s="3">
        <f>prices!A135</f>
        <v>43665</v>
      </c>
      <c r="B134" s="5">
        <f>prices!B135/prices!B134-1</f>
        <v>-1.0187273964263888E-2</v>
      </c>
      <c r="C134" s="5">
        <f>prices!C135/prices!C134-1</f>
        <v>5.3255685879334269E-3</v>
      </c>
      <c r="D134" s="5">
        <f>prices!D135/prices!D134-1</f>
        <v>-1.502015769381726E-2</v>
      </c>
      <c r="E134" s="5">
        <f>prices!E135/prices!E134-1</f>
        <v>-9.2188995033639642E-3</v>
      </c>
      <c r="F134" s="5">
        <f>prices!F135/prices!F134-1</f>
        <v>-1.7205745582308474E-2</v>
      </c>
      <c r="G134" s="5">
        <f>prices!G135/prices!G134-1</f>
        <v>-1.9252411133553471E-2</v>
      </c>
      <c r="H134" s="5">
        <f>prices!H135/prices!H134-1</f>
        <v>-1.1370255007723706E-2</v>
      </c>
      <c r="I134" s="5">
        <f>prices!I135/prices!I134-1</f>
        <v>-1.6475599824594345E-2</v>
      </c>
      <c r="J134" s="5">
        <f>prices!J135/prices!J134-1</f>
        <v>-1.531874897601937E-2</v>
      </c>
      <c r="K134" s="8">
        <f>SUMPRODUCT(B134:I134,weights!$B$5:$I$5)</f>
        <v>-1.2868837447607549E-2</v>
      </c>
      <c r="L134" s="4">
        <f t="shared" si="4"/>
        <v>100.31086302372275</v>
      </c>
      <c r="M134" s="4">
        <f>L134/MAX(L$2:L134)-1</f>
        <v>-6.7735918506004356E-2</v>
      </c>
      <c r="N134" s="4">
        <f t="shared" si="3"/>
        <v>-3.0230598358958471E-2</v>
      </c>
    </row>
    <row r="135" spans="1:14">
      <c r="A135" s="3">
        <f>prices!A136</f>
        <v>43668</v>
      </c>
      <c r="B135" s="5">
        <f>prices!B136/prices!B135-1</f>
        <v>2.5232884145789836E-2</v>
      </c>
      <c r="C135" s="5">
        <f>prices!C136/prices!C135-1</f>
        <v>1.5862933069145324E-2</v>
      </c>
      <c r="D135" s="5">
        <f>prices!D136/prices!D135-1</f>
        <v>-3.2997681831353098E-2</v>
      </c>
      <c r="E135" s="5">
        <f>prices!E136/prices!E135-1</f>
        <v>-1.2723036360292594E-3</v>
      </c>
      <c r="F135" s="5">
        <f>prices!F136/prices!F135-1</f>
        <v>-1.4562851585090186E-2</v>
      </c>
      <c r="G135" s="5">
        <f>prices!G136/prices!G135-1</f>
        <v>2.4857500607374572E-2</v>
      </c>
      <c r="H135" s="5">
        <f>prices!H136/prices!H135-1</f>
        <v>2.1132172131147486E-2</v>
      </c>
      <c r="I135" s="5">
        <f>prices!I136/prices!I135-1</f>
        <v>-5.5573248407643216E-3</v>
      </c>
      <c r="J135" s="5">
        <f>prices!J136/prices!J135-1</f>
        <v>-6.3970926286751606E-3</v>
      </c>
      <c r="K135" s="8">
        <f>SUMPRODUCT(B135:I135,weights!$B$5:$I$5)</f>
        <v>7.7498558917071169E-3</v>
      </c>
      <c r="L135" s="4">
        <f t="shared" si="4"/>
        <v>101.08825775652936</v>
      </c>
      <c r="M135" s="4">
        <f>L135/MAX(L$2:L135)-1</f>
        <v>-6.0511006221411257E-2</v>
      </c>
      <c r="N135" s="4">
        <f t="shared" si="3"/>
        <v>-2.3891405415902511E-2</v>
      </c>
    </row>
    <row r="136" spans="1:14">
      <c r="A136" s="3">
        <f>prices!A137</f>
        <v>43669</v>
      </c>
      <c r="B136" s="5">
        <f>prices!B137/prices!B136-1</f>
        <v>-5.4340155257585065E-3</v>
      </c>
      <c r="C136" s="5">
        <f>prices!C137/prices!C136-1</f>
        <v>1.2104384540807533E-3</v>
      </c>
      <c r="D136" s="5">
        <f>prices!D137/prices!D136-1</f>
        <v>-1.4702026444918914E-2</v>
      </c>
      <c r="E136" s="5">
        <f>prices!E137/prices!E136-1</f>
        <v>7.1984405936795781E-3</v>
      </c>
      <c r="F136" s="5">
        <f>prices!F137/prices!F136-1</f>
        <v>2.3634229620145053E-2</v>
      </c>
      <c r="G136" s="5">
        <f>prices!G137/prices!G136-1</f>
        <v>-6.5537180588302046E-3</v>
      </c>
      <c r="H136" s="5">
        <f>prices!H137/prices!H136-1</f>
        <v>0</v>
      </c>
      <c r="I136" s="5">
        <f>prices!I137/prices!I136-1</f>
        <v>4.131238891290856E-3</v>
      </c>
      <c r="J136" s="5">
        <f>prices!J137/prices!J136-1</f>
        <v>-1.3352488057677414E-3</v>
      </c>
      <c r="K136" s="8">
        <f>SUMPRODUCT(B136:I136,weights!$B$5:$I$5)</f>
        <v>4.4771125585622417E-4</v>
      </c>
      <c r="L136" s="4">
        <f t="shared" si="4"/>
        <v>101.13351610736186</v>
      </c>
      <c r="M136" s="4">
        <f>L136/MAX(L$2:L136)-1</f>
        <v>-6.0090386424143549E-2</v>
      </c>
      <c r="N136" s="4">
        <f t="shared" si="3"/>
        <v>-2.966869888742707E-2</v>
      </c>
    </row>
    <row r="137" spans="1:14">
      <c r="A137" s="3">
        <f>prices!A138</f>
        <v>43670</v>
      </c>
      <c r="B137" s="5">
        <f>prices!B138/prices!B137-1</f>
        <v>-1.1353154048108993E-2</v>
      </c>
      <c r="C137" s="5">
        <f>prices!C138/prices!C137-1</f>
        <v>-7.4085533553355232E-3</v>
      </c>
      <c r="D137" s="5">
        <f>prices!D138/prices!D137-1</f>
        <v>7.6983025718031506E-3</v>
      </c>
      <c r="E137" s="5">
        <f>prices!E138/prices!E137-1</f>
        <v>-4.7392642711285848E-3</v>
      </c>
      <c r="F137" s="5">
        <f>prices!F138/prices!F137-1</f>
        <v>7.2966070777091829E-4</v>
      </c>
      <c r="G137" s="5">
        <f>prices!G138/prices!G137-1</f>
        <v>-1.8004871539307299E-2</v>
      </c>
      <c r="H137" s="5">
        <f>prices!H138/prices!H137-1</f>
        <v>-1.0936912078264083E-2</v>
      </c>
      <c r="I137" s="5">
        <f>prices!I138/prices!I137-1</f>
        <v>-2.982028098040157E-3</v>
      </c>
      <c r="J137" s="5">
        <f>prices!J138/prices!J137-1</f>
        <v>-5.2731212023598983E-3</v>
      </c>
      <c r="K137" s="8">
        <f>SUMPRODUCT(B137:I137,weights!$B$5:$I$5)</f>
        <v>-7.6006254118121041E-3</v>
      </c>
      <c r="L137" s="4">
        <f t="shared" si="4"/>
        <v>100.36483813485034</v>
      </c>
      <c r="M137" s="4">
        <f>L137/MAX(L$2:L137)-1</f>
        <v>-6.7234287317894603E-2</v>
      </c>
      <c r="N137" s="4">
        <f t="shared" si="3"/>
        <v>-4.2167136736071975E-2</v>
      </c>
    </row>
    <row r="138" spans="1:14">
      <c r="A138" s="3">
        <f>prices!A139</f>
        <v>43671</v>
      </c>
      <c r="B138" s="5">
        <f>prices!B139/prices!B138-1</f>
        <v>-2.1908418861695367E-2</v>
      </c>
      <c r="C138" s="5">
        <f>prices!C139/prices!C138-1</f>
        <v>1.4829566773458147E-2</v>
      </c>
      <c r="D138" s="5">
        <f>prices!D139/prices!D138-1</f>
        <v>2.2446900818653415E-3</v>
      </c>
      <c r="E138" s="5">
        <f>prices!E139/prices!E138-1</f>
        <v>1.0427033730918245E-2</v>
      </c>
      <c r="F138" s="5">
        <f>prices!F139/prices!F138-1</f>
        <v>-1.1041091609812037E-2</v>
      </c>
      <c r="G138" s="5">
        <f>prices!G139/prices!G138-1</f>
        <v>-1.9495764390977666E-3</v>
      </c>
      <c r="H138" s="5">
        <f>prices!H139/prices!H138-1</f>
        <v>2.7264196403662178E-2</v>
      </c>
      <c r="I138" s="5">
        <f>prices!I139/prices!I138-1</f>
        <v>-1.0780205367710627E-2</v>
      </c>
      <c r="J138" s="5">
        <f>prices!J139/prices!J138-1</f>
        <v>-1.6990054385918052E-3</v>
      </c>
      <c r="K138" s="8">
        <f>SUMPRODUCT(B138:I138,weights!$B$5:$I$5)</f>
        <v>2.5034386225669496E-4</v>
      </c>
      <c r="L138" s="4">
        <f t="shared" si="4"/>
        <v>100.3899638560638</v>
      </c>
      <c r="M138" s="4">
        <f>L138/MAX(L$2:L138)-1</f>
        <v>-6.7000775146801028E-2</v>
      </c>
      <c r="N138" s="4">
        <f t="shared" si="3"/>
        <v>-3.909008871347841E-2</v>
      </c>
    </row>
    <row r="139" spans="1:14">
      <c r="A139" s="3">
        <f>prices!A140</f>
        <v>43672</v>
      </c>
      <c r="B139" s="5">
        <f>prices!B140/prices!B139-1</f>
        <v>-1.4382418227513738E-2</v>
      </c>
      <c r="C139" s="5">
        <f>prices!C140/prices!C139-1</f>
        <v>-8.8564537780709829E-3</v>
      </c>
      <c r="D139" s="5">
        <f>prices!D140/prices!D139-1</f>
        <v>-3.8206011330059741E-3</v>
      </c>
      <c r="E139" s="5">
        <f>prices!E140/prices!E139-1</f>
        <v>-9.4405382470601484E-3</v>
      </c>
      <c r="F139" s="5">
        <f>prices!F140/prices!F139-1</f>
        <v>9.5318342198114081E-3</v>
      </c>
      <c r="G139" s="5">
        <f>prices!G140/prices!G139-1</f>
        <v>8.4952570021257223E-3</v>
      </c>
      <c r="H139" s="5">
        <f>prices!H140/prices!H139-1</f>
        <v>6.3944301797351777E-3</v>
      </c>
      <c r="I139" s="5">
        <f>prices!I140/prices!I139-1</f>
        <v>1.4390117707929084E-2</v>
      </c>
      <c r="J139" s="5">
        <f>prices!J140/prices!J139-1</f>
        <v>2.8572317290473936E-3</v>
      </c>
      <c r="K139" s="8">
        <f>SUMPRODUCT(B139:I139,weights!$B$5:$I$5)</f>
        <v>2.5550996550584605E-3</v>
      </c>
      <c r="L139" s="4">
        <f t="shared" si="4"/>
        <v>100.64647021808376</v>
      </c>
      <c r="M139" s="4">
        <f>L139/MAX(L$2:L139)-1</f>
        <v>-6.4616869149208722E-2</v>
      </c>
      <c r="N139" s="4">
        <f t="shared" si="3"/>
        <v>-3.4379240057467064E-2</v>
      </c>
    </row>
    <row r="140" spans="1:14">
      <c r="A140" s="3">
        <f>prices!A141</f>
        <v>43675</v>
      </c>
      <c r="B140" s="5">
        <f>prices!B141/prices!B140-1</f>
        <v>-2.345189569490147E-3</v>
      </c>
      <c r="C140" s="5">
        <f>prices!C141/prices!C140-1</f>
        <v>9.93417390256357E-3</v>
      </c>
      <c r="D140" s="5">
        <f>prices!D141/prices!D140-1</f>
        <v>-1.4490836954468067E-2</v>
      </c>
      <c r="E140" s="5">
        <f>prices!E141/prices!E140-1</f>
        <v>5.6601753124567722E-3</v>
      </c>
      <c r="F140" s="5">
        <f>prices!F141/prices!F140-1</f>
        <v>-9.8069900886802452E-3</v>
      </c>
      <c r="G140" s="5">
        <f>prices!G141/prices!G140-1</f>
        <v>-4.2098049884768507E-2</v>
      </c>
      <c r="H140" s="5">
        <f>prices!H141/prices!H140-1</f>
        <v>-2.0214410126830673E-2</v>
      </c>
      <c r="I140" s="5">
        <f>prices!I141/prices!I140-1</f>
        <v>-1.4831521565877082E-2</v>
      </c>
      <c r="J140" s="5">
        <f>prices!J141/prices!J140-1</f>
        <v>-8.4276384002550664E-3</v>
      </c>
      <c r="K140" s="8">
        <f>SUMPRODUCT(B140:I140,weights!$B$5:$I$5)</f>
        <v>-1.49977169114839E-2</v>
      </c>
      <c r="L140" s="4">
        <f t="shared" si="4"/>
        <v>99.13700294961285</v>
      </c>
      <c r="M140" s="4">
        <f>L140/MAX(L$2:L140)-1</f>
        <v>-7.8645480549486391E-2</v>
      </c>
      <c r="N140" s="4">
        <f t="shared" si="3"/>
        <v>-5.3504052937396573E-2</v>
      </c>
    </row>
    <row r="141" spans="1:14">
      <c r="A141" s="3">
        <f>prices!A142</f>
        <v>43676</v>
      </c>
      <c r="B141" s="5">
        <f>prices!B142/prices!B141-1</f>
        <v>-2.4812969907277771E-2</v>
      </c>
      <c r="C141" s="5">
        <f>prices!C142/prices!C141-1</f>
        <v>2.3076748229892363E-2</v>
      </c>
      <c r="D141" s="5">
        <f>prices!D142/prices!D141-1</f>
        <v>3.5465751586374328E-3</v>
      </c>
      <c r="E141" s="5">
        <f>prices!E142/prices!E141-1</f>
        <v>1.5820137209265894E-3</v>
      </c>
      <c r="F141" s="5">
        <f>prices!F142/prices!F141-1</f>
        <v>4.2672005057422524E-3</v>
      </c>
      <c r="G141" s="5">
        <f>prices!G142/prices!G141-1</f>
        <v>-9.7283506393802677E-3</v>
      </c>
      <c r="H141" s="5">
        <f>prices!H142/prices!H141-1</f>
        <v>-4.802323543403697E-2</v>
      </c>
      <c r="I141" s="5">
        <f>prices!I142/prices!I141-1</f>
        <v>3.5351696800549615E-3</v>
      </c>
      <c r="J141" s="5">
        <f>prices!J142/prices!J141-1</f>
        <v>-9.2768026311086382E-3</v>
      </c>
      <c r="K141" s="8">
        <f>SUMPRODUCT(B141:I141,weights!$B$5:$I$5)</f>
        <v>-8.815957481417341E-3</v>
      </c>
      <c r="L141" s="4">
        <f t="shared" si="4"/>
        <v>98.263015346773912</v>
      </c>
      <c r="M141" s="4">
        <f>L141/MAX(L$2:L141)-1</f>
        <v>-8.6768102818273851E-2</v>
      </c>
      <c r="N141" s="4">
        <f t="shared" si="3"/>
        <v>-6.3008515889196759E-2</v>
      </c>
    </row>
    <row r="142" spans="1:14">
      <c r="A142" s="3">
        <f>prices!A143</f>
        <v>43677</v>
      </c>
      <c r="B142" s="5">
        <f>prices!B143/prices!B142-1</f>
        <v>-1.239693137686293E-2</v>
      </c>
      <c r="C142" s="5">
        <f>prices!C143/prices!C142-1</f>
        <v>1.2180694182926999E-2</v>
      </c>
      <c r="D142" s="5">
        <f>prices!D143/prices!D142-1</f>
        <v>-2.6744097195685601E-4</v>
      </c>
      <c r="E142" s="5">
        <f>prices!E143/prices!E142-1</f>
        <v>1.199823823337498E-3</v>
      </c>
      <c r="F142" s="5">
        <f>prices!F143/prices!F142-1</f>
        <v>4.8261029218905627E-3</v>
      </c>
      <c r="G142" s="5">
        <f>prices!G143/prices!G142-1</f>
        <v>-6.7992184716342274E-3</v>
      </c>
      <c r="H142" s="5">
        <f>prices!H143/prices!H142-1</f>
        <v>3.9951605691591396E-2</v>
      </c>
      <c r="I142" s="5">
        <f>prices!I143/prices!I142-1</f>
        <v>7.9563408893046361E-3</v>
      </c>
      <c r="J142" s="5">
        <f>prices!J143/prices!J142-1</f>
        <v>2.94080502282279E-3</v>
      </c>
      <c r="K142" s="8">
        <f>SUMPRODUCT(B142:I142,weights!$B$5:$I$5)</f>
        <v>6.2482641756728564E-3</v>
      </c>
      <c r="L142" s="4">
        <f t="shared" si="4"/>
        <v>98.876988625358763</v>
      </c>
      <c r="M142" s="4">
        <f>L142/MAX(L$2:L142)-1</f>
        <v>-8.1061988671031426E-2</v>
      </c>
      <c r="N142" s="4">
        <f t="shared" si="3"/>
        <v>-5.774074933592932E-2</v>
      </c>
    </row>
    <row r="143" spans="1:14">
      <c r="A143" s="3">
        <f>prices!A144</f>
        <v>43678</v>
      </c>
      <c r="B143" s="5">
        <f>prices!B144/prices!B143-1</f>
        <v>1.1990779303798549E-2</v>
      </c>
      <c r="C143" s="5">
        <f>prices!C144/prices!C143-1</f>
        <v>-1.1628034593265668E-2</v>
      </c>
      <c r="D143" s="5">
        <f>prices!D144/prices!D143-1</f>
        <v>-1.1063553330530995E-2</v>
      </c>
      <c r="E143" s="5">
        <f>prices!E144/prices!E143-1</f>
        <v>-3.1249051909832848E-2</v>
      </c>
      <c r="F143" s="5">
        <f>prices!F144/prices!F143-1</f>
        <v>-9.8146697990082465E-3</v>
      </c>
      <c r="G143" s="5">
        <f>prices!G144/prices!G143-1</f>
        <v>1.8812546691345133E-2</v>
      </c>
      <c r="H143" s="5">
        <f>prices!H144/prices!H143-1</f>
        <v>-3.8694992412745544E-3</v>
      </c>
      <c r="I143" s="5">
        <f>prices!I144/prices!I143-1</f>
        <v>-2.108142259615009E-2</v>
      </c>
      <c r="J143" s="5">
        <f>prices!J144/prices!J143-1</f>
        <v>-1.2412304371289817E-2</v>
      </c>
      <c r="K143" s="8">
        <f>SUMPRODUCT(B143:I143,weights!$B$5:$I$5)</f>
        <v>-4.8661821278833482E-3</v>
      </c>
      <c r="L143" s="4">
        <f t="shared" si="4"/>
        <v>98.395835190451109</v>
      </c>
      <c r="M143" s="4">
        <f>L143/MAX(L$2:L143)-1</f>
        <v>-8.5533708398393249E-2</v>
      </c>
      <c r="N143" s="4">
        <f t="shared" si="3"/>
        <v>-6.1289455401646431E-2</v>
      </c>
    </row>
    <row r="144" spans="1:14">
      <c r="A144" s="3">
        <f>prices!A145</f>
        <v>43679</v>
      </c>
      <c r="B144" s="5">
        <f>prices!B145/prices!B144-1</f>
        <v>9.4942766356571617E-3</v>
      </c>
      <c r="C144" s="5">
        <f>prices!C145/prices!C144-1</f>
        <v>1.1581618206348177E-2</v>
      </c>
      <c r="D144" s="5">
        <f>prices!D145/prices!D144-1</f>
        <v>-3.3619940102406209E-3</v>
      </c>
      <c r="E144" s="5">
        <f>prices!E145/prices!E144-1</f>
        <v>8.7689079577839557E-3</v>
      </c>
      <c r="F144" s="5">
        <f>prices!F145/prices!F144-1</f>
        <v>-1.1388200558865358E-2</v>
      </c>
      <c r="G144" s="5">
        <f>prices!G145/prices!G144-1</f>
        <v>2.0951312238205233E-2</v>
      </c>
      <c r="H144" s="5">
        <f>prices!H145/prices!H144-1</f>
        <v>-1.0460304161271528E-2</v>
      </c>
      <c r="I144" s="5">
        <f>prices!I145/prices!I144-1</f>
        <v>8.9785381077260862E-3</v>
      </c>
      <c r="J144" s="5">
        <f>prices!J145/prices!J144-1</f>
        <v>1.5801457194899449E-3</v>
      </c>
      <c r="K144" s="8">
        <f>SUMPRODUCT(B144:I144,weights!$B$5:$I$5)</f>
        <v>6.0297485818629161E-3</v>
      </c>
      <c r="L144" s="4">
        <f t="shared" si="4"/>
        <v>98.989137338151963</v>
      </c>
      <c r="M144" s="4">
        <f>L144/MAX(L$2:L144)-1</f>
        <v>-8.0019706573446814E-2</v>
      </c>
      <c r="N144" s="4">
        <f t="shared" si="3"/>
        <v>-3.5947601486783443E-2</v>
      </c>
    </row>
    <row r="145" spans="1:14">
      <c r="A145" s="3">
        <f>prices!A146</f>
        <v>43682</v>
      </c>
      <c r="B145" s="5">
        <f>prices!B146/prices!B145-1</f>
        <v>-3.4605028632105905E-2</v>
      </c>
      <c r="C145" s="5">
        <f>prices!C146/prices!C145-1</f>
        <v>1.9637868484459364E-2</v>
      </c>
      <c r="D145" s="5">
        <f>prices!D146/prices!D145-1</f>
        <v>-1.5839165584226711E-2</v>
      </c>
      <c r="E145" s="5">
        <f>prices!E146/prices!E145-1</f>
        <v>1.4280835739342024E-3</v>
      </c>
      <c r="F145" s="5">
        <f>prices!F146/prices!F145-1</f>
        <v>-1.7759052850514601E-2</v>
      </c>
      <c r="G145" s="5">
        <f>prices!G146/prices!G145-1</f>
        <v>-3.3409513847039163E-3</v>
      </c>
      <c r="H145" s="5">
        <f>prices!H146/prices!H145-1</f>
        <v>-8.3130211674150578E-3</v>
      </c>
      <c r="I145" s="5">
        <f>prices!I146/prices!I145-1</f>
        <v>-1.783776780942814E-2</v>
      </c>
      <c r="J145" s="5">
        <f>prices!J146/prices!J145-1</f>
        <v>-1.2252951847490534E-2</v>
      </c>
      <c r="K145" s="8">
        <f>SUMPRODUCT(B145:I145,weights!$B$5:$I$5)</f>
        <v>-1.06395605089018E-2</v>
      </c>
      <c r="L145" s="4">
        <f t="shared" si="4"/>
        <v>97.935936421718708</v>
      </c>
      <c r="M145" s="4">
        <f>L145/MAX(L$2:L145)-1</f>
        <v>-8.9807892572355885E-2</v>
      </c>
      <c r="N145" s="4">
        <f t="shared" si="3"/>
        <v>-2.176177575389604E-2</v>
      </c>
    </row>
    <row r="146" spans="1:14">
      <c r="A146" s="3">
        <f>prices!A147</f>
        <v>43683</v>
      </c>
      <c r="B146" s="5">
        <f>prices!B147/prices!B146-1</f>
        <v>-1.3159703808457546E-2</v>
      </c>
      <c r="C146" s="5">
        <f>prices!C147/prices!C146-1</f>
        <v>-1.4991091469880535E-2</v>
      </c>
      <c r="D146" s="5">
        <f>prices!D147/prices!D146-1</f>
        <v>4.5110708376014941E-3</v>
      </c>
      <c r="E146" s="5">
        <f>prices!E147/prices!E146-1</f>
        <v>-2.8985956536565771E-3</v>
      </c>
      <c r="F146" s="5">
        <f>prices!F147/prices!F146-1</f>
        <v>-3.4748615484853085E-3</v>
      </c>
      <c r="G146" s="5">
        <f>prices!G147/prices!G146-1</f>
        <v>2.8737610066719599E-2</v>
      </c>
      <c r="H146" s="5">
        <f>prices!H147/prices!H146-1</f>
        <v>2.5096375255491132E-3</v>
      </c>
      <c r="I146" s="5">
        <f>prices!I147/prices!I146-1</f>
        <v>2.3553368123397478E-2</v>
      </c>
      <c r="J146" s="5">
        <f>prices!J147/prices!J146-1</f>
        <v>7.8848526135546493E-3</v>
      </c>
      <c r="K146" s="8">
        <f>SUMPRODUCT(B146:I146,weights!$B$5:$I$5)</f>
        <v>7.4124742390593076E-3</v>
      </c>
      <c r="L146" s="4">
        <f t="shared" si="4"/>
        <v>98.661884027522845</v>
      </c>
      <c r="M146" s="4">
        <f>L146/MAX(L$2:L146)-1</f>
        <v>-8.3061117023453424E-2</v>
      </c>
      <c r="N146" s="4">
        <f t="shared" si="3"/>
        <v>-2.2822602682456727E-2</v>
      </c>
    </row>
    <row r="147" spans="1:14">
      <c r="A147" s="3">
        <f>prices!A148</f>
        <v>43684</v>
      </c>
      <c r="B147" s="5">
        <f>prices!B148/prices!B147-1</f>
        <v>-1.6758553430328615E-2</v>
      </c>
      <c r="C147" s="5">
        <f>prices!C148/prices!C147-1</f>
        <v>-6.557663723004703E-4</v>
      </c>
      <c r="D147" s="5">
        <f>prices!D148/prices!D147-1</f>
        <v>-2.3336536387347229E-3</v>
      </c>
      <c r="E147" s="5">
        <f>prices!E148/prices!E147-1</f>
        <v>2.1297433426088475E-3</v>
      </c>
      <c r="F147" s="5">
        <f>prices!F148/prices!F147-1</f>
        <v>-2.0268061457992759E-2</v>
      </c>
      <c r="G147" s="5">
        <f>prices!G148/prices!G147-1</f>
        <v>-9.9936234509143684E-3</v>
      </c>
      <c r="H147" s="5">
        <f>prices!H148/prices!H147-1</f>
        <v>6.8132548776711488E-3</v>
      </c>
      <c r="I147" s="5">
        <f>prices!I148/prices!I147-1</f>
        <v>-1.2669544766261809E-2</v>
      </c>
      <c r="J147" s="5">
        <f>prices!J148/prices!J147-1</f>
        <v>-8.4716735551343403E-3</v>
      </c>
      <c r="K147" s="8">
        <f>SUMPRODUCT(B147:I147,weights!$B$5:$I$5)</f>
        <v>-7.2891186621701232E-3</v>
      </c>
      <c r="L147" s="4">
        <f t="shared" si="4"/>
        <v>97.942725847412973</v>
      </c>
      <c r="M147" s="4">
        <f>L147/MAX(L$2:L147)-1</f>
        <v>-8.9744793347427132E-2</v>
      </c>
      <c r="N147" s="4">
        <f t="shared" si="3"/>
        <v>-2.7573044171538053E-2</v>
      </c>
    </row>
    <row r="148" spans="1:14">
      <c r="A148" s="3">
        <f>prices!A149</f>
        <v>43685</v>
      </c>
      <c r="B148" s="5">
        <f>prices!B149/prices!B148-1</f>
        <v>3.870366996619512E-2</v>
      </c>
      <c r="C148" s="5">
        <f>prices!C149/prices!C148-1</f>
        <v>2.01725797278971E-2</v>
      </c>
      <c r="D148" s="5">
        <f>prices!D149/prices!D148-1</f>
        <v>2.2506584896017756E-2</v>
      </c>
      <c r="E148" s="5">
        <f>prices!E149/prices!E148-1</f>
        <v>1.6303673368081473E-2</v>
      </c>
      <c r="F148" s="5">
        <f>prices!F149/prices!F148-1</f>
        <v>1.6182849516182873E-2</v>
      </c>
      <c r="G148" s="5">
        <f>prices!G149/prices!G148-1</f>
        <v>2.2033537575750772E-2</v>
      </c>
      <c r="H148" s="5">
        <f>prices!H149/prices!H148-1</f>
        <v>1.2816569260740263E-2</v>
      </c>
      <c r="I148" s="5">
        <f>prices!I149/prices!I148-1</f>
        <v>4.4051785320964321E-4</v>
      </c>
      <c r="J148" s="5">
        <f>prices!J149/prices!J148-1</f>
        <v>1.6300492837732161E-2</v>
      </c>
      <c r="K148" s="8">
        <f>SUMPRODUCT(B148:I148,weights!$B$5:$I$5)</f>
        <v>1.7408511756788422E-2</v>
      </c>
      <c r="L148" s="4">
        <f t="shared" si="4"/>
        <v>99.647762941819565</v>
      </c>
      <c r="M148" s="4">
        <f>L148/MAX(L$2:L148)-1</f>
        <v>-7.3898604880737961E-2</v>
      </c>
      <c r="N148" s="4">
        <f t="shared" si="3"/>
        <v>-1.7501771922180609E-2</v>
      </c>
    </row>
    <row r="149" spans="1:14">
      <c r="A149" s="3">
        <f>prices!A150</f>
        <v>43686</v>
      </c>
      <c r="B149" s="5">
        <f>prices!B150/prices!B149-1</f>
        <v>8.4773838988170258E-3</v>
      </c>
      <c r="C149" s="5">
        <f>prices!C150/prices!C149-1</f>
        <v>-5.247613381146099E-3</v>
      </c>
      <c r="D149" s="5">
        <f>prices!D150/prices!D149-1</f>
        <v>2.1876622003498714E-2</v>
      </c>
      <c r="E149" s="5">
        <f>prices!E150/prices!E149-1</f>
        <v>1.3889948866672164E-3</v>
      </c>
      <c r="F149" s="5">
        <f>prices!F150/prices!F149-1</f>
        <v>-1.3790838942702277E-2</v>
      </c>
      <c r="G149" s="5">
        <f>prices!G150/prices!G149-1</f>
        <v>3.3488601490574199E-2</v>
      </c>
      <c r="H149" s="5">
        <f>prices!H150/prices!H149-1</f>
        <v>-1.0427211986232088E-2</v>
      </c>
      <c r="I149" s="5">
        <f>prices!I150/prices!I149-1</f>
        <v>2.9028759672857785E-3</v>
      </c>
      <c r="J149" s="5">
        <f>prices!J150/prices!J149-1</f>
        <v>6.9975390779020152E-3</v>
      </c>
      <c r="K149" s="8">
        <f>SUMPRODUCT(B149:I149,weights!$B$5:$I$5)</f>
        <v>6.7181581039972346E-3</v>
      </c>
      <c r="L149" s="4">
        <f t="shared" si="4"/>
        <v>100.31721236797235</v>
      </c>
      <c r="M149" s="4">
        <f>L149/MAX(L$2:L149)-1</f>
        <v>-6.7676909287994302E-2</v>
      </c>
      <c r="N149" s="4">
        <f t="shared" si="3"/>
        <v>-9.0082721347228834E-3</v>
      </c>
    </row>
    <row r="150" spans="1:14">
      <c r="A150" s="3">
        <f>prices!A151</f>
        <v>43690</v>
      </c>
      <c r="B150" s="5">
        <f>prices!B151/prices!B150-1</f>
        <v>9.693128236840054E-2</v>
      </c>
      <c r="C150" s="5">
        <f>prices!C151/prices!C150-1</f>
        <v>-2.0831761701026963E-2</v>
      </c>
      <c r="D150" s="5">
        <f>prices!D151/prices!D150-1</f>
        <v>-2.7014316082547896E-2</v>
      </c>
      <c r="E150" s="5">
        <f>prices!E151/prices!E150-1</f>
        <v>-3.1780629820443163E-2</v>
      </c>
      <c r="F150" s="5">
        <f>prices!F151/prices!F150-1</f>
        <v>-3.1074857111148102E-2</v>
      </c>
      <c r="G150" s="5">
        <f>prices!G151/prices!G150-1</f>
        <v>-4.6631776348464826E-2</v>
      </c>
      <c r="H150" s="5">
        <f>prices!H151/prices!H150-1</f>
        <v>4.0869565217391379E-2</v>
      </c>
      <c r="I150" s="5">
        <f>prices!I151/prices!I150-1</f>
        <v>-3.7628157700031695E-2</v>
      </c>
      <c r="J150" s="5">
        <f>prices!J151/prices!J150-1</f>
        <v>-1.6544175559085939E-2</v>
      </c>
      <c r="K150" s="8">
        <f>SUMPRODUCT(B150:I150,weights!$B$5:$I$5)</f>
        <v>-7.1035566931052577E-3</v>
      </c>
      <c r="L150" s="4">
        <f t="shared" si="4"/>
        <v>99.604603362622171</v>
      </c>
      <c r="M150" s="4">
        <f>L150/MAX(L$2:L150)-1</f>
        <v>-7.4299719219158122E-2</v>
      </c>
      <c r="N150" s="4">
        <f t="shared" si="3"/>
        <v>-2.7433219152968924E-2</v>
      </c>
    </row>
    <row r="151" spans="1:14">
      <c r="A151" s="3">
        <f>prices!A152</f>
        <v>43691</v>
      </c>
      <c r="B151" s="5">
        <f>prices!B152/prices!B151-1</f>
        <v>1.0587696427313054E-2</v>
      </c>
      <c r="C151" s="5">
        <f>prices!C152/prices!C151-1</f>
        <v>2.2507649298906252E-3</v>
      </c>
      <c r="D151" s="5">
        <f>prices!D152/prices!D151-1</f>
        <v>4.0989153341970397E-3</v>
      </c>
      <c r="E151" s="5">
        <f>prices!E152/prices!E151-1</f>
        <v>1.314525904818864E-2</v>
      </c>
      <c r="F151" s="5">
        <f>prices!F152/prices!F151-1</f>
        <v>9.9650650020044473E-3</v>
      </c>
      <c r="G151" s="5">
        <f>prices!G152/prices!G151-1</f>
        <v>1.4043641891766656E-2</v>
      </c>
      <c r="H151" s="5">
        <f>prices!H152/prices!H151-1</f>
        <v>-5.0297311907219089E-2</v>
      </c>
      <c r="I151" s="5">
        <f>prices!I152/prices!I151-1</f>
        <v>1.5570481138849956E-2</v>
      </c>
      <c r="J151" s="5">
        <f>prices!J152/prices!J151-1</f>
        <v>9.4775234878750059E-3</v>
      </c>
      <c r="K151" s="8">
        <f>SUMPRODUCT(B151:I151,weights!$B$5:$I$5)</f>
        <v>2.00816622342205E-3</v>
      </c>
      <c r="L151" s="4">
        <f t="shared" si="4"/>
        <v>99.804625962792343</v>
      </c>
      <c r="M151" s="4">
        <f>L151/MAX(L$2:L151)-1</f>
        <v>-7.2440759182281766E-2</v>
      </c>
      <c r="N151" s="4">
        <f t="shared" ref="N151:N214" si="5">L151/L131-1</f>
        <v>-3.5193601885409431E-2</v>
      </c>
    </row>
    <row r="152" spans="1:14">
      <c r="A152" s="3">
        <f>prices!A153</f>
        <v>43693</v>
      </c>
      <c r="B152" s="5">
        <f>prices!B153/prices!B152-1</f>
        <v>-7.9490978819837244E-3</v>
      </c>
      <c r="C152" s="5">
        <f>prices!C153/prices!C152-1</f>
        <v>-1.7828414550446148E-2</v>
      </c>
      <c r="D152" s="5">
        <f>prices!D153/prices!D152-1</f>
        <v>-7.8947875146839763E-4</v>
      </c>
      <c r="E152" s="5">
        <f>prices!E153/prices!E152-1</f>
        <v>-3.263099011745485E-4</v>
      </c>
      <c r="F152" s="5">
        <f>prices!F153/prices!F152-1</f>
        <v>1.7068330025517442E-2</v>
      </c>
      <c r="G152" s="5">
        <f>prices!G153/prices!G152-1</f>
        <v>2.7347270849140237E-2</v>
      </c>
      <c r="H152" s="5">
        <f>prices!H153/prices!H152-1</f>
        <v>-5.8730692608210955E-3</v>
      </c>
      <c r="I152" s="5">
        <f>prices!I153/prices!I152-1</f>
        <v>1.1646479435645229E-3</v>
      </c>
      <c r="J152" s="5">
        <f>prices!J153/prices!J152-1</f>
        <v>1.6682684461530872E-3</v>
      </c>
      <c r="K152" s="8">
        <f>SUMPRODUCT(B152:I152,weights!$B$5:$I$5)</f>
        <v>3.4232702647083958E-3</v>
      </c>
      <c r="L152" s="4">
        <f t="shared" si="4"/>
        <v>100.14628417113111</v>
      </c>
      <c r="M152" s="4">
        <f>L152/MAX(L$2:L152)-1</f>
        <v>-6.9265473214434992E-2</v>
      </c>
      <c r="N152" s="4">
        <f t="shared" si="5"/>
        <v>-2.8351341143591058E-2</v>
      </c>
    </row>
    <row r="153" spans="1:14">
      <c r="A153" s="3">
        <f>prices!A154</f>
        <v>43696</v>
      </c>
      <c r="B153" s="5">
        <f>prices!B154/prices!B153-1</f>
        <v>1.1421743485213298E-2</v>
      </c>
      <c r="C153" s="5">
        <f>prices!C154/prices!C153-1</f>
        <v>-9.7273001710662665E-4</v>
      </c>
      <c r="D153" s="5">
        <f>prices!D154/prices!D153-1</f>
        <v>-9.346334695135905E-3</v>
      </c>
      <c r="E153" s="5">
        <f>prices!E154/prices!E153-1</f>
        <v>4.0102588015853424E-3</v>
      </c>
      <c r="F153" s="5">
        <f>prices!F154/prices!F153-1</f>
        <v>-5.7426404995539748E-3</v>
      </c>
      <c r="G153" s="5">
        <f>prices!G154/prices!G153-1</f>
        <v>1.2546202949514917E-3</v>
      </c>
      <c r="H153" s="5">
        <f>prices!H154/prices!H153-1</f>
        <v>2.7248594628357159E-2</v>
      </c>
      <c r="I153" s="5">
        <f>prices!I154/prices!I153-1</f>
        <v>1.2696513444344637E-2</v>
      </c>
      <c r="J153" s="5">
        <f>prices!J154/prices!J153-1</f>
        <v>5.5214612864107337E-4</v>
      </c>
      <c r="K153" s="8">
        <f>SUMPRODUCT(B153:I153,weights!$B$5:$I$5)</f>
        <v>7.3881944571823985E-3</v>
      </c>
      <c r="L153" s="4">
        <f t="shared" si="4"/>
        <v>100.88618439275167</v>
      </c>
      <c r="M153" s="4">
        <f>L153/MAX(L$2:L153)-1</f>
        <v>-6.2389025542529564E-2</v>
      </c>
      <c r="N153" s="4">
        <f t="shared" si="5"/>
        <v>-7.2072606778369463E-3</v>
      </c>
    </row>
    <row r="154" spans="1:14">
      <c r="A154" s="3">
        <f>prices!A155</f>
        <v>43697</v>
      </c>
      <c r="B154" s="5">
        <f>prices!B155/prices!B154-1</f>
        <v>-1.289112041557372E-2</v>
      </c>
      <c r="C154" s="5">
        <f>prices!C155/prices!C154-1</f>
        <v>1.0984644999552318E-2</v>
      </c>
      <c r="D154" s="5">
        <f>prices!D155/prices!D154-1</f>
        <v>6.224833193922974E-3</v>
      </c>
      <c r="E154" s="5">
        <f>prices!E155/prices!E154-1</f>
        <v>1.9413868375830257E-2</v>
      </c>
      <c r="F154" s="5">
        <f>prices!F155/prices!F154-1</f>
        <v>-2.0075141591431644E-2</v>
      </c>
      <c r="G154" s="5">
        <f>prices!G155/prices!G154-1</f>
        <v>3.4834739828092598E-2</v>
      </c>
      <c r="H154" s="5">
        <f>prices!H155/prices!H154-1</f>
        <v>-5.5483772896557371E-3</v>
      </c>
      <c r="I154" s="5">
        <f>prices!I155/prices!I154-1</f>
        <v>-7.1794282713577573E-3</v>
      </c>
      <c r="J154" s="5">
        <f>prices!J155/prices!J154-1</f>
        <v>-3.338188331719949E-3</v>
      </c>
      <c r="K154" s="8">
        <f>SUMPRODUCT(B154:I154,weights!$B$5:$I$5)</f>
        <v>4.2732125287377699E-3</v>
      </c>
      <c r="L154" s="4">
        <f t="shared" si="4"/>
        <v>101.31729249987532</v>
      </c>
      <c r="M154" s="4">
        <f>L154/MAX(L$2:L154)-1</f>
        <v>-5.8382414579395969E-2</v>
      </c>
      <c r="N154" s="4">
        <f t="shared" si="5"/>
        <v>1.0033105546251475E-2</v>
      </c>
    </row>
    <row r="155" spans="1:14">
      <c r="A155" s="3">
        <f>prices!A156</f>
        <v>43698</v>
      </c>
      <c r="B155" s="5">
        <f>prices!B156/prices!B155-1</f>
        <v>-3.9072812714503469E-3</v>
      </c>
      <c r="C155" s="5">
        <f>prices!C156/prices!C155-1</f>
        <v>-2.546120763614601E-4</v>
      </c>
      <c r="D155" s="5">
        <f>prices!D156/prices!D155-1</f>
        <v>2.3585361609992361E-3</v>
      </c>
      <c r="E155" s="5">
        <f>prices!E156/prices!E155-1</f>
        <v>8.4438167266540631E-3</v>
      </c>
      <c r="F155" s="5">
        <f>prices!F156/prices!F155-1</f>
        <v>-2.0486409155937135E-2</v>
      </c>
      <c r="G155" s="5">
        <f>prices!G156/prices!G155-1</f>
        <v>6.129911529351828E-3</v>
      </c>
      <c r="H155" s="5">
        <f>prices!H156/prices!H155-1</f>
        <v>-9.2734128197289323E-3</v>
      </c>
      <c r="I155" s="5">
        <f>prices!I156/prices!I155-1</f>
        <v>-2.3718812241221188E-2</v>
      </c>
      <c r="J155" s="5">
        <f>prices!J156/prices!J155-1</f>
        <v>-8.9225742035036193E-3</v>
      </c>
      <c r="K155" s="8">
        <f>SUMPRODUCT(B155:I155,weights!$B$5:$I$5)</f>
        <v>-6.2211875919622895E-3</v>
      </c>
      <c r="L155" s="4">
        <f t="shared" si="4"/>
        <v>100.68697861692388</v>
      </c>
      <c r="M155" s="4">
        <f>L155/MAX(L$2:L155)-1</f>
        <v>-6.4240394218188168E-2</v>
      </c>
      <c r="N155" s="4">
        <f t="shared" si="5"/>
        <v>-3.9695920031775911E-3</v>
      </c>
    </row>
    <row r="156" spans="1:14">
      <c r="A156" s="3">
        <f>prices!A157</f>
        <v>43699</v>
      </c>
      <c r="B156" s="5">
        <f>prices!B157/prices!B156-1</f>
        <v>-1.9047619047619202E-2</v>
      </c>
      <c r="C156" s="5">
        <f>prices!C157/prices!C156-1</f>
        <v>1.3630751684466258E-2</v>
      </c>
      <c r="D156" s="5">
        <f>prices!D157/prices!D156-1</f>
        <v>-2.3240563945302717E-2</v>
      </c>
      <c r="E156" s="5">
        <f>prices!E157/prices!E156-1</f>
        <v>-4.6835233347891636E-3</v>
      </c>
      <c r="F156" s="5">
        <f>prices!F157/prices!F156-1</f>
        <v>-5.783723783373107E-3</v>
      </c>
      <c r="G156" s="5">
        <f>prices!G157/prices!G156-1</f>
        <v>-3.2673490430116248E-3</v>
      </c>
      <c r="H156" s="5">
        <f>prices!H157/prices!H156-1</f>
        <v>-5.8887060275664149E-3</v>
      </c>
      <c r="I156" s="5">
        <f>prices!I157/prices!I156-1</f>
        <v>-1.2519998984178549E-2</v>
      </c>
      <c r="J156" s="5">
        <f>prices!J157/prices!J156-1</f>
        <v>-1.6242776154670513E-2</v>
      </c>
      <c r="K156" s="8">
        <f>SUMPRODUCT(B156:I156,weights!$B$5:$I$5)</f>
        <v>-7.8261219146209971E-3</v>
      </c>
      <c r="L156" s="4">
        <f t="shared" si="4"/>
        <v>99.898990047053005</v>
      </c>
      <c r="M156" s="4">
        <f>L156/MAX(L$2:L156)-1</f>
        <v>-7.1563762975814238E-2</v>
      </c>
      <c r="N156" s="4">
        <f t="shared" si="5"/>
        <v>-1.2206893499068117E-2</v>
      </c>
    </row>
    <row r="157" spans="1:14">
      <c r="A157" s="3">
        <f>prices!A158</f>
        <v>43700</v>
      </c>
      <c r="B157" s="5">
        <f>prices!B158/prices!B157-1</f>
        <v>2.3344200875407672E-2</v>
      </c>
      <c r="C157" s="5">
        <f>prices!C158/prices!C157-1</f>
        <v>1.4304987355461707E-2</v>
      </c>
      <c r="D157" s="5">
        <f>prices!D158/prices!D157-1</f>
        <v>-5.2523497354080018E-3</v>
      </c>
      <c r="E157" s="5">
        <f>prices!E158/prices!E157-1</f>
        <v>8.1704290988320327E-3</v>
      </c>
      <c r="F157" s="5">
        <f>prices!F158/prices!F157-1</f>
        <v>-1.64531672346927E-2</v>
      </c>
      <c r="G157" s="5">
        <f>prices!G158/prices!G157-1</f>
        <v>7.3764904552633404E-3</v>
      </c>
      <c r="H157" s="5">
        <f>prices!H158/prices!H157-1</f>
        <v>3.1971856488786532E-2</v>
      </c>
      <c r="I157" s="5">
        <f>prices!I158/prices!I157-1</f>
        <v>-5.9836093680348812E-3</v>
      </c>
      <c r="J157" s="5">
        <f>prices!J158/prices!J157-1</f>
        <v>8.1926387279065427E-3</v>
      </c>
      <c r="K157" s="8">
        <f>SUMPRODUCT(B157:I157,weights!$B$5:$I$5)</f>
        <v>8.2309107281562151E-3</v>
      </c>
      <c r="L157" s="4">
        <f t="shared" si="4"/>
        <v>100.72124971596327</v>
      </c>
      <c r="M157" s="4">
        <f>L157/MAX(L$2:L157)-1</f>
        <v>-6.3921887192082805E-2</v>
      </c>
      <c r="N157" s="4">
        <f t="shared" si="5"/>
        <v>3.5511598258550769E-3</v>
      </c>
    </row>
    <row r="158" spans="1:14">
      <c r="A158" s="3">
        <f>prices!A159</f>
        <v>43703</v>
      </c>
      <c r="B158" s="5">
        <f>prices!B159/prices!B158-1</f>
        <v>-7.0934469223592478E-3</v>
      </c>
      <c r="C158" s="5">
        <f>prices!C159/prices!C158-1</f>
        <v>1.2724687940894652E-2</v>
      </c>
      <c r="D158" s="5">
        <f>prices!D159/prices!D158-1</f>
        <v>4.3213307396085643E-2</v>
      </c>
      <c r="E158" s="5">
        <f>prices!E159/prices!E158-1</f>
        <v>4.3522631768522224E-4</v>
      </c>
      <c r="F158" s="5">
        <f>prices!F159/prices!F158-1</f>
        <v>2.71239096666267E-2</v>
      </c>
      <c r="G158" s="5">
        <f>prices!G159/prices!G158-1</f>
        <v>1.9211511945993465E-4</v>
      </c>
      <c r="H158" s="5">
        <f>prices!H159/prices!H158-1</f>
        <v>-1.9751848602581723E-2</v>
      </c>
      <c r="I158" s="5">
        <f>prices!I159/prices!I158-1</f>
        <v>3.6652465632923459E-2</v>
      </c>
      <c r="J158" s="5">
        <f>prices!J159/prices!J158-1</f>
        <v>2.1100066024276609E-2</v>
      </c>
      <c r="K158" s="8">
        <f>SUMPRODUCT(B158:I158,weights!$B$5:$I$5)</f>
        <v>1.0010299432328371E-2</v>
      </c>
      <c r="L158" s="4">
        <f t="shared" si="4"/>
        <v>101.72949958481837</v>
      </c>
      <c r="M158" s="4">
        <f>L158/MAX(L$2:L158)-1</f>
        <v>-5.4551464990826748E-2</v>
      </c>
      <c r="N158" s="4">
        <f t="shared" si="5"/>
        <v>1.3343323150062592E-2</v>
      </c>
    </row>
    <row r="159" spans="1:14">
      <c r="A159" s="3">
        <f>prices!A160</f>
        <v>43704</v>
      </c>
      <c r="B159" s="5">
        <f>prices!B160/prices!B159-1</f>
        <v>6.3463924836020258E-3</v>
      </c>
      <c r="C159" s="5">
        <f>prices!C160/prices!C159-1</f>
        <v>-1.7483316938292637E-2</v>
      </c>
      <c r="D159" s="5">
        <f>prices!D160/prices!D159-1</f>
        <v>1.6934639901058368E-3</v>
      </c>
      <c r="E159" s="5">
        <f>prices!E160/prices!E159-1</f>
        <v>-2.2306896086167316E-2</v>
      </c>
      <c r="F159" s="5">
        <f>prices!F160/prices!F159-1</f>
        <v>1.2331316891577515E-2</v>
      </c>
      <c r="G159" s="5">
        <f>prices!G160/prices!G159-1</f>
        <v>3.549197521000913E-3</v>
      </c>
      <c r="H159" s="5">
        <f>prices!H160/prices!H159-1</f>
        <v>-6.1881504589971215E-3</v>
      </c>
      <c r="I159" s="5">
        <f>prices!I160/prices!I159-1</f>
        <v>1.7470300489168311E-2</v>
      </c>
      <c r="J159" s="5">
        <f>prices!J160/prices!J159-1</f>
        <v>4.2955909150512728E-3</v>
      </c>
      <c r="K159" s="8">
        <f>SUMPRODUCT(B159:I159,weights!$B$5:$I$5)</f>
        <v>1.7373069823718096E-3</v>
      </c>
      <c r="L159" s="4">
        <f t="shared" si="4"/>
        <v>101.90623495476027</v>
      </c>
      <c r="M159" s="4">
        <f>L159/MAX(L$2:L159)-1</f>
        <v>-5.2908930649482211E-2</v>
      </c>
      <c r="N159" s="4">
        <f t="shared" si="5"/>
        <v>1.2516730432242662E-2</v>
      </c>
    </row>
    <row r="160" spans="1:14">
      <c r="A160" s="3">
        <f>prices!A161</f>
        <v>43705</v>
      </c>
      <c r="B160" s="5">
        <f>prices!B161/prices!B160-1</f>
        <v>-9.0543968432920119E-3</v>
      </c>
      <c r="C160" s="5">
        <f>prices!C161/prices!C160-1</f>
        <v>1.2285078770626345E-3</v>
      </c>
      <c r="D160" s="5">
        <f>prices!D161/prices!D160-1</f>
        <v>-5.5086999468126896E-3</v>
      </c>
      <c r="E160" s="5">
        <f>prices!E161/prices!E160-1</f>
        <v>2.2754472642464885E-2</v>
      </c>
      <c r="F160" s="5">
        <f>prices!F161/prices!F160-1</f>
        <v>1.8386577798208403E-3</v>
      </c>
      <c r="G160" s="5">
        <f>prices!G161/prices!G160-1</f>
        <v>-2.777316688968301E-2</v>
      </c>
      <c r="H160" s="5">
        <f>prices!H161/prices!H160-1</f>
        <v>-8.773961147562015E-3</v>
      </c>
      <c r="I160" s="5">
        <f>prices!I161/prices!I160-1</f>
        <v>-9.0675693354264064E-3</v>
      </c>
      <c r="J160" s="5">
        <f>prices!J161/prices!J160-1</f>
        <v>-5.3352663355950014E-3</v>
      </c>
      <c r="K160" s="8">
        <f>SUMPRODUCT(B160:I160,weights!$B$5:$I$5)</f>
        <v>-7.879936880189526E-3</v>
      </c>
      <c r="L160" s="4">
        <f t="shared" si="4"/>
        <v>101.10322025561899</v>
      </c>
      <c r="M160" s="4">
        <f>L160/MAX(L$2:L160)-1</f>
        <v>-6.0371948495755445E-2</v>
      </c>
      <c r="N160" s="4">
        <f t="shared" si="5"/>
        <v>1.9833334148758652E-2</v>
      </c>
    </row>
    <row r="161" spans="1:14">
      <c r="A161" s="3">
        <f>prices!A162</f>
        <v>43706</v>
      </c>
      <c r="B161" s="5">
        <f>prices!B162/prices!B161-1</f>
        <v>-1.7065453123333296E-2</v>
      </c>
      <c r="C161" s="5">
        <f>prices!C162/prices!C161-1</f>
        <v>-2.5891332079306384E-3</v>
      </c>
      <c r="D161" s="5">
        <f>prices!D162/prices!D161-1</f>
        <v>-9.1492531611719885E-3</v>
      </c>
      <c r="E161" s="5">
        <f>prices!E162/prices!E161-1</f>
        <v>5.5358026913900904E-3</v>
      </c>
      <c r="F161" s="5">
        <f>prices!F162/prices!F161-1</f>
        <v>-1.932782748336781E-2</v>
      </c>
      <c r="G161" s="5">
        <f>prices!G162/prices!G161-1</f>
        <v>1.1149961759115978E-3</v>
      </c>
      <c r="H161" s="5">
        <f>prices!H162/prices!H161-1</f>
        <v>5.2175267365797806E-2</v>
      </c>
      <c r="I161" s="5">
        <f>prices!I162/prices!I161-1</f>
        <v>-1.6337307644704868E-3</v>
      </c>
      <c r="J161" s="5">
        <f>prices!J162/prices!J161-1</f>
        <v>-8.8538036048922963E-3</v>
      </c>
      <c r="K161" s="8">
        <f>SUMPRODUCT(B161:I161,weights!$B$5:$I$5)</f>
        <v>3.5378934901644957E-3</v>
      </c>
      <c r="L161" s="4">
        <f t="shared" si="4"/>
        <v>101.46091268039601</v>
      </c>
      <c r="M161" s="4">
        <f>L161/MAX(L$2:L161)-1</f>
        <v>-5.7047644529162667E-2</v>
      </c>
      <c r="N161" s="4">
        <f t="shared" si="5"/>
        <v>3.2544262175718819E-2</v>
      </c>
    </row>
    <row r="162" spans="1:14">
      <c r="A162" s="3">
        <f>prices!A163</f>
        <v>43707</v>
      </c>
      <c r="B162" s="5">
        <f>prices!B163/prices!B162-1</f>
        <v>5.4797988931891695E-3</v>
      </c>
      <c r="C162" s="5">
        <f>prices!C163/prices!C162-1</f>
        <v>1.170573093076821E-2</v>
      </c>
      <c r="D162" s="5">
        <f>prices!D163/prices!D162-1</f>
        <v>4.4337349397594039E-4</v>
      </c>
      <c r="E162" s="5">
        <f>prices!E163/prices!E162-1</f>
        <v>9.8618446572971141E-3</v>
      </c>
      <c r="F162" s="5">
        <f>prices!F163/prices!F162-1</f>
        <v>1.8480612901339288E-2</v>
      </c>
      <c r="G162" s="5">
        <f>prices!G163/prices!G162-1</f>
        <v>2.2170672411783166E-3</v>
      </c>
      <c r="H162" s="5">
        <f>prices!H163/prices!H162-1</f>
        <v>3.6241180243745896E-2</v>
      </c>
      <c r="I162" s="5">
        <f>prices!I163/prices!I162-1</f>
        <v>-1.0578774680363945E-2</v>
      </c>
      <c r="J162" s="5">
        <f>prices!J163/prices!J162-1</f>
        <v>6.845811678525493E-3</v>
      </c>
      <c r="K162" s="8">
        <f>SUMPRODUCT(B162:I162,weights!$B$5:$I$5)</f>
        <v>7.9524894550518505E-3</v>
      </c>
      <c r="L162" s="4">
        <f t="shared" si="4"/>
        <v>102.26777951858679</v>
      </c>
      <c r="M162" s="4">
        <f>L162/MAX(L$2:L162)-1</f>
        <v>-4.9548825865664559E-2</v>
      </c>
      <c r="N162" s="4">
        <f t="shared" si="5"/>
        <v>3.42930234867449E-2</v>
      </c>
    </row>
    <row r="163" spans="1:14">
      <c r="A163" s="3">
        <f>prices!A164</f>
        <v>43711</v>
      </c>
      <c r="B163" s="5">
        <f>prices!B164/prices!B163-1</f>
        <v>-3.3760814432433395E-2</v>
      </c>
      <c r="C163" s="5">
        <f>prices!C164/prices!C163-1</f>
        <v>-3.540723678924329E-3</v>
      </c>
      <c r="D163" s="5">
        <f>prices!D164/prices!D163-1</f>
        <v>-7.630351844001737E-3</v>
      </c>
      <c r="E163" s="5">
        <f>prices!E164/prices!E163-1</f>
        <v>-7.9778982670231091E-4</v>
      </c>
      <c r="F163" s="5">
        <f>prices!F164/prices!F163-1</f>
        <v>-1.6709732988802739E-2</v>
      </c>
      <c r="G163" s="5">
        <f>prices!G164/prices!G163-1</f>
        <v>-1.2092230169107099E-2</v>
      </c>
      <c r="H163" s="5">
        <f>prices!H164/prices!H163-1</f>
        <v>-2.4545865771492426E-2</v>
      </c>
      <c r="I163" s="5">
        <f>prices!I164/prices!I163-1</f>
        <v>-2.5485102366414103E-2</v>
      </c>
      <c r="J163" s="5">
        <f>prices!J164/prices!J163-1</f>
        <v>-2.0443154242170025E-2</v>
      </c>
      <c r="K163" s="8">
        <f>SUMPRODUCT(B163:I163,weights!$B$5:$I$5)</f>
        <v>-1.7713359792422285E-2</v>
      </c>
      <c r="L163" s="4">
        <f t="shared" si="4"/>
        <v>100.45627354480195</v>
      </c>
      <c r="M163" s="4">
        <f>L163/MAX(L$2:L163)-1</f>
        <v>-6.6384509478236264E-2</v>
      </c>
      <c r="N163" s="4">
        <f t="shared" si="5"/>
        <v>2.0940300474737938E-2</v>
      </c>
    </row>
    <row r="164" spans="1:14">
      <c r="A164" s="3">
        <f>prices!A165</f>
        <v>43712</v>
      </c>
      <c r="B164" s="5">
        <f>prices!B165/prices!B164-1</f>
        <v>-4.3373045420700418E-3</v>
      </c>
      <c r="C164" s="5">
        <f>prices!C165/prices!C164-1</f>
        <v>-2.7523330322969386E-3</v>
      </c>
      <c r="D164" s="5">
        <f>prices!D165/prices!D164-1</f>
        <v>1.664013048036983E-2</v>
      </c>
      <c r="E164" s="5">
        <f>prices!E165/prices!E164-1</f>
        <v>8.6496237044044744E-3</v>
      </c>
      <c r="F164" s="5">
        <f>prices!F165/prices!F164-1</f>
        <v>7.0661060499881412E-3</v>
      </c>
      <c r="G164" s="5">
        <f>prices!G165/prices!G164-1</f>
        <v>-3.6191674737188095E-2</v>
      </c>
      <c r="H164" s="5">
        <f>prices!H165/prices!H164-1</f>
        <v>-2.9361515181099307E-2</v>
      </c>
      <c r="I164" s="5">
        <f>prices!I165/prices!I164-1</f>
        <v>1.0542917388099315E-2</v>
      </c>
      <c r="J164" s="5">
        <f>prices!J165/prices!J164-1</f>
        <v>4.3295455597847088E-3</v>
      </c>
      <c r="K164" s="8">
        <f>SUMPRODUCT(B164:I164,weights!$B$5:$I$5)</f>
        <v>-7.6191594413080876E-3</v>
      </c>
      <c r="L164" s="4">
        <f t="shared" si="4"/>
        <v>99.690881179784441</v>
      </c>
      <c r="M164" s="4">
        <f>L164/MAX(L$2:L164)-1</f>
        <v>-7.3497874757396664E-2</v>
      </c>
      <c r="N164" s="4">
        <f t="shared" si="5"/>
        <v>7.0890994759889026E-3</v>
      </c>
    </row>
    <row r="165" spans="1:14">
      <c r="A165" s="3">
        <f>prices!A166</f>
        <v>43713</v>
      </c>
      <c r="B165" s="5">
        <f>prices!B166/prices!B165-1</f>
        <v>-2.1313590218183798E-3</v>
      </c>
      <c r="C165" s="5">
        <f>prices!C166/prices!C165-1</f>
        <v>-1.3406140842640801E-2</v>
      </c>
      <c r="D165" s="5">
        <f>prices!D166/prices!D165-1</f>
        <v>-5.5959815886477138E-3</v>
      </c>
      <c r="E165" s="5">
        <f>prices!E166/prices!E165-1</f>
        <v>1.5523762056935064E-2</v>
      </c>
      <c r="F165" s="5">
        <f>prices!F166/prices!F165-1</f>
        <v>4.1171354015656636E-3</v>
      </c>
      <c r="G165" s="5">
        <f>prices!G166/prices!G165-1</f>
        <v>2.365086659663862E-2</v>
      </c>
      <c r="H165" s="5">
        <f>prices!H166/prices!H165-1</f>
        <v>1.2547461590686204E-2</v>
      </c>
      <c r="I165" s="5">
        <f>prices!I166/prices!I165-1</f>
        <v>9.3641853837280742E-3</v>
      </c>
      <c r="J165" s="5">
        <f>prices!J166/prices!J165-1</f>
        <v>2.9968694240944949E-4</v>
      </c>
      <c r="K165" s="8">
        <f>SUMPRODUCT(B165:I165,weights!$B$5:$I$5)</f>
        <v>8.1303220480677466E-3</v>
      </c>
      <c r="L165" s="4">
        <f t="shared" si="4"/>
        <v>100.50140014903174</v>
      </c>
      <c r="M165" s="4">
        <f>L165/MAX(L$2:L165)-1</f>
        <v>-6.596511410095518E-2</v>
      </c>
      <c r="N165" s="4">
        <f t="shared" si="5"/>
        <v>2.6195325444849704E-2</v>
      </c>
    </row>
    <row r="166" spans="1:14">
      <c r="A166" s="3">
        <f>prices!A167</f>
        <v>43714</v>
      </c>
      <c r="B166" s="5">
        <f>prices!B167/prices!B166-1</f>
        <v>1.9935173214921331E-2</v>
      </c>
      <c r="C166" s="5">
        <f>prices!C167/prices!C166-1</f>
        <v>-8.031689659882546E-3</v>
      </c>
      <c r="D166" s="5">
        <f>prices!D167/prices!D166-1</f>
        <v>4.8015979718050161E-3</v>
      </c>
      <c r="E166" s="5">
        <f>prices!E167/prices!E166-1</f>
        <v>7.3184462375681658E-3</v>
      </c>
      <c r="F166" s="5">
        <f>prices!F167/prices!F166-1</f>
        <v>-1.4437514437514176E-3</v>
      </c>
      <c r="G166" s="5">
        <f>prices!G167/prices!G166-1</f>
        <v>3.6574437799405279E-2</v>
      </c>
      <c r="H166" s="5">
        <f>prices!H167/prices!H166-1</f>
        <v>-1.5521009238104733E-2</v>
      </c>
      <c r="I166" s="5">
        <f>prices!I167/prices!I166-1</f>
        <v>6.3277310924370056E-3</v>
      </c>
      <c r="J166" s="5">
        <f>prices!J167/prices!J166-1</f>
        <v>9.0616617041088254E-3</v>
      </c>
      <c r="K166" s="8">
        <f>SUMPRODUCT(B166:I166,weights!$B$5:$I$5)</f>
        <v>8.7038422961132015E-3</v>
      </c>
      <c r="L166" s="4">
        <f t="shared" si="4"/>
        <v>101.37614848646749</v>
      </c>
      <c r="M166" s="4">
        <f>L166/MAX(L$2:L166)-1</f>
        <v>-5.7835421755021654E-2</v>
      </c>
      <c r="N166" s="4">
        <f t="shared" si="5"/>
        <v>2.751077060506435E-2</v>
      </c>
    </row>
    <row r="167" spans="1:14">
      <c r="A167" s="3">
        <f>prices!A168</f>
        <v>43717</v>
      </c>
      <c r="B167" s="5">
        <f>prices!B168/prices!B167-1</f>
        <v>-2.388081635652517E-4</v>
      </c>
      <c r="C167" s="5">
        <f>prices!C168/prices!C167-1</f>
        <v>-6.6701550494340234E-3</v>
      </c>
      <c r="D167" s="5">
        <f>prices!D168/prices!D167-1</f>
        <v>1.6438565639576019E-3</v>
      </c>
      <c r="E167" s="5">
        <f>prices!E168/prices!E167-1</f>
        <v>-1.3154877908976403E-2</v>
      </c>
      <c r="F167" s="5">
        <f>prices!F168/prices!F167-1</f>
        <v>6.5351917182348007E-3</v>
      </c>
      <c r="G167" s="5">
        <f>prices!G168/prices!G167-1</f>
        <v>2.4009583209447127E-2</v>
      </c>
      <c r="H167" s="5">
        <f>prices!H168/prices!H167-1</f>
        <v>8.7026713417248658E-3</v>
      </c>
      <c r="I167" s="5">
        <f>prices!I168/prices!I167-1</f>
        <v>2.1335582407121301E-2</v>
      </c>
      <c r="J167" s="5">
        <f>prices!J168/prices!J167-1</f>
        <v>5.1935831612794914E-3</v>
      </c>
      <c r="K167" s="8">
        <f>SUMPRODUCT(B167:I167,weights!$B$5:$I$5)</f>
        <v>9.1202300772091731E-3</v>
      </c>
      <c r="L167" s="4">
        <f t="shared" si="4"/>
        <v>102.30072228500538</v>
      </c>
      <c r="M167" s="4">
        <f>L167/MAX(L$2:L167)-1</f>
        <v>-4.9242664030830885E-2</v>
      </c>
      <c r="N167" s="4">
        <f t="shared" si="5"/>
        <v>4.4495355830527217E-2</v>
      </c>
    </row>
    <row r="168" spans="1:14">
      <c r="A168" s="3">
        <f>prices!A169</f>
        <v>43719</v>
      </c>
      <c r="B168" s="5">
        <f>prices!B169/prices!B168-1</f>
        <v>9.9772159341466882E-3</v>
      </c>
      <c r="C168" s="5">
        <f>prices!C169/prices!C168-1</f>
        <v>-1.3213636162001552E-2</v>
      </c>
      <c r="D168" s="5">
        <f>prices!D169/prices!D168-1</f>
        <v>7.6332964390668501E-4</v>
      </c>
      <c r="E168" s="5">
        <f>prices!E169/prices!E168-1</f>
        <v>-1.086167339470856E-2</v>
      </c>
      <c r="F168" s="5">
        <f>prices!F169/prices!F168-1</f>
        <v>-7.1247988968051734E-3</v>
      </c>
      <c r="G168" s="5">
        <f>prices!G169/prices!G168-1</f>
        <v>4.1322813395298308E-2</v>
      </c>
      <c r="H168" s="5">
        <f>prices!H169/prices!H168-1</f>
        <v>-1.53796138841652E-2</v>
      </c>
      <c r="I168" s="5">
        <f>prices!I169/prices!I168-1</f>
        <v>4.9056480361056032E-3</v>
      </c>
      <c r="J168" s="5">
        <f>prices!J169/prices!J168-1</f>
        <v>2.9673590504453173E-3</v>
      </c>
      <c r="K168" s="8">
        <f>SUMPRODUCT(B168:I168,weights!$B$5:$I$5)</f>
        <v>5.3293549828693863E-3</v>
      </c>
      <c r="L168" s="4">
        <f t="shared" si="4"/>
        <v>102.84591914906612</v>
      </c>
      <c r="M168" s="4">
        <f>L168/MAX(L$2:L168)-1</f>
        <v>-4.4175740684883835E-2</v>
      </c>
      <c r="N168" s="4">
        <f t="shared" si="5"/>
        <v>3.2094611186744171E-2</v>
      </c>
    </row>
    <row r="169" spans="1:14">
      <c r="A169" s="3">
        <f>prices!A170</f>
        <v>43720</v>
      </c>
      <c r="B169" s="5">
        <f>prices!B170/prices!B169-1</f>
        <v>-1.9484417923481212E-2</v>
      </c>
      <c r="C169" s="5">
        <f>prices!C170/prices!C169-1</f>
        <v>-9.4739858733092763E-3</v>
      </c>
      <c r="D169" s="5">
        <f>prices!D170/prices!D169-1</f>
        <v>8.6762518591969595E-3</v>
      </c>
      <c r="E169" s="5">
        <f>prices!E170/prices!E169-1</f>
        <v>-4.5068851111306207E-3</v>
      </c>
      <c r="F169" s="5">
        <f>prices!F170/prices!F169-1</f>
        <v>-1.2268518518518512E-2</v>
      </c>
      <c r="G169" s="5">
        <f>prices!G170/prices!G169-1</f>
        <v>-3.1111691342623482E-2</v>
      </c>
      <c r="H169" s="5">
        <f>prices!H170/prices!H169-1</f>
        <v>1.3257816270032752E-2</v>
      </c>
      <c r="I169" s="5">
        <f>prices!I170/prices!I169-1</f>
        <v>-9.1938685846315593E-4</v>
      </c>
      <c r="J169" s="5">
        <f>prices!J170/prices!J169-1</f>
        <v>-4.7935337133123701E-3</v>
      </c>
      <c r="K169" s="8">
        <f>SUMPRODUCT(B169:I169,weights!$B$5:$I$5)</f>
        <v>-8.3034520003873544E-3</v>
      </c>
      <c r="L169" s="4">
        <f t="shared" si="4"/>
        <v>101.99194299597613</v>
      </c>
      <c r="M169" s="4">
        <f>L169/MAX(L$2:L169)-1</f>
        <v>-5.2112381542912645E-2</v>
      </c>
      <c r="N169" s="4">
        <f t="shared" si="5"/>
        <v>1.6694349737916614E-2</v>
      </c>
    </row>
    <row r="170" spans="1:14">
      <c r="A170" s="3">
        <f>prices!A171</f>
        <v>43721</v>
      </c>
      <c r="B170" s="5">
        <f>prices!B171/prices!B170-1</f>
        <v>1.2598337538963778E-2</v>
      </c>
      <c r="C170" s="5">
        <f>prices!C171/prices!C170-1</f>
        <v>3.914338391717509E-3</v>
      </c>
      <c r="D170" s="5">
        <f>prices!D171/prices!D170-1</f>
        <v>-5.8982550995330119E-3</v>
      </c>
      <c r="E170" s="5">
        <f>prices!E171/prices!E170-1</f>
        <v>1.5808644615180389E-2</v>
      </c>
      <c r="F170" s="5">
        <f>prices!F171/prices!F170-1</f>
        <v>-3.5739395359738468E-3</v>
      </c>
      <c r="G170" s="5">
        <f>prices!G171/prices!G170-1</f>
        <v>9.1127010558289534E-3</v>
      </c>
      <c r="H170" s="5">
        <f>prices!H171/prices!H170-1</f>
        <v>-1.1580398546183757E-2</v>
      </c>
      <c r="I170" s="5">
        <f>prices!I171/prices!I170-1</f>
        <v>7.6550348141224411E-4</v>
      </c>
      <c r="J170" s="5">
        <f>prices!J171/prices!J170-1</f>
        <v>8.4768911388717338E-3</v>
      </c>
      <c r="K170" s="8">
        <f>SUMPRODUCT(B170:I170,weights!$B$5:$I$5)</f>
        <v>2.7252751510102513E-3</v>
      </c>
      <c r="L170" s="4">
        <f t="shared" si="4"/>
        <v>102.26989910382632</v>
      </c>
      <c r="M170" s="4">
        <f>L170/MAX(L$2:L170)-1</f>
        <v>-4.9529126970381365E-2</v>
      </c>
      <c r="N170" s="4">
        <f t="shared" si="5"/>
        <v>2.675876065186289E-2</v>
      </c>
    </row>
    <row r="171" spans="1:14">
      <c r="A171" s="3">
        <f>prices!A172</f>
        <v>43724</v>
      </c>
      <c r="B171" s="5">
        <f>prices!B172/prices!B171-1</f>
        <v>-1.2111772789738962E-2</v>
      </c>
      <c r="C171" s="5">
        <f>prices!C172/prices!C171-1</f>
        <v>3.7578052157205555E-3</v>
      </c>
      <c r="D171" s="5">
        <f>prices!D172/prices!D171-1</f>
        <v>-5.8952172672815939E-3</v>
      </c>
      <c r="E171" s="5">
        <f>prices!E172/prices!E171-1</f>
        <v>-1.9308102144216521E-3</v>
      </c>
      <c r="F171" s="5">
        <f>prices!F172/prices!F171-1</f>
        <v>-2.0579761274769348E-3</v>
      </c>
      <c r="G171" s="5">
        <f>prices!G172/prices!G171-1</f>
        <v>-5.8208062088600521E-3</v>
      </c>
      <c r="H171" s="5">
        <f>prices!H172/prices!H171-1</f>
        <v>9.3576446123804224E-3</v>
      </c>
      <c r="I171" s="5">
        <f>prices!I172/prices!I171-1</f>
        <v>-1.4557853021832767E-2</v>
      </c>
      <c r="J171" s="5">
        <f>prices!J172/prices!J171-1</f>
        <v>-6.5367148493575833E-3</v>
      </c>
      <c r="K171" s="8">
        <f>SUMPRODUCT(B171:I171,weights!$B$5:$I$5)</f>
        <v>-4.5736572533642524E-3</v>
      </c>
      <c r="L171" s="4">
        <f t="shared" si="4"/>
        <v>101.80215163798927</v>
      </c>
      <c r="M171" s="4">
        <f>L171/MAX(L$2:L171)-1</f>
        <v>-5.3876254972924698E-2</v>
      </c>
      <c r="N171" s="4">
        <f t="shared" si="5"/>
        <v>2.0014359614369148E-2</v>
      </c>
    </row>
    <row r="172" spans="1:14">
      <c r="A172" s="3">
        <f>prices!A173</f>
        <v>43725</v>
      </c>
      <c r="B172" s="5">
        <f>prices!B173/prices!B172-1</f>
        <v>-1.098045034684858E-2</v>
      </c>
      <c r="C172" s="5">
        <f>prices!C173/prices!C172-1</f>
        <v>-1.27174463773011E-2</v>
      </c>
      <c r="D172" s="5">
        <f>prices!D173/prices!D172-1</f>
        <v>-1.4615016738402598E-2</v>
      </c>
      <c r="E172" s="5">
        <f>prices!E173/prices!E172-1</f>
        <v>4.290909090909123E-3</v>
      </c>
      <c r="F172" s="5">
        <f>prices!F173/prices!F172-1</f>
        <v>-9.191609710110793E-3</v>
      </c>
      <c r="G172" s="5">
        <f>prices!G173/prices!G172-1</f>
        <v>-4.4028546509121358E-2</v>
      </c>
      <c r="H172" s="5">
        <f>prices!H173/prices!H172-1</f>
        <v>-1.4421385860007074E-2</v>
      </c>
      <c r="I172" s="5">
        <f>prices!I173/prices!I172-1</f>
        <v>-2.2254335260115665E-2</v>
      </c>
      <c r="J172" s="5">
        <f>prices!J173/prices!J172-1</f>
        <v>-1.6894624437678862E-2</v>
      </c>
      <c r="K172" s="8">
        <f>SUMPRODUCT(B172:I172,weights!$B$5:$I$5)</f>
        <v>-1.9122893806907043E-2</v>
      </c>
      <c r="L172" s="4">
        <f t="shared" si="4"/>
        <v>99.855399902901354</v>
      </c>
      <c r="M172" s="4">
        <f>L172/MAX(L$2:L172)-1</f>
        <v>-7.1968878877270659E-2</v>
      </c>
      <c r="N172" s="4">
        <f t="shared" si="5"/>
        <v>-2.9045937214474682E-3</v>
      </c>
    </row>
    <row r="173" spans="1:14">
      <c r="A173" s="3">
        <f>prices!A174</f>
        <v>43726</v>
      </c>
      <c r="B173" s="5">
        <f>prices!B174/prices!B173-1</f>
        <v>6.8827125764223673E-3</v>
      </c>
      <c r="C173" s="5">
        <f>prices!C174/prices!C173-1</f>
        <v>7.4869847352183605E-3</v>
      </c>
      <c r="D173" s="5">
        <f>prices!D174/prices!D173-1</f>
        <v>-1.0657917726310862E-2</v>
      </c>
      <c r="E173" s="5">
        <f>prices!E174/prices!E173-1</f>
        <v>-1.6945470345427482E-3</v>
      </c>
      <c r="F173" s="5">
        <f>prices!F174/prices!F173-1</f>
        <v>8.6227402473835202E-3</v>
      </c>
      <c r="G173" s="5">
        <f>prices!G174/prices!G173-1</f>
        <v>-5.7672327516378186E-3</v>
      </c>
      <c r="H173" s="5">
        <f>prices!H174/prices!H173-1</f>
        <v>-9.1516263893136607E-3</v>
      </c>
      <c r="I173" s="5">
        <f>prices!I174/prices!I173-1</f>
        <v>3.2768886449052737E-3</v>
      </c>
      <c r="J173" s="5">
        <f>prices!J174/prices!J173-1</f>
        <v>2.1307868658482221E-3</v>
      </c>
      <c r="K173" s="8">
        <f>SUMPRODUCT(B173:I173,weights!$B$5:$I$5)</f>
        <v>-5.3759522925096964E-4</v>
      </c>
      <c r="L173" s="4">
        <f t="shared" si="4"/>
        <v>99.801718116298602</v>
      </c>
      <c r="M173" s="4">
        <f>L173/MAX(L$2:L173)-1</f>
        <v>-7.2467783980582734E-2</v>
      </c>
      <c r="N173" s="4">
        <f t="shared" si="5"/>
        <v>-1.0749403230785548E-2</v>
      </c>
    </row>
    <row r="174" spans="1:14">
      <c r="A174" s="3">
        <f>prices!A175</f>
        <v>43727</v>
      </c>
      <c r="B174" s="5">
        <f>prices!B175/prices!B174-1</f>
        <v>-2.2108811860902633E-2</v>
      </c>
      <c r="C174" s="5">
        <f>prices!C175/prices!C174-1</f>
        <v>-1.7115301894908397E-2</v>
      </c>
      <c r="D174" s="5">
        <f>prices!D175/prices!D174-1</f>
        <v>6.5539029080492472E-3</v>
      </c>
      <c r="E174" s="5">
        <f>prices!E175/prices!E174-1</f>
        <v>-1.1025998142989768E-2</v>
      </c>
      <c r="F174" s="5">
        <f>prices!F175/prices!F174-1</f>
        <v>-1.0671540593125473E-2</v>
      </c>
      <c r="G174" s="5">
        <f>prices!G175/prices!G174-1</f>
        <v>-2.023000376826567E-2</v>
      </c>
      <c r="H174" s="5">
        <f>prices!H175/prices!H174-1</f>
        <v>-1.3558362705497928E-2</v>
      </c>
      <c r="I174" s="5">
        <f>prices!I175/prices!I174-1</f>
        <v>-1.3123668903049945E-2</v>
      </c>
      <c r="J174" s="5">
        <f>prices!J175/prices!J174-1</f>
        <v>-1.2531536393112996E-2</v>
      </c>
      <c r="K174" s="8">
        <f>SUMPRODUCT(B174:I174,weights!$B$5:$I$5)</f>
        <v>-1.4218789290897395E-2</v>
      </c>
      <c r="L174" s="4">
        <f t="shared" si="4"/>
        <v>98.382658515533421</v>
      </c>
      <c r="M174" s="4">
        <f>L174/MAX(L$2:L174)-1</f>
        <v>-8.5656169120681858E-2</v>
      </c>
      <c r="N174" s="4">
        <f t="shared" si="5"/>
        <v>-2.896478885226339E-2</v>
      </c>
    </row>
    <row r="175" spans="1:14">
      <c r="A175" s="3">
        <f>prices!A176</f>
        <v>43728</v>
      </c>
      <c r="B175" s="5">
        <f>prices!B176/prices!B175-1</f>
        <v>6.3864233743476495E-2</v>
      </c>
      <c r="C175" s="5">
        <f>prices!C176/prices!C175-1</f>
        <v>-1.7361510998502694E-2</v>
      </c>
      <c r="D175" s="5">
        <f>prices!D176/prices!D175-1</f>
        <v>8.950015595757943E-2</v>
      </c>
      <c r="E175" s="5">
        <f>prices!E176/prices!E175-1</f>
        <v>-1.9129210186597745E-2</v>
      </c>
      <c r="F175" s="5">
        <f>prices!F176/prices!F175-1</f>
        <v>5.7210965435039451E-3</v>
      </c>
      <c r="G175" s="5">
        <f>prices!G176/prices!G175-1</f>
        <v>0.10385639907979183</v>
      </c>
      <c r="H175" s="5">
        <f>prices!H176/prices!H175-1</f>
        <v>6.2072922643576778E-3</v>
      </c>
      <c r="I175" s="5">
        <f>prices!I176/prices!I175-1</f>
        <v>8.518006721599547E-2</v>
      </c>
      <c r="J175" s="5">
        <f>prices!J176/prices!J175-1</f>
        <v>5.3191091846648275E-2</v>
      </c>
      <c r="K175" s="8">
        <f>SUMPRODUCT(B175:I175,weights!$B$5:$I$5)</f>
        <v>5.0019926275094051E-2</v>
      </c>
      <c r="L175" s="4">
        <f t="shared" si="4"/>
        <v>103.30375184122815</v>
      </c>
      <c r="M175" s="4">
        <f>L175/MAX(L$2:L175)-1</f>
        <v>-3.992075811001139E-2</v>
      </c>
      <c r="N175" s="4">
        <f t="shared" si="5"/>
        <v>2.5989192050941412E-2</v>
      </c>
    </row>
    <row r="176" spans="1:14">
      <c r="A176" s="3">
        <f>prices!A177</f>
        <v>43731</v>
      </c>
      <c r="B176" s="5">
        <f>prices!B177/prices!B176-1</f>
        <v>-1.2066959090502261E-2</v>
      </c>
      <c r="C176" s="5">
        <f>prices!C177/prices!C176-1</f>
        <v>-2.4038207975621839E-2</v>
      </c>
      <c r="D176" s="5">
        <f>prices!D177/prices!D176-1</f>
        <v>4.806126648415554E-2</v>
      </c>
      <c r="E176" s="5">
        <f>prices!E177/prices!E176-1</f>
        <v>-5.0490547977985134E-2</v>
      </c>
      <c r="F176" s="5">
        <f>prices!F177/prices!F176-1</f>
        <v>7.0573595638776965E-2</v>
      </c>
      <c r="G176" s="5">
        <f>prices!G177/prices!G176-1</f>
        <v>4.6404565610487447E-2</v>
      </c>
      <c r="H176" s="5">
        <f>prices!H177/prices!H176-1</f>
        <v>-1.0264385692068556E-2</v>
      </c>
      <c r="I176" s="5">
        <f>prices!I177/prices!I176-1</f>
        <v>8.28957711051721E-2</v>
      </c>
      <c r="J176" s="5">
        <f>prices!J177/prices!J176-1</f>
        <v>2.8915577158467931E-2</v>
      </c>
      <c r="K176" s="8">
        <f>SUMPRODUCT(B176:I176,weights!$B$5:$I$5)</f>
        <v>2.5350247350231843E-2</v>
      </c>
      <c r="L176" s="4">
        <f t="shared" si="4"/>
        <v>105.92252750261025</v>
      </c>
      <c r="M176" s="4">
        <f>L176/MAX(L$2:L176)-1</f>
        <v>-1.5582511852277103E-2</v>
      </c>
      <c r="N176" s="4">
        <f t="shared" si="5"/>
        <v>6.0296279799426644E-2</v>
      </c>
    </row>
    <row r="177" spans="1:14">
      <c r="A177" s="3">
        <f>prices!A178</f>
        <v>43732</v>
      </c>
      <c r="B177" s="5">
        <f>prices!B178/prices!B177-1</f>
        <v>3.1876914155234637E-2</v>
      </c>
      <c r="C177" s="5">
        <f>prices!C178/prices!C177-1</f>
        <v>1.4338639270338627E-2</v>
      </c>
      <c r="D177" s="5">
        <f>prices!D178/prices!D177-1</f>
        <v>-2.7487067420142175E-3</v>
      </c>
      <c r="E177" s="5">
        <f>prices!E178/prices!E177-1</f>
        <v>3.8857736895161255E-2</v>
      </c>
      <c r="F177" s="5">
        <f>prices!F178/prices!F177-1</f>
        <v>4.5386616483091835E-3</v>
      </c>
      <c r="G177" s="5">
        <f>prices!G178/prices!G177-1</f>
        <v>1.6129007394709793E-2</v>
      </c>
      <c r="H177" s="5">
        <f>prices!H178/prices!H177-1</f>
        <v>4.7140163419245873E-4</v>
      </c>
      <c r="I177" s="5">
        <f>prices!I178/prices!I177-1</f>
        <v>-3.0885704745728382E-2</v>
      </c>
      <c r="J177" s="5">
        <f>prices!J178/prices!J177-1</f>
        <v>-1.0344649230186187E-3</v>
      </c>
      <c r="K177" s="8">
        <f>SUMPRODUCT(B177:I177,weights!$B$5:$I$5)</f>
        <v>5.9070314488644258E-3</v>
      </c>
      <c r="L177" s="4">
        <f t="shared" si="4"/>
        <v>106.54821520371138</v>
      </c>
      <c r="M177" s="4">
        <f>L177/MAX(L$2:L177)-1</f>
        <v>-9.7675267909763663E-3</v>
      </c>
      <c r="N177" s="4">
        <f t="shared" si="5"/>
        <v>5.7852394645423022E-2</v>
      </c>
    </row>
    <row r="178" spans="1:14">
      <c r="A178" s="3">
        <f>prices!A179</f>
        <v>43733</v>
      </c>
      <c r="B178" s="5">
        <f>prices!B179/prices!B178-1</f>
        <v>6.6736916051990391E-4</v>
      </c>
      <c r="C178" s="5">
        <f>prices!C179/prices!C178-1</f>
        <v>2.1393349947611773E-2</v>
      </c>
      <c r="D178" s="5">
        <f>prices!D179/prices!D178-1</f>
        <v>-1.1247688831062197E-2</v>
      </c>
      <c r="E178" s="5">
        <f>prices!E179/prices!E178-1</f>
        <v>-1.7739367750738699E-3</v>
      </c>
      <c r="F178" s="5">
        <f>prices!F179/prices!F178-1</f>
        <v>-3.3004573254724834E-2</v>
      </c>
      <c r="G178" s="5">
        <f>prices!G179/prices!G178-1</f>
        <v>-5.2874068904834814E-2</v>
      </c>
      <c r="H178" s="5">
        <f>prices!H179/prices!H178-1</f>
        <v>-7.0676927909533172E-3</v>
      </c>
      <c r="I178" s="5">
        <f>prices!I179/prices!I178-1</f>
        <v>-2.1061934971650209E-2</v>
      </c>
      <c r="J178" s="5">
        <f>prices!J179/prices!J178-1</f>
        <v>-1.2771612502373131E-2</v>
      </c>
      <c r="K178" s="8">
        <f>SUMPRODUCT(B178:I178,weights!$B$5:$I$5)</f>
        <v>-1.7276036409775493E-2</v>
      </c>
      <c r="L178" s="4">
        <f t="shared" si="4"/>
        <v>104.70748435845547</v>
      </c>
      <c r="M178" s="4">
        <f>L178/MAX(L$2:L178)-1</f>
        <v>-2.6874819052277399E-2</v>
      </c>
      <c r="N178" s="4">
        <f t="shared" si="5"/>
        <v>2.9273561609866938E-2</v>
      </c>
    </row>
    <row r="179" spans="1:14">
      <c r="A179" s="3">
        <f>prices!A180</f>
        <v>43734</v>
      </c>
      <c r="B179" s="5">
        <f>prices!B180/prices!B179-1</f>
        <v>1.3478886587805938E-2</v>
      </c>
      <c r="C179" s="5">
        <f>prices!C180/prices!C179-1</f>
        <v>-4.056912689444081E-4</v>
      </c>
      <c r="D179" s="5">
        <f>prices!D180/prices!D179-1</f>
        <v>2.268201887282606E-3</v>
      </c>
      <c r="E179" s="5">
        <f>prices!E180/prices!E179-1</f>
        <v>-1.272821167107141E-2</v>
      </c>
      <c r="F179" s="5">
        <f>prices!F180/prices!F179-1</f>
        <v>1.1509971509971573E-2</v>
      </c>
      <c r="G179" s="5">
        <f>prices!G180/prices!G179-1</f>
        <v>3.2981642338747674E-2</v>
      </c>
      <c r="H179" s="5">
        <f>prices!H180/prices!H179-1</f>
        <v>1.2786038173573822E-2</v>
      </c>
      <c r="I179" s="5">
        <f>prices!I180/prices!I179-1</f>
        <v>2.7414134767672182E-2</v>
      </c>
      <c r="J179" s="5">
        <f>prices!J180/prices!J179-1</f>
        <v>1.1450848761385357E-2</v>
      </c>
      <c r="K179" s="8">
        <f>SUMPRODUCT(B179:I179,weights!$B$5:$I$5)</f>
        <v>1.5472094279911249E-2</v>
      </c>
      <c r="L179" s="4">
        <f t="shared" si="4"/>
        <v>106.32752842826181</v>
      </c>
      <c r="M179" s="4">
        <f>L179/MAX(L$2:L179)-1</f>
        <v>-1.1818534506498724E-2</v>
      </c>
      <c r="N179" s="4">
        <f t="shared" si="5"/>
        <v>4.3385897589723665E-2</v>
      </c>
    </row>
    <row r="180" spans="1:14">
      <c r="A180" s="3">
        <f>prices!A181</f>
        <v>43735</v>
      </c>
      <c r="B180" s="5">
        <f>prices!B181/prices!B180-1</f>
        <v>9.4378831434209776E-3</v>
      </c>
      <c r="C180" s="5">
        <f>prices!C181/prices!C180-1</f>
        <v>-1.5063052616321237E-2</v>
      </c>
      <c r="D180" s="5">
        <f>prices!D181/prices!D180-1</f>
        <v>1.3647514079397904E-3</v>
      </c>
      <c r="E180" s="5">
        <f>prices!E181/prices!E180-1</f>
        <v>-4.6153846153840217E-4</v>
      </c>
      <c r="F180" s="5">
        <f>prices!F181/prices!F180-1</f>
        <v>1.0139702568724651E-2</v>
      </c>
      <c r="G180" s="5">
        <f>prices!G181/prices!G180-1</f>
        <v>-1.2214145273434229E-2</v>
      </c>
      <c r="H180" s="5">
        <f>prices!H181/prices!H180-1</f>
        <v>-2.4884816617643191E-2</v>
      </c>
      <c r="I180" s="5">
        <f>prices!I181/prices!I180-1</f>
        <v>-1.1542872462429798E-2</v>
      </c>
      <c r="J180" s="5">
        <f>prices!J181/prices!J180-1</f>
        <v>-5.0815818584071248E-3</v>
      </c>
      <c r="K180" s="8">
        <f>SUMPRODUCT(B180:I180,weights!$B$5:$I$5)</f>
        <v>-7.6122172387630572E-3</v>
      </c>
      <c r="L180" s="4">
        <f t="shared" si="4"/>
        <v>105.51814018340514</v>
      </c>
      <c r="M180" s="4">
        <f>L180/MAX(L$2:L180)-1</f>
        <v>-1.9340786493154405E-2</v>
      </c>
      <c r="N180" s="4">
        <f t="shared" si="5"/>
        <v>4.366745111208048E-2</v>
      </c>
    </row>
    <row r="181" spans="1:14">
      <c r="A181" s="3">
        <f>prices!A182</f>
        <v>43738</v>
      </c>
      <c r="B181" s="5">
        <f>prices!B182/prices!B181-1</f>
        <v>1.7721432125027858E-2</v>
      </c>
      <c r="C181" s="5">
        <f>prices!C182/prices!C181-1</f>
        <v>2.0985772058607077E-2</v>
      </c>
      <c r="D181" s="5">
        <f>prices!D182/prices!D181-1</f>
        <v>-1.3456396101095391E-2</v>
      </c>
      <c r="E181" s="5">
        <f>prices!E182/prices!E181-1</f>
        <v>2.9983069108819205E-2</v>
      </c>
      <c r="F181" s="5">
        <f>prices!F182/prices!F181-1</f>
        <v>2.7325451706446513E-2</v>
      </c>
      <c r="G181" s="5">
        <f>prices!G182/prices!G181-1</f>
        <v>-8.5474647230669998E-3</v>
      </c>
      <c r="H181" s="5">
        <f>prices!H182/prices!H181-1</f>
        <v>-3.0485037772616908E-2</v>
      </c>
      <c r="I181" s="5">
        <f>prices!I182/prices!I181-1</f>
        <v>1.0848928668294455E-3</v>
      </c>
      <c r="J181" s="5">
        <f>prices!J182/prices!J181-1</f>
        <v>-3.2964455717312546E-3</v>
      </c>
      <c r="K181" s="8">
        <f>SUMPRODUCT(B181:I181,weights!$B$5:$I$5)</f>
        <v>1.8778789650132407E-3</v>
      </c>
      <c r="L181" s="4">
        <f t="shared" si="4"/>
        <v>105.71629047928289</v>
      </c>
      <c r="M181" s="4">
        <f>L181/MAX(L$2:L181)-1</f>
        <v>-1.7499227184263333E-2</v>
      </c>
      <c r="N181" s="4">
        <f t="shared" si="5"/>
        <v>4.1941055786590464E-2</v>
      </c>
    </row>
    <row r="182" spans="1:14">
      <c r="A182" s="3">
        <f>prices!A183</f>
        <v>43739</v>
      </c>
      <c r="B182" s="5">
        <f>prices!B183/prices!B182-1</f>
        <v>-2.0531319533409809E-2</v>
      </c>
      <c r="C182" s="5">
        <f>prices!C183/prices!C182-1</f>
        <v>-1.8749783789393515E-2</v>
      </c>
      <c r="D182" s="5">
        <f>prices!D183/prices!D182-1</f>
        <v>1.7382180641776657E-2</v>
      </c>
      <c r="E182" s="5">
        <f>prices!E183/prices!E182-1</f>
        <v>-1.501838070474304E-2</v>
      </c>
      <c r="F182" s="5">
        <f>prices!F183/prices!F182-1</f>
        <v>-1.5199218325914754E-2</v>
      </c>
      <c r="G182" s="5">
        <f>prices!G183/prices!G182-1</f>
        <v>9.8577232554237781E-3</v>
      </c>
      <c r="H182" s="5">
        <f>prices!H183/prices!H182-1</f>
        <v>-7.4616591866515369E-3</v>
      </c>
      <c r="I182" s="5">
        <f>prices!I183/prices!I182-1</f>
        <v>-6.9162226436678687E-3</v>
      </c>
      <c r="J182" s="5">
        <f>prices!J183/prices!J182-1</f>
        <v>-9.9830492964805284E-3</v>
      </c>
      <c r="K182" s="8">
        <f>SUMPRODUCT(B182:I182,weights!$B$5:$I$5)</f>
        <v>-6.0825521256752547E-3</v>
      </c>
      <c r="L182" s="4">
        <f t="shared" si="4"/>
        <v>105.07326563190963</v>
      </c>
      <c r="M182" s="4">
        <f>L182/MAX(L$2:L182)-1</f>
        <v>-2.3475339348431157E-2</v>
      </c>
      <c r="N182" s="4">
        <f t="shared" si="5"/>
        <v>2.7432746917253281E-2</v>
      </c>
    </row>
    <row r="183" spans="1:14">
      <c r="A183" s="3">
        <f>prices!A184</f>
        <v>43741</v>
      </c>
      <c r="B183" s="5">
        <f>prices!B184/prices!B183-1</f>
        <v>4.7155199118851243E-3</v>
      </c>
      <c r="C183" s="5">
        <f>prices!C184/prices!C183-1</f>
        <v>1.4689464715900158E-4</v>
      </c>
      <c r="D183" s="5">
        <f>prices!D184/prices!D183-1</f>
        <v>-2.0213479090393394E-2</v>
      </c>
      <c r="E183" s="5">
        <f>prices!E184/prices!E183-1</f>
        <v>-1.0013199217149937E-2</v>
      </c>
      <c r="F183" s="5">
        <f>prices!F184/prices!F183-1</f>
        <v>2.2434130746334491E-2</v>
      </c>
      <c r="G183" s="5">
        <f>prices!G184/prices!G183-1</f>
        <v>-4.1219042601895461E-3</v>
      </c>
      <c r="H183" s="5">
        <f>prices!H184/prices!H183-1</f>
        <v>4.133377718597453E-3</v>
      </c>
      <c r="I183" s="5">
        <f>prices!I184/prices!I183-1</f>
        <v>-4.0998203960379564E-3</v>
      </c>
      <c r="J183" s="5">
        <f>prices!J184/prices!J183-1</f>
        <v>-4.0405285257792967E-3</v>
      </c>
      <c r="K183" s="8">
        <f>SUMPRODUCT(B183:I183,weights!$B$5:$I$5)</f>
        <v>-8.4808243888397463E-4</v>
      </c>
      <c r="L183" s="4">
        <f t="shared" si="4"/>
        <v>104.98415484053102</v>
      </c>
      <c r="M183" s="4">
        <f>L183/MAX(L$2:L183)-1</f>
        <v>-2.4303512764266899E-2</v>
      </c>
      <c r="N183" s="4">
        <f t="shared" si="5"/>
        <v>4.5073156070334575E-2</v>
      </c>
    </row>
    <row r="184" spans="1:14">
      <c r="A184" s="3">
        <f>prices!A185</f>
        <v>43742</v>
      </c>
      <c r="B184" s="5">
        <f>prices!B185/prices!B184-1</f>
        <v>-2.2439191503939027E-3</v>
      </c>
      <c r="C184" s="5">
        <f>prices!C185/prices!C184-1</f>
        <v>9.2706283230032938E-3</v>
      </c>
      <c r="D184" s="5">
        <f>prices!D185/prices!D184-1</f>
        <v>-2.7665210602950685E-2</v>
      </c>
      <c r="E184" s="5">
        <f>prices!E185/prices!E184-1</f>
        <v>9.9918777680718662E-3</v>
      </c>
      <c r="F184" s="5">
        <f>prices!F185/prices!F184-1</f>
        <v>-1.6820313763545203E-2</v>
      </c>
      <c r="G184" s="5">
        <f>prices!G185/prices!G184-1</f>
        <v>-1.5463260194306216E-2</v>
      </c>
      <c r="H184" s="5">
        <f>prices!H185/prices!H184-1</f>
        <v>-5.3871867834351939E-3</v>
      </c>
      <c r="I184" s="5">
        <f>prices!I185/prices!I184-1</f>
        <v>-2.2736957448103778E-2</v>
      </c>
      <c r="J184" s="5">
        <f>prices!J185/prices!J184-1</f>
        <v>-1.2307760296977222E-2</v>
      </c>
      <c r="K184" s="8">
        <f>SUMPRODUCT(B184:I184,weights!$B$5:$I$5)</f>
        <v>-1.0385503503668923E-2</v>
      </c>
      <c r="L184" s="4">
        <f t="shared" si="4"/>
        <v>103.89384153260497</v>
      </c>
      <c r="M184" s="4">
        <f>L184/MAX(L$2:L184)-1</f>
        <v>-3.4436612050971038E-2</v>
      </c>
      <c r="N184" s="4">
        <f t="shared" si="5"/>
        <v>4.2159927799623187E-2</v>
      </c>
    </row>
    <row r="185" spans="1:14">
      <c r="A185" s="3">
        <f>prices!A186</f>
        <v>43745</v>
      </c>
      <c r="B185" s="5">
        <f>prices!B186/prices!B185-1</f>
        <v>1.5279232261498077E-3</v>
      </c>
      <c r="C185" s="5">
        <f>prices!C186/prices!C185-1</f>
        <v>-1.5221807640590779E-2</v>
      </c>
      <c r="D185" s="5">
        <f>prices!D186/prices!D185-1</f>
        <v>-2.3454696351892235E-3</v>
      </c>
      <c r="E185" s="5">
        <f>prices!E186/prices!E185-1</f>
        <v>-4.9161672103785747E-3</v>
      </c>
      <c r="F185" s="5">
        <f>prices!F186/prices!F185-1</f>
        <v>-2.0781926852004085E-2</v>
      </c>
      <c r="G185" s="5">
        <f>prices!G186/prices!G185-1</f>
        <v>-2.9710839019382318E-3</v>
      </c>
      <c r="H185" s="5">
        <f>prices!H186/prices!H185-1</f>
        <v>-1.5943558691183801E-2</v>
      </c>
      <c r="I185" s="5">
        <f>prices!I186/prices!I185-1</f>
        <v>-1.8983399258728495E-2</v>
      </c>
      <c r="J185" s="5">
        <f>prices!J186/prices!J185-1</f>
        <v>-4.3267187185396239E-3</v>
      </c>
      <c r="K185" s="8">
        <f>SUMPRODUCT(B185:I185,weights!$B$5:$I$5)</f>
        <v>-1.019237927036659E-2</v>
      </c>
      <c r="L185" s="4">
        <f t="shared" si="4"/>
        <v>102.83491609584929</v>
      </c>
      <c r="M185" s="4">
        <f>L185/MAX(L$2:L185)-1</f>
        <v>-4.4278000310527643E-2</v>
      </c>
      <c r="N185" s="4">
        <f t="shared" si="5"/>
        <v>2.3218740667863669E-2</v>
      </c>
    </row>
    <row r="186" spans="1:14">
      <c r="A186" s="3">
        <f>prices!A187</f>
        <v>43747</v>
      </c>
      <c r="B186" s="5">
        <f>prices!B187/prices!B186-1</f>
        <v>1.1176248757242213E-2</v>
      </c>
      <c r="C186" s="5">
        <f>prices!C187/prices!C186-1</f>
        <v>-1.3476929624419265E-2</v>
      </c>
      <c r="D186" s="5">
        <f>prices!D187/prices!D186-1</f>
        <v>3.4740306712962798E-2</v>
      </c>
      <c r="E186" s="5">
        <f>prices!E187/prices!E186-1</f>
        <v>-7.471676247693626E-3</v>
      </c>
      <c r="F186" s="5">
        <f>prices!F187/prices!F186-1</f>
        <v>-1.9039086123866067E-2</v>
      </c>
      <c r="G186" s="5">
        <f>prices!G187/prices!G186-1</f>
        <v>1.3530007072941164E-2</v>
      </c>
      <c r="H186" s="5">
        <f>prices!H187/prices!H186-1</f>
        <v>1.0669526927853834E-2</v>
      </c>
      <c r="I186" s="5">
        <f>prices!I187/prices!I186-1</f>
        <v>2.0319072942296845E-2</v>
      </c>
      <c r="J186" s="5">
        <f>prices!J187/prices!J186-1</f>
        <v>1.6797886108714355E-2</v>
      </c>
      <c r="K186" s="8">
        <f>SUMPRODUCT(B186:I186,weights!$B$5:$I$5)</f>
        <v>8.8391595082819904E-3</v>
      </c>
      <c r="L186" s="4">
        <f t="shared" si="4"/>
        <v>103.7438903222413</v>
      </c>
      <c r="M186" s="4">
        <f>L186/MAX(L$2:L186)-1</f>
        <v>-3.5830221109698246E-2</v>
      </c>
      <c r="N186" s="4">
        <f t="shared" si="5"/>
        <v>2.3356005047773909E-2</v>
      </c>
    </row>
    <row r="187" spans="1:14">
      <c r="A187" s="3">
        <f>prices!A188</f>
        <v>43748</v>
      </c>
      <c r="B187" s="5">
        <f>prices!B188/prices!B187-1</f>
        <v>2.8682827597898086E-2</v>
      </c>
      <c r="C187" s="5">
        <f>prices!C188/prices!C187-1</f>
        <v>-7.7472468214119239E-3</v>
      </c>
      <c r="D187" s="5">
        <f>prices!D188/prices!D187-1</f>
        <v>-2.2458360277539779E-2</v>
      </c>
      <c r="E187" s="5">
        <f>prices!E188/prices!E187-1</f>
        <v>-7.6815535173835325E-4</v>
      </c>
      <c r="F187" s="5">
        <f>prices!F188/prices!F187-1</f>
        <v>-1.5812307341020682E-2</v>
      </c>
      <c r="G187" s="5">
        <f>prices!G188/prices!G187-1</f>
        <v>-1.6981069375367031E-2</v>
      </c>
      <c r="H187" s="5">
        <f>prices!H188/prices!H187-1</f>
        <v>8.0712729710104014E-3</v>
      </c>
      <c r="I187" s="5">
        <f>prices!I188/prices!I187-1</f>
        <v>-8.0902372617652762E-4</v>
      </c>
      <c r="J187" s="5">
        <f>prices!J188/prices!J187-1</f>
        <v>-6.9608337089973604E-3</v>
      </c>
      <c r="K187" s="8">
        <f>SUMPRODUCT(B187:I187,weights!$B$5:$I$5)</f>
        <v>-2.3289129263276546E-3</v>
      </c>
      <c r="L187" s="4">
        <f t="shared" si="4"/>
        <v>103.50227983504232</v>
      </c>
      <c r="M187" s="4">
        <f>L187/MAX(L$2:L187)-1</f>
        <v>-3.8075688570930244E-2</v>
      </c>
      <c r="N187" s="4">
        <f t="shared" si="5"/>
        <v>1.1745347669095185E-2</v>
      </c>
    </row>
    <row r="188" spans="1:14">
      <c r="A188" s="3">
        <f>prices!A189</f>
        <v>43749</v>
      </c>
      <c r="B188" s="5">
        <f>prices!B189/prices!B188-1</f>
        <v>-7.4486668204740702E-3</v>
      </c>
      <c r="C188" s="5">
        <f>prices!C189/prices!C188-1</f>
        <v>-8.7799281422662467E-3</v>
      </c>
      <c r="D188" s="5">
        <f>prices!D189/prices!D188-1</f>
        <v>-1.4660659372095486E-3</v>
      </c>
      <c r="E188" s="5">
        <f>prices!E189/prices!E188-1</f>
        <v>4.0543657077843243E-2</v>
      </c>
      <c r="F188" s="5">
        <f>prices!F189/prices!F188-1</f>
        <v>3.0740676294878089E-3</v>
      </c>
      <c r="G188" s="5">
        <f>prices!G189/prices!G188-1</f>
        <v>1.414824020295935E-2</v>
      </c>
      <c r="H188" s="5">
        <f>prices!H189/prices!H188-1</f>
        <v>-1.9393267765618338E-3</v>
      </c>
      <c r="I188" s="5">
        <f>prices!I189/prices!I188-1</f>
        <v>1.8217772449122815E-3</v>
      </c>
      <c r="J188" s="5">
        <f>prices!J189/prices!J188-1</f>
        <v>6.2752847243547905E-3</v>
      </c>
      <c r="K188" s="8">
        <f>SUMPRODUCT(B188:I188,weights!$B$5:$I$5)</f>
        <v>4.6822310784895432E-3</v>
      </c>
      <c r="L188" s="4">
        <f t="shared" si="4"/>
        <v>103.98690142638047</v>
      </c>
      <c r="M188" s="4">
        <f>L188/MAX(L$2:L188)-1</f>
        <v>-3.3571736664802398E-2</v>
      </c>
      <c r="N188" s="4">
        <f t="shared" si="5"/>
        <v>1.1094093832353158E-2</v>
      </c>
    </row>
    <row r="189" spans="1:14">
      <c r="A189" s="3">
        <f>prices!A190</f>
        <v>43752</v>
      </c>
      <c r="B189" s="5">
        <f>prices!B190/prices!B189-1</f>
        <v>4.0013282417401541E-3</v>
      </c>
      <c r="C189" s="5">
        <f>prices!C190/prices!C189-1</f>
        <v>1.718539637285188E-2</v>
      </c>
      <c r="D189" s="5">
        <f>prices!D190/prices!D189-1</f>
        <v>4.673231871083372E-3</v>
      </c>
      <c r="E189" s="5">
        <f>prices!E190/prices!E189-1</f>
        <v>-3.5225627234847234E-2</v>
      </c>
      <c r="F189" s="5">
        <f>prices!F190/prices!F189-1</f>
        <v>6.3605874869909762E-4</v>
      </c>
      <c r="G189" s="5">
        <f>prices!G190/prices!G189-1</f>
        <v>1.8241356704873146E-2</v>
      </c>
      <c r="H189" s="5">
        <f>prices!H190/prices!H189-1</f>
        <v>2.1623872310895242E-2</v>
      </c>
      <c r="I189" s="5">
        <f>prices!I190/prices!I189-1</f>
        <v>-2.6266708113148463E-3</v>
      </c>
      <c r="J189" s="5">
        <f>prices!J190/prices!J189-1</f>
        <v>3.1932631876905315E-3</v>
      </c>
      <c r="K189" s="8">
        <f>SUMPRODUCT(B189:I189,weights!$B$5:$I$5)</f>
        <v>5.7226143682108047E-3</v>
      </c>
      <c r="L189" s="4">
        <f t="shared" si="4"/>
        <v>104.58197836258879</v>
      </c>
      <c r="M189" s="4">
        <f>L189/MAX(L$2:L189)-1</f>
        <v>-2.8041240399195533E-2</v>
      </c>
      <c r="N189" s="4">
        <f t="shared" si="5"/>
        <v>2.5394509512529195E-2</v>
      </c>
    </row>
    <row r="190" spans="1:14">
      <c r="A190" s="3">
        <f>prices!A191</f>
        <v>43753</v>
      </c>
      <c r="B190" s="5">
        <f>prices!B191/prices!B190-1</f>
        <v>4.5310975508920937E-3</v>
      </c>
      <c r="C190" s="5">
        <f>prices!C191/prices!C190-1</f>
        <v>8.0672208514003252E-3</v>
      </c>
      <c r="D190" s="5">
        <f>prices!D191/prices!D190-1</f>
        <v>1.5487159380513482E-2</v>
      </c>
      <c r="E190" s="5">
        <f>prices!E191/prices!E190-1</f>
        <v>-2.2636076821760165E-2</v>
      </c>
      <c r="F190" s="5">
        <f>prices!F191/prices!F190-1</f>
        <v>1.4331118173938062E-2</v>
      </c>
      <c r="G190" s="5">
        <f>prices!G191/prices!G190-1</f>
        <v>2.4139151255906155E-2</v>
      </c>
      <c r="H190" s="5">
        <f>prices!H191/prices!H190-1</f>
        <v>5.4341919356590829E-3</v>
      </c>
      <c r="I190" s="5">
        <f>prices!I191/prices!I190-1</f>
        <v>5.8359695189416083E-3</v>
      </c>
      <c r="J190" s="5">
        <f>prices!J191/prices!J190-1</f>
        <v>7.6844059023997158E-3</v>
      </c>
      <c r="K190" s="8">
        <f>SUMPRODUCT(B190:I190,weights!$B$5:$I$5)</f>
        <v>8.3774457855588756E-3</v>
      </c>
      <c r="L190" s="4">
        <f t="shared" si="4"/>
        <v>105.45810821646785</v>
      </c>
      <c r="M190" s="4">
        <f>L190/MAX(L$2:L190)-1</f>
        <v>-1.9898708584840885E-2</v>
      </c>
      <c r="N190" s="4">
        <f t="shared" si="5"/>
        <v>3.1174462286354565E-2</v>
      </c>
    </row>
    <row r="191" spans="1:14">
      <c r="A191" s="3">
        <f>prices!A192</f>
        <v>43754</v>
      </c>
      <c r="B191" s="5">
        <f>prices!B192/prices!B191-1</f>
        <v>6.0087249979421387E-3</v>
      </c>
      <c r="C191" s="5">
        <f>prices!C192/prices!C191-1</f>
        <v>4.4677071513019584E-3</v>
      </c>
      <c r="D191" s="5">
        <f>prices!D192/prices!D191-1</f>
        <v>-1.5970515970515908E-3</v>
      </c>
      <c r="E191" s="5">
        <f>prices!E192/prices!E191-1</f>
        <v>4.1055534662153281E-3</v>
      </c>
      <c r="F191" s="5">
        <f>prices!F192/prices!F191-1</f>
        <v>-1.5951689169942496E-2</v>
      </c>
      <c r="G191" s="5">
        <f>prices!G192/prices!G191-1</f>
        <v>-1.5388736844988982E-3</v>
      </c>
      <c r="H191" s="5">
        <f>prices!H192/prices!H191-1</f>
        <v>7.3235325910712135E-3</v>
      </c>
      <c r="I191" s="5">
        <f>prices!I192/prices!I191-1</f>
        <v>-5.6239397014509196E-3</v>
      </c>
      <c r="J191" s="5">
        <f>prices!J192/prices!J191-1</f>
        <v>3.1238241908246867E-3</v>
      </c>
      <c r="K191" s="8">
        <f>SUMPRODUCT(B191:I191,weights!$B$5:$I$5)</f>
        <v>-2.4989876338997008E-4</v>
      </c>
      <c r="L191" s="4">
        <f t="shared" si="4"/>
        <v>105.4317543656351</v>
      </c>
      <c r="M191" s="4">
        <f>L191/MAX(L$2:L191)-1</f>
        <v>-2.0143634685562462E-2</v>
      </c>
      <c r="N191" s="4">
        <f t="shared" si="5"/>
        <v>3.5653497192797756E-2</v>
      </c>
    </row>
    <row r="192" spans="1:14">
      <c r="A192" s="3">
        <f>prices!A193</f>
        <v>43755</v>
      </c>
      <c r="B192" s="5">
        <f>prices!B193/prices!B192-1</f>
        <v>1.7591228931435055E-2</v>
      </c>
      <c r="C192" s="5">
        <f>prices!C193/prices!C192-1</f>
        <v>1.4763028550135671E-2</v>
      </c>
      <c r="D192" s="5">
        <f>prices!D193/prices!D192-1</f>
        <v>-8.964826240573931E-4</v>
      </c>
      <c r="E192" s="5">
        <f>prices!E193/prices!E192-1</f>
        <v>-2.5281687942819708E-3</v>
      </c>
      <c r="F192" s="5">
        <f>prices!F193/prices!F192-1</f>
        <v>9.0314363457419944E-3</v>
      </c>
      <c r="G192" s="5">
        <f>prices!G193/prices!G192-1</f>
        <v>2.1347240621803376E-2</v>
      </c>
      <c r="H192" s="5">
        <f>prices!H193/prices!H192-1</f>
        <v>4.4802146210596305E-3</v>
      </c>
      <c r="I192" s="5">
        <f>prices!I193/prices!I192-1</f>
        <v>1.0127371168144883E-4</v>
      </c>
      <c r="J192" s="5">
        <f>prices!J193/prices!J192-1</f>
        <v>1.0672540125610697E-2</v>
      </c>
      <c r="K192" s="8">
        <f>SUMPRODUCT(B192:I192,weights!$B$5:$I$5)</f>
        <v>8.8544814397496611E-3</v>
      </c>
      <c r="L192" s="4">
        <f t="shared" si="4"/>
        <v>106.36529787782587</v>
      </c>
      <c r="M192" s="4">
        <f>L192/MAX(L$2:L192)-1</f>
        <v>-1.146751468526519E-2</v>
      </c>
      <c r="N192" s="4">
        <f t="shared" si="5"/>
        <v>6.5193249250963703E-2</v>
      </c>
    </row>
    <row r="193" spans="1:14">
      <c r="A193" s="3">
        <f>prices!A194</f>
        <v>43756</v>
      </c>
      <c r="B193" s="5">
        <f>prices!B194/prices!B193-1</f>
        <v>1.4215646860175291E-2</v>
      </c>
      <c r="C193" s="5">
        <f>prices!C194/prices!C193-1</f>
        <v>1.2997837579487914E-2</v>
      </c>
      <c r="D193" s="5">
        <f>prices!D194/prices!D193-1</f>
        <v>7.3718287061474985E-3</v>
      </c>
      <c r="E193" s="5">
        <f>prices!E194/prices!E193-1</f>
        <v>-2.1434382627197879E-3</v>
      </c>
      <c r="F193" s="5">
        <f>prices!F194/prices!F193-1</f>
        <v>2.639279361982938E-3</v>
      </c>
      <c r="G193" s="5">
        <f>prices!G194/prices!G193-1</f>
        <v>2.5043061886722562E-2</v>
      </c>
      <c r="H193" s="5">
        <f>prices!H194/prices!H193-1</f>
        <v>3.7391165001876558E-4</v>
      </c>
      <c r="I193" s="5">
        <f>prices!I194/prices!I193-1</f>
        <v>1.6466995902724824E-2</v>
      </c>
      <c r="J193" s="5">
        <f>prices!J194/prices!J193-1</f>
        <v>6.5162885636977919E-3</v>
      </c>
      <c r="K193" s="8">
        <f>SUMPRODUCT(B193:I193,weights!$B$5:$I$5)</f>
        <v>1.170569668635478E-2</v>
      </c>
      <c r="L193" s="4">
        <f t="shared" si="4"/>
        <v>107.61037779273747</v>
      </c>
      <c r="M193" s="4">
        <f>L193/MAX(L$2:L193)-1</f>
        <v>0</v>
      </c>
      <c r="N193" s="4">
        <f t="shared" si="5"/>
        <v>7.8241735952275571E-2</v>
      </c>
    </row>
    <row r="194" spans="1:14">
      <c r="A194" s="3">
        <f>prices!A195</f>
        <v>43760</v>
      </c>
      <c r="B194" s="5">
        <f>prices!B195/prices!B194-1</f>
        <v>-1.5538537157716581E-3</v>
      </c>
      <c r="C194" s="5">
        <f>prices!C195/prices!C194-1</f>
        <v>-2.8884273031180019E-3</v>
      </c>
      <c r="D194" s="5">
        <f>prices!D195/prices!D194-1</f>
        <v>8.3832544492374872E-3</v>
      </c>
      <c r="E194" s="5">
        <f>prices!E195/prices!E194-1</f>
        <v>-0.16188714153561523</v>
      </c>
      <c r="F194" s="5">
        <f>prices!F195/prices!F194-1</f>
        <v>9.7281831187410184E-3</v>
      </c>
      <c r="G194" s="5">
        <f>prices!G195/prices!G194-1</f>
        <v>-6.306571298766328E-3</v>
      </c>
      <c r="H194" s="5">
        <f>prices!H195/prices!H194-1</f>
        <v>9.4777872703972754E-3</v>
      </c>
      <c r="I194" s="5">
        <f>prices!I195/prices!I194-1</f>
        <v>-3.6247432792815282E-3</v>
      </c>
      <c r="J194" s="5">
        <f>prices!J195/prices!J194-1</f>
        <v>-6.302602074284902E-3</v>
      </c>
      <c r="K194" s="8">
        <f>SUMPRODUCT(B194:I194,weights!$B$5:$I$5)</f>
        <v>-1.3246887337372094E-2</v>
      </c>
      <c r="L194" s="4">
        <f t="shared" si="4"/>
        <v>106.18487524178502</v>
      </c>
      <c r="M194" s="4">
        <f>L194/MAX(L$2:L194)-1</f>
        <v>-1.3246887337372115E-2</v>
      </c>
      <c r="N194" s="4">
        <f t="shared" si="5"/>
        <v>7.9304796637709618E-2</v>
      </c>
    </row>
    <row r="195" spans="1:14">
      <c r="A195" s="3">
        <f>prices!A196</f>
        <v>43761</v>
      </c>
      <c r="B195" s="5">
        <f>prices!B196/prices!B195-1</f>
        <v>-1.537215543662962E-2</v>
      </c>
      <c r="C195" s="5">
        <f>prices!C196/prices!C195-1</f>
        <v>9.1174009636745268E-3</v>
      </c>
      <c r="D195" s="5">
        <f>prices!D196/prices!D195-1</f>
        <v>1.8532310303618349E-3</v>
      </c>
      <c r="E195" s="5">
        <f>prices!E196/prices!E195-1</f>
        <v>2.3683915141991418E-2</v>
      </c>
      <c r="F195" s="5">
        <f>prices!F196/prices!F195-1</f>
        <v>8.6710116180221952E-3</v>
      </c>
      <c r="G195" s="5">
        <f>prices!G196/prices!G195-1</f>
        <v>2.53570784847299E-2</v>
      </c>
      <c r="H195" s="5">
        <f>prices!H196/prices!H195-1</f>
        <v>-6.3473592340856921E-4</v>
      </c>
      <c r="I195" s="5">
        <f>prices!I196/prices!I195-1</f>
        <v>-7.452756904760105E-3</v>
      </c>
      <c r="J195" s="5">
        <f>prices!J196/prices!J195-1</f>
        <v>1.3591236025836118E-3</v>
      </c>
      <c r="K195" s="8">
        <f>SUMPRODUCT(B195:I195,weights!$B$5:$I$5)</f>
        <v>5.0790169983578395E-3</v>
      </c>
      <c r="L195" s="4">
        <f t="shared" si="4"/>
        <v>106.72419002810656</v>
      </c>
      <c r="M195" s="4">
        <f>L195/MAX(L$2:L195)-1</f>
        <v>-8.2351515049760016E-3</v>
      </c>
      <c r="N195" s="4">
        <f t="shared" si="5"/>
        <v>3.311049333557059E-2</v>
      </c>
    </row>
    <row r="196" spans="1:14">
      <c r="A196" s="3">
        <f>prices!A197</f>
        <v>43762</v>
      </c>
      <c r="B196" s="5">
        <f>prices!B197/prices!B196-1</f>
        <v>3.1627501895069576E-2</v>
      </c>
      <c r="C196" s="5">
        <f>prices!C197/prices!C196-1</f>
        <v>5.7469621157970607E-3</v>
      </c>
      <c r="D196" s="5">
        <f>prices!D197/prices!D196-1</f>
        <v>-4.4256967014730808E-3</v>
      </c>
      <c r="E196" s="5">
        <f>prices!E197/prices!E196-1</f>
        <v>-2.3446637426900674E-2</v>
      </c>
      <c r="F196" s="5">
        <f>prices!F197/prices!F196-1</f>
        <v>-7.9784245420833066E-3</v>
      </c>
      <c r="G196" s="5">
        <f>prices!G197/prices!G196-1</f>
        <v>-6.5655114853577778E-3</v>
      </c>
      <c r="H196" s="5">
        <f>prices!H197/prices!H196-1</f>
        <v>1.852488951226583E-3</v>
      </c>
      <c r="I196" s="5">
        <f>prices!I197/prices!I196-1</f>
        <v>3.177063153816384E-4</v>
      </c>
      <c r="J196" s="5">
        <f>prices!J197/prices!J196-1</f>
        <v>-1.8527934092260612E-3</v>
      </c>
      <c r="K196" s="8">
        <f>SUMPRODUCT(B196:I196,weights!$B$5:$I$5)</f>
        <v>6.1251832258063011E-4</v>
      </c>
      <c r="L196" s="4">
        <f t="shared" ref="L196:L259" si="6">L195*(1+K196)</f>
        <v>106.78956054996137</v>
      </c>
      <c r="M196" s="4">
        <f>L196/MAX(L$2:L196)-1</f>
        <v>-7.6276773635813866E-3</v>
      </c>
      <c r="N196" s="4">
        <f t="shared" si="5"/>
        <v>8.1855396372574329E-3</v>
      </c>
    </row>
    <row r="197" spans="1:14">
      <c r="A197" s="3">
        <f>prices!A198</f>
        <v>43763</v>
      </c>
      <c r="B197" s="5">
        <f>prices!B198/prices!B197-1</f>
        <v>-3.642674004127433E-3</v>
      </c>
      <c r="C197" s="5">
        <f>prices!C198/prices!C197-1</f>
        <v>2.0627700705026175E-2</v>
      </c>
      <c r="D197" s="5">
        <f>prices!D198/prices!D197-1</f>
        <v>-5.7477252205319074E-3</v>
      </c>
      <c r="E197" s="5">
        <f>prices!E198/prices!E197-1</f>
        <v>3.3123116941444763E-3</v>
      </c>
      <c r="F197" s="5">
        <f>prices!F198/prices!F197-1</f>
        <v>-5.4372451291345714E-3</v>
      </c>
      <c r="G197" s="5">
        <f>prices!G198/prices!G197-1</f>
        <v>1.0789457405379954E-2</v>
      </c>
      <c r="H197" s="5">
        <f>prices!H198/prices!H197-1</f>
        <v>2.8475579153129038E-2</v>
      </c>
      <c r="I197" s="5">
        <f>prices!I198/prices!I197-1</f>
        <v>-5.0661936153567622E-3</v>
      </c>
      <c r="J197" s="5">
        <f>prices!J198/prices!J197-1</f>
        <v>1.122373214994532E-4</v>
      </c>
      <c r="K197" s="8">
        <f>SUMPRODUCT(B197:I197,weights!$B$5:$I$5)</f>
        <v>6.1401279954875505E-3</v>
      </c>
      <c r="L197" s="4">
        <f t="shared" si="6"/>
        <v>107.44526212032</v>
      </c>
      <c r="M197" s="4">
        <f>L197/MAX(L$2:L197)-1</f>
        <v>-1.5343842834144583E-3</v>
      </c>
      <c r="N197" s="4">
        <f t="shared" si="5"/>
        <v>8.4191641773965209E-3</v>
      </c>
    </row>
    <row r="198" spans="1:14">
      <c r="A198" s="3">
        <f>prices!A199</f>
        <v>43765</v>
      </c>
      <c r="B198" s="5">
        <f>prices!B199/prices!B198-1</f>
        <v>2.1182783888531453E-3</v>
      </c>
      <c r="C198" s="5">
        <f>prices!C199/prices!C198-1</f>
        <v>-4.3507810236869116E-3</v>
      </c>
      <c r="D198" s="5">
        <f>prices!D199/prices!D198-1</f>
        <v>7.0733709415442547E-3</v>
      </c>
      <c r="E198" s="5">
        <f>prices!E199/prices!E198-1</f>
        <v>1.7887119036072763E-2</v>
      </c>
      <c r="F198" s="5">
        <f>prices!F199/prices!F198-1</f>
        <v>1.0933940774487505E-2</v>
      </c>
      <c r="G198" s="5">
        <f>prices!G199/prices!G198-1</f>
        <v>-6.5653985138544035E-3</v>
      </c>
      <c r="H198" s="5">
        <f>prices!H199/prices!H198-1</f>
        <v>5.9072813663796353E-4</v>
      </c>
      <c r="I198" s="5">
        <f>prices!I199/prices!I198-1</f>
        <v>6.594672874638885E-3</v>
      </c>
      <c r="J198" s="5">
        <f>prices!J199/prices!J198-1</f>
        <v>0</v>
      </c>
      <c r="K198" s="8">
        <f>SUMPRODUCT(B198:I198,weights!$B$5:$I$5)</f>
        <v>2.9560096744044081E-3</v>
      </c>
      <c r="L198" s="4">
        <f t="shared" si="6"/>
        <v>107.76287135461658</v>
      </c>
      <c r="M198" s="4">
        <f>L198/MAX(L$2:L198)-1</f>
        <v>0</v>
      </c>
      <c r="N198" s="4">
        <f t="shared" si="5"/>
        <v>2.918021586404751E-2</v>
      </c>
    </row>
    <row r="199" spans="1:14">
      <c r="A199" s="3">
        <f>prices!A200</f>
        <v>43767</v>
      </c>
      <c r="B199" s="5">
        <f>prices!B200/prices!B199-1</f>
        <v>2.2876021670372282E-2</v>
      </c>
      <c r="C199" s="5">
        <f>prices!C200/prices!C199-1</f>
        <v>3.7409009271123006E-2</v>
      </c>
      <c r="D199" s="5">
        <f>prices!D200/prices!D199-1</f>
        <v>3.8847074329715348E-3</v>
      </c>
      <c r="E199" s="5">
        <f>prices!E200/prices!E199-1</f>
        <v>2.7669360306379343E-3</v>
      </c>
      <c r="F199" s="5">
        <f>prices!F200/prices!F199-1</f>
        <v>1.1378999549346513E-2</v>
      </c>
      <c r="G199" s="5">
        <f>prices!G200/prices!G199-1</f>
        <v>4.0311743384765064E-2</v>
      </c>
      <c r="H199" s="5">
        <f>prices!H200/prices!H199-1</f>
        <v>1.0062118178551405E-2</v>
      </c>
      <c r="I199" s="5">
        <f>prices!I200/prices!I199-1</f>
        <v>1.861792642554394E-2</v>
      </c>
      <c r="J199" s="5">
        <f>prices!J200/prices!J199-1</f>
        <v>1.7520006215523409E-2</v>
      </c>
      <c r="K199" s="8">
        <f>SUMPRODUCT(B199:I199,weights!$B$5:$I$5)</f>
        <v>2.0691590707108683E-2</v>
      </c>
      <c r="L199" s="4">
        <f t="shared" si="6"/>
        <v>109.99265658210911</v>
      </c>
      <c r="M199" s="4">
        <f>L199/MAX(L$2:L199)-1</f>
        <v>0</v>
      </c>
      <c r="N199" s="4">
        <f t="shared" si="5"/>
        <v>3.4470171629354951E-2</v>
      </c>
    </row>
    <row r="200" spans="1:14">
      <c r="A200" s="3">
        <f>prices!A201</f>
        <v>43768</v>
      </c>
      <c r="B200" s="5">
        <f>prices!B201/prices!B200-1</f>
        <v>8.2048770033829044E-3</v>
      </c>
      <c r="C200" s="5">
        <f>prices!C201/prices!C200-1</f>
        <v>2.6400522077739907E-2</v>
      </c>
      <c r="D200" s="5">
        <f>prices!D201/prices!D200-1</f>
        <v>4.6988909235394782E-3</v>
      </c>
      <c r="E200" s="5">
        <f>prices!E201/prices!E200-1</f>
        <v>1.5294934580805553E-2</v>
      </c>
      <c r="F200" s="5">
        <f>prices!F201/prices!F200-1</f>
        <v>2.4284282054138462E-2</v>
      </c>
      <c r="G200" s="5">
        <f>prices!G201/prices!G200-1</f>
        <v>-2.128491712433267E-2</v>
      </c>
      <c r="H200" s="5">
        <f>prices!H201/prices!H200-1</f>
        <v>1.8246505717916195E-2</v>
      </c>
      <c r="I200" s="5">
        <f>prices!I201/prices!I200-1</f>
        <v>8.9983370161970111E-3</v>
      </c>
      <c r="J200" s="5">
        <f>prices!J201/prices!J200-1</f>
        <v>4.8571077090147075E-3</v>
      </c>
      <c r="K200" s="8">
        <f>SUMPRODUCT(B200:I200,weights!$B$5:$I$5)</f>
        <v>7.4256117458641252E-3</v>
      </c>
      <c r="L200" s="4">
        <f t="shared" si="6"/>
        <v>110.80941934478402</v>
      </c>
      <c r="M200" s="4">
        <f>L200/MAX(L$2:L200)-1</f>
        <v>0</v>
      </c>
      <c r="N200" s="4">
        <f t="shared" si="5"/>
        <v>5.014568255450591E-2</v>
      </c>
    </row>
    <row r="201" spans="1:14">
      <c r="A201" s="3">
        <f>prices!A202</f>
        <v>43769</v>
      </c>
      <c r="B201" s="5">
        <f>prices!B202/prices!B201-1</f>
        <v>-9.9600686273020322E-3</v>
      </c>
      <c r="C201" s="5">
        <f>prices!C202/prices!C201-1</f>
        <v>7.4826071421065787E-3</v>
      </c>
      <c r="D201" s="5">
        <f>prices!D202/prices!D201-1</f>
        <v>-1.4409023694074707E-2</v>
      </c>
      <c r="E201" s="5">
        <f>prices!E202/prices!E201-1</f>
        <v>3.7850290671514131E-2</v>
      </c>
      <c r="F201" s="5">
        <f>prices!F202/prices!F201-1</f>
        <v>-6.742794997281143E-3</v>
      </c>
      <c r="G201" s="5">
        <f>prices!G202/prices!G201-1</f>
        <v>3.2503531769023652E-4</v>
      </c>
      <c r="H201" s="5">
        <f>prices!H202/prices!H201-1</f>
        <v>8.7101926724568735E-3</v>
      </c>
      <c r="I201" s="5">
        <f>prices!I202/prices!I201-1</f>
        <v>-8.127878623678253E-4</v>
      </c>
      <c r="J201" s="5">
        <f>prices!J202/prices!J201-1</f>
        <v>2.8157479251273987E-3</v>
      </c>
      <c r="K201" s="8">
        <f>SUMPRODUCT(B201:I201,weights!$B$5:$I$5)</f>
        <v>2.1790504284539504E-3</v>
      </c>
      <c r="L201" s="4">
        <f t="shared" si="6"/>
        <v>111.05087865748401</v>
      </c>
      <c r="M201" s="4">
        <f>L201/MAX(L$2:L201)-1</f>
        <v>0</v>
      </c>
      <c r="N201" s="4">
        <f t="shared" si="5"/>
        <v>5.0461363655647018E-2</v>
      </c>
    </row>
    <row r="202" spans="1:14">
      <c r="A202" s="3">
        <f>prices!A203</f>
        <v>43770</v>
      </c>
      <c r="B202" s="5">
        <f>prices!B203/prices!B202-1</f>
        <v>-5.0914779088135909E-3</v>
      </c>
      <c r="C202" s="5">
        <f>prices!C203/prices!C202-1</f>
        <v>-3.029228297832387E-2</v>
      </c>
      <c r="D202" s="5">
        <f>prices!D203/prices!D202-1</f>
        <v>7.8855547801814918E-3</v>
      </c>
      <c r="E202" s="5">
        <f>prices!E203/prices!E202-1</f>
        <v>3.3469755826860403E-3</v>
      </c>
      <c r="F202" s="5">
        <f>prices!F203/prices!F202-1</f>
        <v>1.4124603087704024E-2</v>
      </c>
      <c r="G202" s="5">
        <f>prices!G203/prices!G202-1</f>
        <v>7.8376983161327907E-3</v>
      </c>
      <c r="H202" s="5">
        <f>prices!H203/prices!H202-1</f>
        <v>9.5751787614122286E-3</v>
      </c>
      <c r="I202" s="5">
        <f>prices!I203/prices!I202-1</f>
        <v>-1.6058086285852147E-2</v>
      </c>
      <c r="J202" s="5">
        <f>prices!J203/prices!J202-1</f>
        <v>1.1071400005893128E-3</v>
      </c>
      <c r="K202" s="8">
        <f>SUMPRODUCT(B202:I202,weights!$B$5:$I$5)</f>
        <v>-1.45185917082961E-3</v>
      </c>
      <c r="L202" s="4">
        <f t="shared" si="6"/>
        <v>110.88964842087645</v>
      </c>
      <c r="M202" s="4">
        <f>L202/MAX(L$2:L202)-1</f>
        <v>-1.4518591708295725E-3</v>
      </c>
      <c r="N202" s="4">
        <f t="shared" si="5"/>
        <v>5.5355496509860602E-2</v>
      </c>
    </row>
    <row r="203" spans="1:14">
      <c r="A203" s="3">
        <f>prices!A204</f>
        <v>43773</v>
      </c>
      <c r="B203" s="5">
        <f>prices!B204/prices!B203-1</f>
        <v>5.0867052023129133E-4</v>
      </c>
      <c r="C203" s="5">
        <f>prices!C204/prices!C203-1</f>
        <v>-3.157204018846449E-3</v>
      </c>
      <c r="D203" s="5">
        <f>prices!D204/prices!D203-1</f>
        <v>-2.5791040642525465E-3</v>
      </c>
      <c r="E203" s="5">
        <f>prices!E204/prices!E203-1</f>
        <v>3.0679088096513762E-2</v>
      </c>
      <c r="F203" s="5">
        <f>prices!F204/prices!F203-1</f>
        <v>-2.1053768084647873E-3</v>
      </c>
      <c r="G203" s="5">
        <f>prices!G204/prices!G203-1</f>
        <v>-2.5549375780710148E-2</v>
      </c>
      <c r="H203" s="5">
        <f>prices!H204/prices!H203-1</f>
        <v>9.3128124693664383E-4</v>
      </c>
      <c r="I203" s="5">
        <f>prices!I204/prices!I203-1</f>
        <v>1.9366790165040726E-3</v>
      </c>
      <c r="J203" s="5">
        <f>prices!J204/prices!J203-1</f>
        <v>4.2638723024910341E-3</v>
      </c>
      <c r="K203" s="8">
        <f>SUMPRODUCT(B203:I203,weights!$B$5:$I$5)</f>
        <v>-2.4240807874424618E-3</v>
      </c>
      <c r="L203" s="4">
        <f t="shared" si="6"/>
        <v>110.62084295461315</v>
      </c>
      <c r="M203" s="4">
        <f>L203/MAX(L$2:L203)-1</f>
        <v>-3.8724205343499962E-3</v>
      </c>
      <c r="N203" s="4">
        <f t="shared" si="5"/>
        <v>5.3690846229549116E-2</v>
      </c>
    </row>
    <row r="204" spans="1:14">
      <c r="A204" s="3">
        <f>prices!A205</f>
        <v>43774</v>
      </c>
      <c r="B204" s="5">
        <f>prices!B205/prices!B204-1</f>
        <v>-7.1023602637579897E-3</v>
      </c>
      <c r="C204" s="5">
        <f>prices!C205/prices!C204-1</f>
        <v>3.5988496630463551E-3</v>
      </c>
      <c r="D204" s="5">
        <f>prices!D205/prices!D204-1</f>
        <v>2.1345643232737466E-3</v>
      </c>
      <c r="E204" s="5">
        <f>prices!E205/prices!E204-1</f>
        <v>-1.8194928897236395E-2</v>
      </c>
      <c r="F204" s="5">
        <f>prices!F205/prices!F204-1</f>
        <v>8.2769813362184586E-3</v>
      </c>
      <c r="G204" s="5">
        <f>prices!G205/prices!G204-1</f>
        <v>-4.7150556654430575E-3</v>
      </c>
      <c r="H204" s="5">
        <f>prices!H205/prices!H204-1</f>
        <v>-1.8387933989520544E-2</v>
      </c>
      <c r="I204" s="5">
        <f>prices!I205/prices!I204-1</f>
        <v>-8.5415886743729352E-3</v>
      </c>
      <c r="J204" s="5">
        <f>prices!J205/prices!J204-1</f>
        <v>-2.0182057229948258E-3</v>
      </c>
      <c r="K204" s="8">
        <f>SUMPRODUCT(B204:I204,weights!$B$5:$I$5)</f>
        <v>-6.652165295386786E-3</v>
      </c>
      <c r="L204" s="4">
        <f t="shared" si="6"/>
        <v>109.88497482216404</v>
      </c>
      <c r="M204" s="4">
        <f>L204/MAX(L$2:L204)-1</f>
        <v>-1.0498825848249127E-2</v>
      </c>
      <c r="N204" s="4">
        <f t="shared" si="5"/>
        <v>5.7665913601614882E-2</v>
      </c>
    </row>
    <row r="205" spans="1:14">
      <c r="A205" s="3">
        <f>prices!A206</f>
        <v>43775</v>
      </c>
      <c r="B205" s="5">
        <f>prices!B206/prices!B205-1</f>
        <v>-8.5651775877852998E-3</v>
      </c>
      <c r="C205" s="5">
        <f>prices!C206/prices!C205-1</f>
        <v>-6.0590094836669994E-3</v>
      </c>
      <c r="D205" s="5">
        <f>prices!D206/prices!D205-1</f>
        <v>1.3836456204758818E-2</v>
      </c>
      <c r="E205" s="5">
        <f>prices!E206/prices!E205-1</f>
        <v>2.3263361060344767E-2</v>
      </c>
      <c r="F205" s="5">
        <f>prices!F206/prices!F205-1</f>
        <v>-5.901920806953509E-3</v>
      </c>
      <c r="G205" s="5">
        <f>prices!G206/prices!G205-1</f>
        <v>-1.0535374307271472E-2</v>
      </c>
      <c r="H205" s="5">
        <f>prices!H206/prices!H205-1</f>
        <v>-4.6643885161258281E-3</v>
      </c>
      <c r="I205" s="5">
        <f>prices!I206/prices!I205-1</f>
        <v>9.2008229881870296E-3</v>
      </c>
      <c r="J205" s="5">
        <f>prices!J206/prices!J205-1</f>
        <v>4.0991172423050504E-3</v>
      </c>
      <c r="K205" s="8">
        <f>SUMPRODUCT(B205:I205,weights!$B$5:$I$5)</f>
        <v>-5.3919515022363878E-5</v>
      </c>
      <c r="L205" s="4">
        <f t="shared" si="6"/>
        <v>109.87904987761338</v>
      </c>
      <c r="M205" s="4">
        <f>L205/MAX(L$2:L205)-1</f>
        <v>-1.0552179271673401E-2</v>
      </c>
      <c r="N205" s="4">
        <f t="shared" si="5"/>
        <v>6.8499436273166792E-2</v>
      </c>
    </row>
    <row r="206" spans="1:14">
      <c r="A206" s="3">
        <f>prices!A207</f>
        <v>43776</v>
      </c>
      <c r="B206" s="5">
        <f>prices!B207/prices!B206-1</f>
        <v>1.6527114797714848E-2</v>
      </c>
      <c r="C206" s="5">
        <f>prices!C207/prices!C206-1</f>
        <v>-1.4442034433704842E-3</v>
      </c>
      <c r="D206" s="5">
        <f>prices!D207/prices!D206-1</f>
        <v>5.6196088478948081E-3</v>
      </c>
      <c r="E206" s="5">
        <f>prices!E207/prices!E206-1</f>
        <v>1.0949940743460784E-2</v>
      </c>
      <c r="F206" s="5">
        <f>prices!F207/prices!F206-1</f>
        <v>1.7217184801381791E-2</v>
      </c>
      <c r="G206" s="5">
        <f>prices!G207/prices!G206-1</f>
        <v>-3.2825462203451838E-3</v>
      </c>
      <c r="H206" s="5">
        <f>prices!H207/prices!H206-1</f>
        <v>2.9696271050521084E-2</v>
      </c>
      <c r="I206" s="5">
        <f>prices!I207/prices!I206-1</f>
        <v>-1.2384988355667592E-2</v>
      </c>
      <c r="J206" s="5">
        <f>prices!J207/prices!J206-1</f>
        <v>3.8442092419803675E-3</v>
      </c>
      <c r="K206" s="8">
        <f>SUMPRODUCT(B206:I206,weights!$B$5:$I$5)</f>
        <v>6.1637645463623967E-3</v>
      </c>
      <c r="L206" s="4">
        <f t="shared" si="6"/>
        <v>110.55631846963699</v>
      </c>
      <c r="M206" s="4">
        <f>L206/MAX(L$2:L206)-1</f>
        <v>-4.4534558737927554E-3</v>
      </c>
      <c r="N206" s="4">
        <f t="shared" si="5"/>
        <v>6.5665825006518075E-2</v>
      </c>
    </row>
    <row r="207" spans="1:14">
      <c r="A207" s="3">
        <f>prices!A208</f>
        <v>43777</v>
      </c>
      <c r="B207" s="5">
        <f>prices!B208/prices!B207-1</f>
        <v>-8.9913935120321531E-3</v>
      </c>
      <c r="C207" s="5">
        <f>prices!C208/prices!C207-1</f>
        <v>-2.5350739396565736E-2</v>
      </c>
      <c r="D207" s="5">
        <f>prices!D208/prices!D207-1</f>
        <v>-6.4204912185344964E-3</v>
      </c>
      <c r="E207" s="5">
        <f>prices!E208/prices!E207-1</f>
        <v>-1.659374226038135E-2</v>
      </c>
      <c r="F207" s="5">
        <f>prices!F208/prices!F207-1</f>
        <v>-2.0109301215047393E-2</v>
      </c>
      <c r="G207" s="5">
        <f>prices!G208/prices!G207-1</f>
        <v>-1.1883517019081524E-2</v>
      </c>
      <c r="H207" s="5">
        <f>prices!H208/prices!H207-1</f>
        <v>-4.1982038988537029E-2</v>
      </c>
      <c r="I207" s="5">
        <f>prices!I208/prices!I207-1</f>
        <v>-8.3962796595100642E-3</v>
      </c>
      <c r="J207" s="5">
        <f>prices!J208/prices!J207-1</f>
        <v>-8.6496476454892557E-3</v>
      </c>
      <c r="K207" s="8">
        <f>SUMPRODUCT(B207:I207,weights!$B$5:$I$5)</f>
        <v>-1.7231269526826996E-2</v>
      </c>
      <c r="L207" s="4">
        <f t="shared" si="6"/>
        <v>108.65129274819296</v>
      </c>
      <c r="M207" s="4">
        <f>L207/MAX(L$2:L207)-1</f>
        <v>-2.1607986702132487E-2</v>
      </c>
      <c r="N207" s="4">
        <f t="shared" si="5"/>
        <v>4.97478212205269E-2</v>
      </c>
    </row>
    <row r="208" spans="1:14">
      <c r="A208" s="3">
        <f>prices!A209</f>
        <v>43780</v>
      </c>
      <c r="B208" s="5">
        <f>prices!B209/prices!B208-1</f>
        <v>-1.2242298071993396E-2</v>
      </c>
      <c r="C208" s="5">
        <f>prices!C209/prices!C208-1</f>
        <v>-1.3610848663369146E-2</v>
      </c>
      <c r="D208" s="5">
        <f>prices!D209/prices!D208-1</f>
        <v>7.2825492341357378E-3</v>
      </c>
      <c r="E208" s="5">
        <f>prices!E209/prices!E208-1</f>
        <v>-5.2887844190732114E-3</v>
      </c>
      <c r="F208" s="5">
        <f>prices!F209/prices!F208-1</f>
        <v>-4.0610786224821727E-3</v>
      </c>
      <c r="G208" s="5">
        <f>prices!G209/prices!G208-1</f>
        <v>-8.7850260272455127E-3</v>
      </c>
      <c r="H208" s="5">
        <f>prices!H209/prices!H208-1</f>
        <v>-1.5496392643024048E-3</v>
      </c>
      <c r="I208" s="5">
        <f>prices!I209/prices!I208-1</f>
        <v>-4.2180933594266889E-3</v>
      </c>
      <c r="J208" s="5">
        <f>prices!J209/prices!J208-1</f>
        <v>4.4507333212973066E-4</v>
      </c>
      <c r="K208" s="8">
        <f>SUMPRODUCT(B208:I208,weights!$B$5:$I$5)</f>
        <v>-5.7717938928614019E-3</v>
      </c>
      <c r="L208" s="4">
        <f t="shared" si="6"/>
        <v>108.02417988025744</v>
      </c>
      <c r="M208" s="4">
        <f>L208/MAX(L$2:L208)-1</f>
        <v>-2.7255063749309638E-2</v>
      </c>
      <c r="N208" s="4">
        <f t="shared" si="5"/>
        <v>3.8824875041932438E-2</v>
      </c>
    </row>
    <row r="209" spans="1:14">
      <c r="A209" s="3">
        <f>prices!A210</f>
        <v>43782</v>
      </c>
      <c r="B209" s="5">
        <f>prices!B210/prices!B209-1</f>
        <v>3.1173815253464188E-2</v>
      </c>
      <c r="C209" s="5">
        <f>prices!C210/prices!C209-1</f>
        <v>3.6956068536913911E-2</v>
      </c>
      <c r="D209" s="5">
        <f>prices!D210/prices!D209-1</f>
        <v>-5.6854825022911726E-3</v>
      </c>
      <c r="E209" s="5">
        <f>prices!E210/prices!E209-1</f>
        <v>-1.8533209553548868E-2</v>
      </c>
      <c r="F209" s="5">
        <f>prices!F210/prices!F209-1</f>
        <v>-2.1584298374381583E-2</v>
      </c>
      <c r="G209" s="5">
        <f>prices!G210/prices!G209-1</f>
        <v>2.4239227920253015E-3</v>
      </c>
      <c r="H209" s="5">
        <f>prices!H210/prices!H209-1</f>
        <v>-2.2415591685112979E-2</v>
      </c>
      <c r="I209" s="5">
        <f>prices!I210/prices!I209-1</f>
        <v>-1.6936014281687561E-2</v>
      </c>
      <c r="J209" s="5">
        <f>prices!J210/prices!J209-1</f>
        <v>-6.1275281299707496E-3</v>
      </c>
      <c r="K209" s="8">
        <f>SUMPRODUCT(B209:I209,weights!$B$5:$I$5)</f>
        <v>-2.8322463483998672E-3</v>
      </c>
      <c r="L209" s="4">
        <f t="shared" si="6"/>
        <v>107.71822879125268</v>
      </c>
      <c r="M209" s="4">
        <f>L209/MAX(L$2:L209)-1</f>
        <v>-3.0010117042930107E-2</v>
      </c>
      <c r="N209" s="4">
        <f t="shared" si="5"/>
        <v>2.9988440434645769E-2</v>
      </c>
    </row>
    <row r="210" spans="1:14">
      <c r="A210" s="3">
        <f>prices!A211</f>
        <v>43783</v>
      </c>
      <c r="B210" s="5">
        <f>prices!B211/prices!B210-1</f>
        <v>-6.4977654398193918E-3</v>
      </c>
      <c r="C210" s="5">
        <f>prices!C211/prices!C210-1</f>
        <v>8.3568789393608789E-3</v>
      </c>
      <c r="D210" s="5">
        <f>prices!D211/prices!D210-1</f>
        <v>1.3006298325567212E-2</v>
      </c>
      <c r="E210" s="5">
        <f>prices!E211/prices!E210-1</f>
        <v>2.0173009785543483E-2</v>
      </c>
      <c r="F210" s="5">
        <f>prices!F211/prices!F210-1</f>
        <v>2.2227161591459321E-4</v>
      </c>
      <c r="G210" s="5">
        <f>prices!G211/prices!G210-1</f>
        <v>1.2935960752199938E-2</v>
      </c>
      <c r="H210" s="5">
        <f>prices!H211/prices!H210-1</f>
        <v>-4.3724949247826439E-3</v>
      </c>
      <c r="I210" s="5">
        <f>prices!I211/prices!I210-1</f>
        <v>-9.0081479534538378E-3</v>
      </c>
      <c r="J210" s="5">
        <f>prices!J211/prices!J210-1</f>
        <v>2.6730402982995116E-3</v>
      </c>
      <c r="K210" s="8">
        <f>SUMPRODUCT(B210:I210,weights!$B$5:$I$5)</f>
        <v>2.682477824081415E-3</v>
      </c>
      <c r="L210" s="4">
        <f t="shared" si="6"/>
        <v>108.00718055123455</v>
      </c>
      <c r="M210" s="4">
        <f>L210/MAX(L$2:L210)-1</f>
        <v>-2.7408140692314342E-2</v>
      </c>
      <c r="N210" s="4">
        <f t="shared" si="5"/>
        <v>2.4171421030371398E-2</v>
      </c>
    </row>
    <row r="211" spans="1:14">
      <c r="A211" s="3">
        <f>prices!A212</f>
        <v>43784</v>
      </c>
      <c r="B211" s="5">
        <f>prices!B212/prices!B211-1</f>
        <v>5.5423351500729634E-3</v>
      </c>
      <c r="C211" s="5">
        <f>prices!C212/prices!C211-1</f>
        <v>-1.0173619717854465E-2</v>
      </c>
      <c r="D211" s="5">
        <f>prices!D212/prices!D211-1</f>
        <v>3.1340039427791844E-3</v>
      </c>
      <c r="E211" s="5">
        <f>prices!E212/prices!E211-1</f>
        <v>-1.9723533378288582E-3</v>
      </c>
      <c r="F211" s="5">
        <f>prices!F212/prices!F211-1</f>
        <v>-1.2833333333333363E-2</v>
      </c>
      <c r="G211" s="5">
        <f>prices!G212/prices!G211-1</f>
        <v>-1.3791949902942857E-2</v>
      </c>
      <c r="H211" s="5">
        <f>prices!H212/prices!H211-1</f>
        <v>1.1815757829246598E-2</v>
      </c>
      <c r="I211" s="5">
        <f>prices!I212/prices!I211-1</f>
        <v>-2.0334024529423678E-3</v>
      </c>
      <c r="J211" s="5">
        <f>prices!J212/prices!J211-1</f>
        <v>1.9667961017848512E-3</v>
      </c>
      <c r="K211" s="8">
        <f>SUMPRODUCT(B211:I211,weights!$B$5:$I$5)</f>
        <v>-2.4941000671800584E-3</v>
      </c>
      <c r="L211" s="4">
        <f t="shared" si="6"/>
        <v>107.73779983496578</v>
      </c>
      <c r="M211" s="4">
        <f>L211/MAX(L$2:L211)-1</f>
        <v>-2.9833882113952548E-2</v>
      </c>
      <c r="N211" s="4">
        <f t="shared" si="5"/>
        <v>2.1872399669395248E-2</v>
      </c>
    </row>
    <row r="212" spans="1:14">
      <c r="A212" s="3">
        <f>prices!A213</f>
        <v>43787</v>
      </c>
      <c r="B212" s="5">
        <f>prices!B213/prices!B212-1</f>
        <v>-7.9241480395749742E-3</v>
      </c>
      <c r="C212" s="5">
        <f>prices!C213/prices!C212-1</f>
        <v>-1.004953998584579E-2</v>
      </c>
      <c r="D212" s="5">
        <f>prices!D213/prices!D212-1</f>
        <v>-1.2396069538926691E-2</v>
      </c>
      <c r="E212" s="5">
        <f>prices!E213/prices!E212-1</f>
        <v>1.8411229160684162E-3</v>
      </c>
      <c r="F212" s="5">
        <f>prices!F213/prices!F212-1</f>
        <v>3.9394451010177356E-4</v>
      </c>
      <c r="G212" s="5">
        <f>prices!G213/prices!G212-1</f>
        <v>-6.8198352468248347E-3</v>
      </c>
      <c r="H212" s="5">
        <f>prices!H213/prices!H212-1</f>
        <v>2.2890507931586868E-2</v>
      </c>
      <c r="I212" s="5">
        <f>prices!I213/prices!I212-1</f>
        <v>-9.5434448211713097E-3</v>
      </c>
      <c r="J212" s="5">
        <f>prices!J213/prices!J212-1</f>
        <v>-9.2052003076814604E-4</v>
      </c>
      <c r="K212" s="8">
        <f>SUMPRODUCT(B212:I212,weights!$B$5:$I$5)</f>
        <v>-2.3765289208474523E-3</v>
      </c>
      <c r="L212" s="4">
        <f t="shared" si="6"/>
        <v>107.48175783778952</v>
      </c>
      <c r="M212" s="4">
        <f>L212/MAX(L$2:L212)-1</f>
        <v>-3.2139509951135015E-2</v>
      </c>
      <c r="N212" s="4">
        <f t="shared" si="5"/>
        <v>1.0496468136121262E-2</v>
      </c>
    </row>
    <row r="213" spans="1:14">
      <c r="A213" s="3">
        <f>prices!A214</f>
        <v>43788</v>
      </c>
      <c r="B213" s="5">
        <f>prices!B214/prices!B213-1</f>
        <v>3.4643027532819337E-2</v>
      </c>
      <c r="C213" s="5">
        <f>prices!C214/prices!C213-1</f>
        <v>-2.034711071027917E-2</v>
      </c>
      <c r="D213" s="5">
        <f>prices!D214/prices!D213-1</f>
        <v>7.8065207408539727E-3</v>
      </c>
      <c r="E213" s="5">
        <f>prices!E214/prices!E213-1</f>
        <v>1.0840976530887447E-2</v>
      </c>
      <c r="F213" s="5">
        <f>prices!F214/prices!F213-1</f>
        <v>-5.7380738073806725E-3</v>
      </c>
      <c r="G213" s="5">
        <f>prices!G214/prices!G213-1</f>
        <v>-7.4673481402033337E-3</v>
      </c>
      <c r="H213" s="5">
        <f>prices!H214/prices!H213-1</f>
        <v>3.1824611032531536E-3</v>
      </c>
      <c r="I213" s="5">
        <f>prices!I214/prices!I213-1</f>
        <v>9.1881870812482447E-4</v>
      </c>
      <c r="J213" s="5">
        <f>prices!J214/prices!J213-1</f>
        <v>4.6783625730995038E-3</v>
      </c>
      <c r="K213" s="8">
        <f>SUMPRODUCT(B213:I213,weights!$B$5:$I$5)</f>
        <v>2.8525023535540856E-3</v>
      </c>
      <c r="L213" s="4">
        <f t="shared" si="6"/>
        <v>107.78834980498596</v>
      </c>
      <c r="M213" s="4">
        <f>L213/MAX(L$2:L213)-1</f>
        <v>-2.9378685625358392E-2</v>
      </c>
      <c r="N213" s="4">
        <f t="shared" si="5"/>
        <v>1.6538554728546817E-3</v>
      </c>
    </row>
    <row r="214" spans="1:14">
      <c r="A214" s="3">
        <f>prices!A215</f>
        <v>43789</v>
      </c>
      <c r="B214" s="5">
        <f>prices!B215/prices!B214-1</f>
        <v>2.510858570833574E-2</v>
      </c>
      <c r="C214" s="5">
        <f>prices!C215/prices!C214-1</f>
        <v>-1.178821627447757E-4</v>
      </c>
      <c r="D214" s="5">
        <f>prices!D215/prices!D214-1</f>
        <v>1.1306871877954094E-3</v>
      </c>
      <c r="E214" s="5">
        <f>prices!E215/prices!E214-1</f>
        <v>2.1682928863309137E-4</v>
      </c>
      <c r="F214" s="5">
        <f>prices!F215/prices!F214-1</f>
        <v>5.6014484553581489E-3</v>
      </c>
      <c r="G214" s="5">
        <f>prices!G215/prices!G214-1</f>
        <v>1.5229675152583555E-2</v>
      </c>
      <c r="H214" s="5">
        <f>prices!H215/prices!H214-1</f>
        <v>5.6573845611561424E-2</v>
      </c>
      <c r="I214" s="5">
        <f>prices!I215/prices!I214-1</f>
        <v>1.1015703063437687E-2</v>
      </c>
      <c r="J214" s="5">
        <f>prices!J215/prices!J214-1</f>
        <v>4.941332149646982E-3</v>
      </c>
      <c r="K214" s="8">
        <f>SUMPRODUCT(B214:I214,weights!$B$5:$I$5)</f>
        <v>1.7419846621715612E-2</v>
      </c>
      <c r="L214" s="4">
        <f t="shared" si="6"/>
        <v>109.66600632619665</v>
      </c>
      <c r="M214" s="4">
        <f>L214/MAX(L$2:L214)-1</f>
        <v>-1.247061120118409E-2</v>
      </c>
      <c r="N214" s="4">
        <f t="shared" si="5"/>
        <v>3.2783681070256199E-2</v>
      </c>
    </row>
    <row r="215" spans="1:14">
      <c r="A215" s="3">
        <f>prices!A216</f>
        <v>43790</v>
      </c>
      <c r="B215" s="5">
        <f>prices!B216/prices!B215-1</f>
        <v>-6.5006674792501551E-3</v>
      </c>
      <c r="C215" s="5">
        <f>prices!C216/prices!C215-1</f>
        <v>4.5249630873047675E-3</v>
      </c>
      <c r="D215" s="5">
        <f>prices!D216/prices!D215-1</f>
        <v>7.8553006422465987E-3</v>
      </c>
      <c r="E215" s="5">
        <f>prices!E216/prices!E215-1</f>
        <v>3.5018676627540657E-4</v>
      </c>
      <c r="F215" s="5">
        <f>prices!F216/prices!F215-1</f>
        <v>-1.9974118044224332E-2</v>
      </c>
      <c r="G215" s="5">
        <f>prices!G216/prices!G215-1</f>
        <v>-1.8692422388687624E-2</v>
      </c>
      <c r="H215" s="5">
        <f>prices!H216/prices!H215-1</f>
        <v>-6.3147861312998765E-3</v>
      </c>
      <c r="I215" s="5">
        <f>prices!I216/prices!I215-1</f>
        <v>8.621728684724328E-3</v>
      </c>
      <c r="J215" s="5">
        <f>prices!J216/prices!J215-1</f>
        <v>-2.5585252227251498E-3</v>
      </c>
      <c r="K215" s="8">
        <f>SUMPRODUCT(B215:I215,weights!$B$5:$I$5)</f>
        <v>-4.374103666885119E-3</v>
      </c>
      <c r="L215" s="4">
        <f t="shared" si="6"/>
        <v>109.18631584579259</v>
      </c>
      <c r="M215" s="4">
        <f>L215/MAX(L$2:L215)-1</f>
        <v>-1.6790167121885746E-2</v>
      </c>
      <c r="N215" s="4">
        <f t="shared" ref="N215:N278" si="7">L215/L195-1</f>
        <v>2.3069988322587553E-2</v>
      </c>
    </row>
    <row r="216" spans="1:14">
      <c r="A216" s="3">
        <f>prices!A217</f>
        <v>43791</v>
      </c>
      <c r="B216" s="5">
        <f>prices!B217/prices!B216-1</f>
        <v>5.7983291464627218E-3</v>
      </c>
      <c r="C216" s="5">
        <f>prices!C217/prices!C216-1</f>
        <v>-2.1902542349199972E-2</v>
      </c>
      <c r="D216" s="5">
        <f>prices!D217/prices!D216-1</f>
        <v>-1.4500995166334851E-2</v>
      </c>
      <c r="E216" s="5">
        <f>prices!E217/prices!E216-1</f>
        <v>-2.8105152611312079E-2</v>
      </c>
      <c r="F216" s="5">
        <f>prices!F217/prices!F216-1</f>
        <v>7.9802503157653248E-3</v>
      </c>
      <c r="G216" s="5">
        <f>prices!G217/prices!G216-1</f>
        <v>5.8990615129410617E-3</v>
      </c>
      <c r="H216" s="5">
        <f>prices!H217/prices!H216-1</f>
        <v>1.1055155875299816E-2</v>
      </c>
      <c r="I216" s="5">
        <f>prices!I217/prices!I216-1</f>
        <v>-1.0093526440737466E-2</v>
      </c>
      <c r="J216" s="5">
        <f>prices!J217/prices!J216-1</f>
        <v>-4.5118812873901071E-3</v>
      </c>
      <c r="K216" s="8">
        <f>SUMPRODUCT(B216:I216,weights!$B$5:$I$5)</f>
        <v>-3.1520194192840682E-3</v>
      </c>
      <c r="L216" s="4">
        <f t="shared" si="6"/>
        <v>108.84215845792656</v>
      </c>
      <c r="M216" s="4">
        <f>L216/MAX(L$2:L216)-1</f>
        <v>-1.9889263608348751E-2</v>
      </c>
      <c r="N216" s="4">
        <f t="shared" si="7"/>
        <v>1.9220960339141779E-2</v>
      </c>
    </row>
    <row r="217" spans="1:14">
      <c r="A217" s="3">
        <f>prices!A218</f>
        <v>43794</v>
      </c>
      <c r="B217" s="5">
        <f>prices!B218/prices!B217-1</f>
        <v>9.729180280258598E-3</v>
      </c>
      <c r="C217" s="5">
        <f>prices!C218/prices!C217-1</f>
        <v>4.7311582195304069E-3</v>
      </c>
      <c r="D217" s="5">
        <f>prices!D218/prices!D217-1</f>
        <v>5.0235905094870859E-3</v>
      </c>
      <c r="E217" s="5">
        <f>prices!E218/prices!E217-1</f>
        <v>7.06653173936167E-3</v>
      </c>
      <c r="F217" s="5">
        <f>prices!F218/prices!F217-1</f>
        <v>3.9870137267183914E-4</v>
      </c>
      <c r="G217" s="5">
        <f>prices!G218/prices!G217-1</f>
        <v>2.4878049515134837E-2</v>
      </c>
      <c r="H217" s="5">
        <f>prices!H218/prices!H217-1</f>
        <v>1.5156186997462129E-2</v>
      </c>
      <c r="I217" s="5">
        <f>prices!I218/prices!I217-1</f>
        <v>1.6014936543831126E-3</v>
      </c>
      <c r="J217" s="5">
        <f>prices!J218/prices!J217-1</f>
        <v>1.3374571946552116E-2</v>
      </c>
      <c r="K217" s="8">
        <f>SUMPRODUCT(B217:I217,weights!$B$5:$I$5)</f>
        <v>1.0096811516832262E-2</v>
      </c>
      <c r="L217" s="4">
        <f t="shared" si="6"/>
        <v>109.94111721696143</v>
      </c>
      <c r="M217" s="4">
        <f>L217/MAX(L$2:L217)-1</f>
        <v>-9.9932702373786153E-3</v>
      </c>
      <c r="N217" s="4">
        <f t="shared" si="7"/>
        <v>2.3229084720799653E-2</v>
      </c>
    </row>
    <row r="218" spans="1:14">
      <c r="A218" s="3">
        <f>prices!A219</f>
        <v>43795</v>
      </c>
      <c r="B218" s="5">
        <f>prices!B219/prices!B218-1</f>
        <v>-8.3411231753793835E-4</v>
      </c>
      <c r="C218" s="5">
        <f>prices!C219/prices!C218-1</f>
        <v>-1.6742683606501441E-2</v>
      </c>
      <c r="D218" s="5">
        <f>prices!D219/prices!D218-1</f>
        <v>3.1071633624912831E-3</v>
      </c>
      <c r="E218" s="5">
        <f>prices!E219/prices!E218-1</f>
        <v>-1.0746827897470723E-2</v>
      </c>
      <c r="F218" s="5">
        <f>prices!F219/prices!F218-1</f>
        <v>5.6365292644044995E-3</v>
      </c>
      <c r="G218" s="5">
        <f>prices!G219/prices!G218-1</f>
        <v>-1.5354479969670209E-2</v>
      </c>
      <c r="H218" s="5">
        <f>prices!H219/prices!H218-1</f>
        <v>-1.7873831775700899E-2</v>
      </c>
      <c r="I218" s="5">
        <f>prices!I219/prices!I218-1</f>
        <v>-1.2928056051037196E-2</v>
      </c>
      <c r="J218" s="5">
        <f>prices!J219/prices!J218-1</f>
        <v>-2.9858163370948265E-3</v>
      </c>
      <c r="K218" s="8">
        <f>SUMPRODUCT(B218:I218,weights!$B$5:$I$5)</f>
        <v>-1.0011759342457375E-2</v>
      </c>
      <c r="L218" s="4">
        <f t="shared" si="6"/>
        <v>108.84041320954432</v>
      </c>
      <c r="M218" s="4">
        <f>L218/MAX(L$2:L218)-1</f>
        <v>-1.9904979363175146E-2</v>
      </c>
      <c r="N218" s="4">
        <f t="shared" si="7"/>
        <v>9.9991939838153243E-3</v>
      </c>
    </row>
    <row r="219" spans="1:14">
      <c r="A219" s="3">
        <f>prices!A220</f>
        <v>43796</v>
      </c>
      <c r="B219" s="5">
        <f>prices!B220/prices!B219-1</f>
        <v>6.1603120457129901E-3</v>
      </c>
      <c r="C219" s="5">
        <f>prices!C220/prices!C219-1</f>
        <v>3.7363933971104046E-3</v>
      </c>
      <c r="D219" s="5">
        <f>prices!D220/prices!D219-1</f>
        <v>2.626174202888798E-3</v>
      </c>
      <c r="E219" s="5">
        <f>prices!E220/prices!E219-1</f>
        <v>7.454720749259458E-3</v>
      </c>
      <c r="F219" s="5">
        <f>prices!F220/prices!F219-1</f>
        <v>-8.83202174036124E-3</v>
      </c>
      <c r="G219" s="5">
        <f>prices!G220/prices!G219-1</f>
        <v>2.3776655836936333E-2</v>
      </c>
      <c r="H219" s="5">
        <f>prices!H220/prices!H219-1</f>
        <v>1.7747115498988997E-2</v>
      </c>
      <c r="I219" s="5">
        <f>prices!I220/prices!I219-1</f>
        <v>-2.0179244438294108E-2</v>
      </c>
      <c r="J219" s="5">
        <f>prices!J220/prices!J219-1</f>
        <v>5.2335579055799997E-3</v>
      </c>
      <c r="K219" s="8">
        <f>SUMPRODUCT(B219:I219,weights!$B$5:$I$5)</f>
        <v>4.5241158523427168E-3</v>
      </c>
      <c r="L219" s="4">
        <f t="shared" si="6"/>
        <v>109.33281984832117</v>
      </c>
      <c r="M219" s="4">
        <f>L219/MAX(L$2:L219)-1</f>
        <v>-1.54709159435098E-2</v>
      </c>
      <c r="N219" s="4">
        <f t="shared" si="7"/>
        <v>-5.9989162394252782E-3</v>
      </c>
    </row>
    <row r="220" spans="1:14">
      <c r="A220" s="3">
        <f>prices!A221</f>
        <v>43797</v>
      </c>
      <c r="B220" s="5">
        <f>prices!B221/prices!B220-1</f>
        <v>6.6518847006653559E-3</v>
      </c>
      <c r="C220" s="5">
        <f>prices!C221/prices!C220-1</f>
        <v>1.1219315431600707E-2</v>
      </c>
      <c r="D220" s="5">
        <f>prices!D221/prices!D220-1</f>
        <v>-1.024211692803656E-2</v>
      </c>
      <c r="E220" s="5">
        <f>prices!E221/prices!E220-1</f>
        <v>8.7666831860826466E-3</v>
      </c>
      <c r="F220" s="5">
        <f>prices!F221/prices!F220-1</f>
        <v>-1.028160164505687E-3</v>
      </c>
      <c r="G220" s="5">
        <f>prices!G221/prices!G220-1</f>
        <v>-4.5451828787421711E-3</v>
      </c>
      <c r="H220" s="5">
        <f>prices!H221/prices!H220-1</f>
        <v>-3.0387321474486528E-3</v>
      </c>
      <c r="I220" s="5">
        <f>prices!I221/prices!I220-1</f>
        <v>1.0783417795131589E-2</v>
      </c>
      <c r="J220" s="5">
        <f>prices!J221/prices!J220-1</f>
        <v>4.1691802953547352E-3</v>
      </c>
      <c r="K220" s="8">
        <f>SUMPRODUCT(B220:I220,weights!$B$5:$I$5)</f>
        <v>2.5096147780722376E-3</v>
      </c>
      <c r="L220" s="4">
        <f t="shared" si="6"/>
        <v>109.60720310874083</v>
      </c>
      <c r="M220" s="4">
        <f>L220/MAX(L$2:L220)-1</f>
        <v>-1.3000127204719547E-2</v>
      </c>
      <c r="N220" s="4">
        <f t="shared" si="7"/>
        <v>-1.0849404709021071E-2</v>
      </c>
    </row>
    <row r="221" spans="1:14">
      <c r="A221" s="3">
        <f>prices!A222</f>
        <v>43798</v>
      </c>
      <c r="B221" s="5">
        <f>prices!B222/prices!B221-1</f>
        <v>-1.8445360238738107E-2</v>
      </c>
      <c r="C221" s="5">
        <f>prices!C222/prices!C221-1</f>
        <v>-1.1601999008473474E-2</v>
      </c>
      <c r="D221" s="5">
        <f>prices!D222/prices!D221-1</f>
        <v>7.6338467802130605E-3</v>
      </c>
      <c r="E221" s="5">
        <f>prices!E222/prices!E221-1</f>
        <v>-7.8265288836184554E-3</v>
      </c>
      <c r="F221" s="5">
        <f>prices!F222/prices!F221-1</f>
        <v>-1.2007547601348145E-3</v>
      </c>
      <c r="G221" s="5">
        <f>prices!G222/prices!G221-1</f>
        <v>-2.1204217999275521E-3</v>
      </c>
      <c r="H221" s="5">
        <f>prices!H222/prices!H221-1</f>
        <v>-1.6412276382734237E-2</v>
      </c>
      <c r="I221" s="5">
        <f>prices!I222/prices!I221-1</f>
        <v>-1.4334089489430268E-2</v>
      </c>
      <c r="J221" s="5">
        <f>prices!J222/prices!J221-1</f>
        <v>-7.8264197215901499E-3</v>
      </c>
      <c r="K221" s="8">
        <f>SUMPRODUCT(B221:I221,weights!$B$5:$I$5)</f>
        <v>-9.2738824035069022E-3</v>
      </c>
      <c r="L221" s="4">
        <f t="shared" si="6"/>
        <v>108.59071879653307</v>
      </c>
      <c r="M221" s="4">
        <f>L221/MAX(L$2:L221)-1</f>
        <v>-2.2153447957299344E-2</v>
      </c>
      <c r="N221" s="4">
        <f t="shared" si="7"/>
        <v>-2.2153447957299344E-2</v>
      </c>
    </row>
    <row r="222" spans="1:14">
      <c r="A222" s="3">
        <f>prices!A223</f>
        <v>43801</v>
      </c>
      <c r="B222" s="5">
        <f>prices!B223/prices!B222-1</f>
        <v>2.278781561269394E-2</v>
      </c>
      <c r="C222" s="5">
        <f>prices!C223/prices!C222-1</f>
        <v>-1.5681662256199158E-2</v>
      </c>
      <c r="D222" s="5">
        <f>prices!D223/prices!D222-1</f>
        <v>-7.2224654028754109E-3</v>
      </c>
      <c r="E222" s="5">
        <f>prices!E223/prices!E222-1</f>
        <v>-5.2417702499657493E-3</v>
      </c>
      <c r="F222" s="5">
        <f>prices!F223/prices!F222-1</f>
        <v>-5.8964964506525996E-3</v>
      </c>
      <c r="G222" s="5">
        <f>prices!G223/prices!G222-1</f>
        <v>-1.469839383066629E-2</v>
      </c>
      <c r="H222" s="5">
        <f>prices!H223/prices!H222-1</f>
        <v>-2.1882672641891698E-2</v>
      </c>
      <c r="I222" s="5">
        <f>prices!I223/prices!I222-1</f>
        <v>2.109669457323049E-3</v>
      </c>
      <c r="J222" s="5">
        <f>prices!J223/prices!J222-1</f>
        <v>-6.5112536859079917E-4</v>
      </c>
      <c r="K222" s="8">
        <f>SUMPRODUCT(B222:I222,weights!$B$5:$I$5)</f>
        <v>-5.6923778239011498E-3</v>
      </c>
      <c r="L222" s="4">
        <f t="shared" si="6"/>
        <v>107.9725793969742</v>
      </c>
      <c r="M222" s="4">
        <f>L222/MAX(L$2:L222)-1</f>
        <v>-2.7719719985325408E-2</v>
      </c>
      <c r="N222" s="4">
        <f t="shared" si="7"/>
        <v>-2.6306053499517423E-2</v>
      </c>
    </row>
    <row r="223" spans="1:14">
      <c r="A223" s="3">
        <f>prices!A224</f>
        <v>43802</v>
      </c>
      <c r="B223" s="5">
        <f>prices!B224/prices!B223-1</f>
        <v>-4.7844180845341144E-3</v>
      </c>
      <c r="C223" s="5">
        <f>prices!C224/prices!C223-1</f>
        <v>1.4818632820050137E-2</v>
      </c>
      <c r="D223" s="5">
        <f>prices!D224/prices!D223-1</f>
        <v>-8.1737862266615391E-3</v>
      </c>
      <c r="E223" s="5">
        <f>prices!E224/prices!E223-1</f>
        <v>8.1529668217161788E-3</v>
      </c>
      <c r="F223" s="5">
        <f>prices!F224/prices!F223-1</f>
        <v>-3.685574431327443E-3</v>
      </c>
      <c r="G223" s="5">
        <f>prices!G224/prices!G223-1</f>
        <v>-7.7447912555261844E-5</v>
      </c>
      <c r="H223" s="5">
        <f>prices!H224/prices!H223-1</f>
        <v>-1.4549265225550112E-2</v>
      </c>
      <c r="I223" s="5">
        <f>prices!I224/prices!I223-1</f>
        <v>-1.5119365602403234E-2</v>
      </c>
      <c r="J223" s="5">
        <f>prices!J224/prices!J223-1</f>
        <v>-4.4819973108015665E-3</v>
      </c>
      <c r="K223" s="8">
        <f>SUMPRODUCT(B223:I223,weights!$B$5:$I$5)</f>
        <v>-4.7208982459278192E-3</v>
      </c>
      <c r="L223" s="4">
        <f t="shared" si="6"/>
        <v>107.46285183629072</v>
      </c>
      <c r="M223" s="4">
        <f>L223/MAX(L$2:L223)-1</f>
        <v>-3.230975625379684E-2</v>
      </c>
      <c r="N223" s="4">
        <f t="shared" si="7"/>
        <v>-2.8547885136059992E-2</v>
      </c>
    </row>
    <row r="224" spans="1:14">
      <c r="A224" s="3">
        <f>prices!A225</f>
        <v>43803</v>
      </c>
      <c r="B224" s="5">
        <f>prices!B225/prices!B224-1</f>
        <v>-1.6598395630653795E-2</v>
      </c>
      <c r="C224" s="5">
        <f>prices!C225/prices!C224-1</f>
        <v>1.3407518137376506E-2</v>
      </c>
      <c r="D224" s="5">
        <f>prices!D225/prices!D224-1</f>
        <v>-2.9921179065433012E-3</v>
      </c>
      <c r="E224" s="5">
        <f>prices!E225/prices!E224-1</f>
        <v>1.5033369654045226E-2</v>
      </c>
      <c r="F224" s="5">
        <f>prices!F225/prices!F224-1</f>
        <v>-3.6414080110975799E-3</v>
      </c>
      <c r="G224" s="5">
        <f>prices!G225/prices!G224-1</f>
        <v>-8.7820819313431109E-3</v>
      </c>
      <c r="H224" s="5">
        <f>prices!H225/prices!H224-1</f>
        <v>2.3296072806409995E-2</v>
      </c>
      <c r="I224" s="5">
        <f>prices!I225/prices!I224-1</f>
        <v>-2.1392362284555544E-2</v>
      </c>
      <c r="J224" s="5">
        <f>prices!J225/prices!J224-1</f>
        <v>4.0853078988176694E-3</v>
      </c>
      <c r="K224" s="8">
        <f>SUMPRODUCT(B224:I224,weights!$B$5:$I$5)</f>
        <v>-2.5959087666909218E-3</v>
      </c>
      <c r="L224" s="4">
        <f t="shared" si="6"/>
        <v>107.18388807711528</v>
      </c>
      <c r="M224" s="4">
        <f>L224/MAX(L$2:L224)-1</f>
        <v>-3.4821791840978999E-2</v>
      </c>
      <c r="N224" s="4">
        <f t="shared" si="7"/>
        <v>-2.458103803017786E-2</v>
      </c>
    </row>
    <row r="225" spans="1:14">
      <c r="A225" s="3">
        <f>prices!A226</f>
        <v>43804</v>
      </c>
      <c r="B225" s="5">
        <f>prices!B226/prices!B225-1</f>
        <v>-1.2004454665103248E-3</v>
      </c>
      <c r="C225" s="5">
        <f>prices!C226/prices!C225-1</f>
        <v>2.0594131583743458E-2</v>
      </c>
      <c r="D225" s="5">
        <f>prices!D226/prices!D225-1</f>
        <v>-4.8360543284402535E-3</v>
      </c>
      <c r="E225" s="5">
        <f>prices!E226/prices!E225-1</f>
        <v>8.4704540498834469E-3</v>
      </c>
      <c r="F225" s="5">
        <f>prices!F226/prices!F225-1</f>
        <v>1.5605058591483978E-2</v>
      </c>
      <c r="G225" s="5">
        <f>prices!G226/prices!G225-1</f>
        <v>-8.9395330525297023E-3</v>
      </c>
      <c r="H225" s="5">
        <f>prices!H226/prices!H225-1</f>
        <v>-1.5781333075547299E-2</v>
      </c>
      <c r="I225" s="5">
        <f>prices!I226/prices!I225-1</f>
        <v>1.3304209690230495E-2</v>
      </c>
      <c r="J225" s="5">
        <f>prices!J226/prices!J225-1</f>
        <v>-2.0592533545902292E-3</v>
      </c>
      <c r="K225" s="8">
        <f>SUMPRODUCT(B225:I225,weights!$B$5:$I$5)</f>
        <v>1.8211229635449844E-3</v>
      </c>
      <c r="L225" s="4">
        <f t="shared" si="6"/>
        <v>107.37908311701456</v>
      </c>
      <c r="M225" s="4">
        <f>L225/MAX(L$2:L225)-1</f>
        <v>-3.306408364218727E-2</v>
      </c>
      <c r="N225" s="4">
        <f t="shared" si="7"/>
        <v>-2.2751987420562503E-2</v>
      </c>
    </row>
    <row r="226" spans="1:14">
      <c r="A226" s="3">
        <f>prices!A227</f>
        <v>43805</v>
      </c>
      <c r="B226" s="5">
        <f>prices!B227/prices!B226-1</f>
        <v>2.6209852587679716E-3</v>
      </c>
      <c r="C226" s="5">
        <f>prices!C227/prices!C226-1</f>
        <v>1.0825892857142527E-3</v>
      </c>
      <c r="D226" s="5">
        <f>prices!D227/prices!D226-1</f>
        <v>3.6188178528351322E-4</v>
      </c>
      <c r="E226" s="5">
        <f>prices!E227/prices!E226-1</f>
        <v>3.4927815847263233E-4</v>
      </c>
      <c r="F226" s="5">
        <f>prices!F227/prices!F226-1</f>
        <v>-1.4565602330496308E-2</v>
      </c>
      <c r="G226" s="5">
        <f>prices!G227/prices!G226-1</f>
        <v>-1.7987269567959818E-2</v>
      </c>
      <c r="H226" s="5">
        <f>prices!H227/prices!H226-1</f>
        <v>-1.8538980969920238E-2</v>
      </c>
      <c r="I226" s="5">
        <f>prices!I227/prices!I226-1</f>
        <v>-8.7587011902631184E-3</v>
      </c>
      <c r="J226" s="5">
        <f>prices!J227/prices!J226-1</f>
        <v>-8.062637289489416E-3</v>
      </c>
      <c r="K226" s="8">
        <f>SUMPRODUCT(B226:I226,weights!$B$5:$I$5)</f>
        <v>-8.7507212053258426E-3</v>
      </c>
      <c r="L226" s="4">
        <f t="shared" si="6"/>
        <v>106.43943869737406</v>
      </c>
      <c r="M226" s="4">
        <f>L226/MAX(L$2:L226)-1</f>
        <v>-4.152547026965081E-2</v>
      </c>
      <c r="N226" s="4">
        <f t="shared" si="7"/>
        <v>-3.7237851524457022E-2</v>
      </c>
    </row>
    <row r="227" spans="1:14">
      <c r="A227" s="3">
        <f>prices!A228</f>
        <v>43808</v>
      </c>
      <c r="B227" s="5">
        <f>prices!B228/prices!B227-1</f>
        <v>1.1380869163332807E-2</v>
      </c>
      <c r="C227" s="5">
        <f>prices!C228/prices!C227-1</f>
        <v>-2.9739010223307383E-2</v>
      </c>
      <c r="D227" s="5">
        <f>prices!D228/prices!D227-1</f>
        <v>-2.480577423300101E-3</v>
      </c>
      <c r="E227" s="5">
        <f>prices!E228/prices!E227-1</f>
        <v>3.0093939645854384E-3</v>
      </c>
      <c r="F227" s="5">
        <f>prices!F228/prices!F227-1</f>
        <v>-7.8251796893115122E-3</v>
      </c>
      <c r="G227" s="5">
        <f>prices!G228/prices!G227-1</f>
        <v>1.5688811550522708E-2</v>
      </c>
      <c r="H227" s="5">
        <f>prices!H228/prices!H227-1</f>
        <v>-3.7528146109582217E-3</v>
      </c>
      <c r="I227" s="5">
        <f>prices!I228/prices!I227-1</f>
        <v>-1.1457697630242292E-2</v>
      </c>
      <c r="J227" s="5">
        <f>prices!J228/prices!J227-1</f>
        <v>1.342112989137334E-3</v>
      </c>
      <c r="K227" s="8">
        <f>SUMPRODUCT(B227:I227,weights!$B$5:$I$5)</f>
        <v>-1.5191569977987198E-3</v>
      </c>
      <c r="L227" s="4">
        <f t="shared" si="6"/>
        <v>106.27774047923518</v>
      </c>
      <c r="M227" s="4">
        <f>L227/MAX(L$2:L227)-1</f>
        <v>-4.2981543558702429E-2</v>
      </c>
      <c r="N227" s="4">
        <f t="shared" si="7"/>
        <v>-2.18455962089531E-2</v>
      </c>
    </row>
    <row r="228" spans="1:14">
      <c r="A228" s="3">
        <f>prices!A229</f>
        <v>43809</v>
      </c>
      <c r="B228" s="5">
        <f>prices!B229/prices!B228-1</f>
        <v>-6.7688177417282169E-3</v>
      </c>
      <c r="C228" s="5">
        <f>prices!C229/prices!C228-1</f>
        <v>-2.310136218178882E-2</v>
      </c>
      <c r="D228" s="5">
        <f>prices!D229/prices!D228-1</f>
        <v>5.2670661578047007E-3</v>
      </c>
      <c r="E228" s="5">
        <f>prices!E229/prices!E228-1</f>
        <v>-3.7794649073367159E-3</v>
      </c>
      <c r="F228" s="5">
        <f>prices!F229/prices!F228-1</f>
        <v>-2.4244902728281725E-2</v>
      </c>
      <c r="G228" s="5">
        <f>prices!G229/prices!G228-1</f>
        <v>-4.4465051229819474E-3</v>
      </c>
      <c r="H228" s="5">
        <f>prices!H229/prices!H228-1</f>
        <v>1.5318935208439299E-3</v>
      </c>
      <c r="I228" s="5">
        <f>prices!I229/prices!I228-1</f>
        <v>2.347662771285508E-3</v>
      </c>
      <c r="J228" s="5">
        <f>prices!J229/prices!J228-1</f>
        <v>-6.7602094240838406E-3</v>
      </c>
      <c r="K228" s="8">
        <f>SUMPRODUCT(B228:I228,weights!$B$5:$I$5)</f>
        <v>-5.0162776134594122E-3</v>
      </c>
      <c r="L228" s="4">
        <f t="shared" si="6"/>
        <v>105.74462182886013</v>
      </c>
      <c r="M228" s="4">
        <f>L228/MAX(L$2:L228)-1</f>
        <v>-4.778221381741643E-2</v>
      </c>
      <c r="N228" s="4">
        <f t="shared" si="7"/>
        <v>-2.1102294448559045E-2</v>
      </c>
    </row>
    <row r="229" spans="1:14">
      <c r="A229" s="3">
        <f>prices!A230</f>
        <v>43810</v>
      </c>
      <c r="B229" s="5">
        <f>prices!B230/prices!B229-1</f>
        <v>2.8755050105688795E-4</v>
      </c>
      <c r="C229" s="5">
        <f>prices!C230/prices!C229-1</f>
        <v>1.4432068125948216E-2</v>
      </c>
      <c r="D229" s="5">
        <f>prices!D230/prices!D229-1</f>
        <v>-6.0125060125060248E-4</v>
      </c>
      <c r="E229" s="5">
        <f>prices!E230/prices!E229-1</f>
        <v>9.1018003926919278E-3</v>
      </c>
      <c r="F229" s="5">
        <f>prices!F230/prices!F229-1</f>
        <v>8.5019758112800936E-3</v>
      </c>
      <c r="G229" s="5">
        <f>prices!G230/prices!G229-1</f>
        <v>4.243428335840127E-3</v>
      </c>
      <c r="H229" s="5">
        <f>prices!H230/prices!H229-1</f>
        <v>5.0399939820966466E-3</v>
      </c>
      <c r="I229" s="5">
        <f>prices!I230/prices!I229-1</f>
        <v>-1.1493953746595231E-2</v>
      </c>
      <c r="J229" s="5">
        <f>prices!J230/prices!J229-1</f>
        <v>4.4995276971864229E-3</v>
      </c>
      <c r="K229" s="8">
        <f>SUMPRODUCT(B229:I229,weights!$B$5:$I$5)</f>
        <v>2.0619829752547467E-3</v>
      </c>
      <c r="L229" s="4">
        <f t="shared" si="6"/>
        <v>105.96266543879601</v>
      </c>
      <c r="M229" s="4">
        <f>L229/MAX(L$2:L229)-1</f>
        <v>-4.581875695357307E-2</v>
      </c>
      <c r="N229" s="4">
        <f t="shared" si="7"/>
        <v>-1.6297736902625704E-2</v>
      </c>
    </row>
    <row r="230" spans="1:14">
      <c r="A230" s="3">
        <f>prices!A231</f>
        <v>43811</v>
      </c>
      <c r="B230" s="5">
        <f>prices!B231/prices!B230-1</f>
        <v>3.7083351300071232E-3</v>
      </c>
      <c r="C230" s="5">
        <f>prices!C231/prices!C230-1</f>
        <v>-1.0284534934953515E-2</v>
      </c>
      <c r="D230" s="5">
        <f>prices!D231/prices!D230-1</f>
        <v>1.1894735032744963E-2</v>
      </c>
      <c r="E230" s="5">
        <f>prices!E231/prices!E230-1</f>
        <v>-2.6284112457745978E-2</v>
      </c>
      <c r="F230" s="5">
        <f>prices!F231/prices!F230-1</f>
        <v>4.0370458323439884E-3</v>
      </c>
      <c r="G230" s="5">
        <f>prices!G231/prices!G230-1</f>
        <v>9.442368103345089E-4</v>
      </c>
      <c r="H230" s="5">
        <f>prices!H231/prices!H230-1</f>
        <v>1.0104286213262759E-2</v>
      </c>
      <c r="I230" s="5">
        <f>prices!I231/prices!I230-1</f>
        <v>1.2180460365238455E-2</v>
      </c>
      <c r="J230" s="5">
        <f>prices!J231/prices!J230-1</f>
        <v>5.1762572259794748E-3</v>
      </c>
      <c r="K230" s="8">
        <f>SUMPRODUCT(B230:I230,weights!$B$5:$I$5)</f>
        <v>2.6702662039708273E-3</v>
      </c>
      <c r="L230" s="4">
        <f t="shared" si="6"/>
        <v>106.24561396319989</v>
      </c>
      <c r="M230" s="4">
        <f>L230/MAX(L$2:L230)-1</f>
        <v>-4.3270839027803376E-2</v>
      </c>
      <c r="N230" s="4">
        <f t="shared" si="7"/>
        <v>-1.6309717363643728E-2</v>
      </c>
    </row>
    <row r="231" spans="1:14">
      <c r="A231" s="3">
        <f>prices!A232</f>
        <v>43812</v>
      </c>
      <c r="B231" s="5">
        <f>prices!B232/prices!B231-1</f>
        <v>9.3797883461501641E-3</v>
      </c>
      <c r="C231" s="5">
        <f>prices!C232/prices!C231-1</f>
        <v>2.4918286296699899E-2</v>
      </c>
      <c r="D231" s="5">
        <f>prices!D232/prices!D231-1</f>
        <v>2.0384242980164835E-4</v>
      </c>
      <c r="E231" s="5">
        <f>prices!E232/prices!E231-1</f>
        <v>1.3107314016697513E-2</v>
      </c>
      <c r="F231" s="5">
        <f>prices!F232/prices!F231-1</f>
        <v>1.2771996215704906E-2</v>
      </c>
      <c r="G231" s="5">
        <f>prices!G232/prices!G231-1</f>
        <v>3.0736979621598159E-2</v>
      </c>
      <c r="H231" s="5">
        <f>prices!H232/prices!H231-1</f>
        <v>1.1756860226739496E-2</v>
      </c>
      <c r="I231" s="5">
        <f>prices!I232/prices!I231-1</f>
        <v>2.0001560589902878E-2</v>
      </c>
      <c r="J231" s="5">
        <f>prices!J232/prices!J231-1</f>
        <v>9.5975542524935342E-3</v>
      </c>
      <c r="K231" s="8">
        <f>SUMPRODUCT(B231:I231,weights!$B$5:$I$5)</f>
        <v>1.7263521744123184E-2</v>
      </c>
      <c r="L231" s="4">
        <f t="shared" si="6"/>
        <v>108.07978743007132</v>
      </c>
      <c r="M231" s="4">
        <f>L231/MAX(L$2:L231)-1</f>
        <v>-2.675432435412306E-2</v>
      </c>
      <c r="N231" s="4">
        <f t="shared" si="7"/>
        <v>3.1742582049141266E-3</v>
      </c>
    </row>
    <row r="232" spans="1:14">
      <c r="A232" s="3">
        <f>prices!A233</f>
        <v>43815</v>
      </c>
      <c r="B232" s="5">
        <f>prices!B233/prices!B232-1</f>
        <v>-1.0299917714155948E-2</v>
      </c>
      <c r="C232" s="5">
        <f>prices!C233/prices!C232-1</f>
        <v>2.679285828589717E-2</v>
      </c>
      <c r="D232" s="5">
        <f>prices!D233/prices!D232-1</f>
        <v>-5.1459723849798245E-3</v>
      </c>
      <c r="E232" s="5">
        <f>prices!E233/prices!E232-1</f>
        <v>3.7944003343084454E-3</v>
      </c>
      <c r="F232" s="5">
        <f>prices!F233/prices!F232-1</f>
        <v>-1.9441849602989336E-2</v>
      </c>
      <c r="G232" s="5">
        <f>prices!G233/prices!G232-1</f>
        <v>-1.0381280682181582E-2</v>
      </c>
      <c r="H232" s="5">
        <f>prices!H233/prices!H232-1</f>
        <v>-9.3254888557966487E-3</v>
      </c>
      <c r="I232" s="5">
        <f>prices!I233/prices!I232-1</f>
        <v>-1.7594859241125693E-3</v>
      </c>
      <c r="J232" s="5">
        <f>prices!J233/prices!J232-1</f>
        <v>-2.7095898797852014E-3</v>
      </c>
      <c r="K232" s="8">
        <f>SUMPRODUCT(B232:I232,weights!$B$5:$I$5)</f>
        <v>-4.4167378630154547E-3</v>
      </c>
      <c r="L232" s="4">
        <f t="shared" si="6"/>
        <v>107.60242734070226</v>
      </c>
      <c r="M232" s="4">
        <f>L232/MAX(L$2:L232)-1</f>
        <v>-3.1052895379764189E-2</v>
      </c>
      <c r="N232" s="4">
        <f t="shared" si="7"/>
        <v>1.1226975194698063E-3</v>
      </c>
    </row>
    <row r="233" spans="1:14">
      <c r="A233" s="3">
        <f>prices!A234</f>
        <v>43816</v>
      </c>
      <c r="B233" s="5">
        <f>prices!B234/prices!B233-1</f>
        <v>-2.4942660550458795E-3</v>
      </c>
      <c r="C233" s="5">
        <f>prices!C234/prices!C233-1</f>
        <v>1.7961705443615639E-2</v>
      </c>
      <c r="D233" s="5">
        <f>prices!D234/prices!D233-1</f>
        <v>1.0925603468879164E-2</v>
      </c>
      <c r="E233" s="5">
        <f>prices!E234/prices!E233-1</f>
        <v>2.1997602078198897E-2</v>
      </c>
      <c r="F233" s="5">
        <f>prices!F234/prices!F233-1</f>
        <v>1.7505209883893924E-2</v>
      </c>
      <c r="G233" s="5">
        <f>prices!G234/prices!G233-1</f>
        <v>7.7172237652367581E-3</v>
      </c>
      <c r="H233" s="5">
        <f>prices!H234/prices!H233-1</f>
        <v>-1.4021340035977437E-2</v>
      </c>
      <c r="I233" s="5">
        <f>prices!I234/prices!I233-1</f>
        <v>1.1478103898979075E-2</v>
      </c>
      <c r="J233" s="5">
        <f>prices!J234/prices!J233-1</f>
        <v>9.2127476885168758E-3</v>
      </c>
      <c r="K233" s="8">
        <f>SUMPRODUCT(B233:I233,weights!$B$5:$I$5)</f>
        <v>7.0461644046192137E-3</v>
      </c>
      <c r="L233" s="4">
        <f t="shared" si="6"/>
        <v>108.36061173408093</v>
      </c>
      <c r="M233" s="4">
        <f>L233/MAX(L$2:L233)-1</f>
        <v>-2.4225534781230351E-2</v>
      </c>
      <c r="N233" s="4">
        <f t="shared" si="7"/>
        <v>5.3091259874591401E-3</v>
      </c>
    </row>
    <row r="234" spans="1:14">
      <c r="A234" s="3">
        <f>prices!A235</f>
        <v>43817</v>
      </c>
      <c r="B234" s="5">
        <f>prices!B235/prices!B234-1</f>
        <v>8.4212341562959203E-3</v>
      </c>
      <c r="C234" s="5">
        <f>prices!C235/prices!C234-1</f>
        <v>1.2958821567417012E-3</v>
      </c>
      <c r="D234" s="5">
        <f>prices!D235/prices!D234-1</f>
        <v>1.6717889830794919E-2</v>
      </c>
      <c r="E234" s="5">
        <f>prices!E235/prices!E234-1</f>
        <v>3.7638701057467472E-3</v>
      </c>
      <c r="F234" s="5">
        <f>prices!F235/prices!F234-1</f>
        <v>1.696998068933242E-2</v>
      </c>
      <c r="G234" s="5">
        <f>prices!G235/prices!G234-1</f>
        <v>6.3236422051022867E-3</v>
      </c>
      <c r="H234" s="5">
        <f>prices!H235/prices!H234-1</f>
        <v>2.4942517244826545E-2</v>
      </c>
      <c r="I234" s="5">
        <f>prices!I235/prices!I234-1</f>
        <v>1.0607042739647632E-3</v>
      </c>
      <c r="J234" s="5">
        <f>prices!J235/prices!J234-1</f>
        <v>4.6568023016850812E-3</v>
      </c>
      <c r="K234" s="8">
        <f>SUMPRODUCT(B234:I234,weights!$B$5:$I$5)</f>
        <v>9.3668418446909343E-3</v>
      </c>
      <c r="L234" s="4">
        <f t="shared" si="6"/>
        <v>109.37560844638801</v>
      </c>
      <c r="M234" s="4">
        <f>L234/MAX(L$2:L234)-1</f>
        <v>-1.5085609689438395E-2</v>
      </c>
      <c r="N234" s="4">
        <f t="shared" si="7"/>
        <v>-2.6480209276962263E-3</v>
      </c>
    </row>
    <row r="235" spans="1:14">
      <c r="A235" s="3">
        <f>prices!A236</f>
        <v>43818</v>
      </c>
      <c r="B235" s="5">
        <f>prices!B236/prices!B235-1</f>
        <v>2.1632559995439671E-2</v>
      </c>
      <c r="C235" s="5">
        <f>prices!C236/prices!C235-1</f>
        <v>2.827592232585574E-2</v>
      </c>
      <c r="D235" s="5">
        <f>prices!D236/prices!D235-1</f>
        <v>-2.7404996013820071E-3</v>
      </c>
      <c r="E235" s="5">
        <f>prices!E236/prices!E235-1</f>
        <v>-2.191416141808844E-3</v>
      </c>
      <c r="F235" s="5">
        <f>prices!F236/prices!F235-1</f>
        <v>-3.222279762932323E-3</v>
      </c>
      <c r="G235" s="5">
        <f>prices!G236/prices!G235-1</f>
        <v>0</v>
      </c>
      <c r="H235" s="5">
        <f>prices!H236/prices!H235-1</f>
        <v>-1.3996586198488203E-2</v>
      </c>
      <c r="I235" s="5">
        <f>prices!I236/prices!I235-1</f>
        <v>-5.7604171046546915E-3</v>
      </c>
      <c r="J235" s="5">
        <f>prices!J236/prices!J235-1</f>
        <v>3.1133275785184544E-3</v>
      </c>
      <c r="K235" s="8">
        <f>SUMPRODUCT(B235:I235,weights!$B$5:$I$5)</f>
        <v>1.3309316707245124E-3</v>
      </c>
      <c r="L235" s="4">
        <f t="shared" si="6"/>
        <v>109.52117990767408</v>
      </c>
      <c r="M235" s="4">
        <f>L235/MAX(L$2:L235)-1</f>
        <v>-1.3774755934421679E-2</v>
      </c>
      <c r="N235" s="4">
        <f t="shared" si="7"/>
        <v>3.0669050355580652E-3</v>
      </c>
    </row>
    <row r="236" spans="1:14">
      <c r="A236" s="3">
        <f>prices!A237</f>
        <v>43819</v>
      </c>
      <c r="B236" s="5">
        <f>prices!B237/prices!B236-1</f>
        <v>-6.7373413307294516E-3</v>
      </c>
      <c r="C236" s="5">
        <f>prices!C237/prices!C236-1</f>
        <v>-2.7562107678091863E-3</v>
      </c>
      <c r="D236" s="5">
        <f>prices!D237/prices!D236-1</f>
        <v>6.1289409256699567E-3</v>
      </c>
      <c r="E236" s="5">
        <f>prices!E237/prices!E236-1</f>
        <v>9.598334119635954E-4</v>
      </c>
      <c r="F236" s="5">
        <f>prices!F237/prices!F236-1</f>
        <v>-1.3103965825780661E-2</v>
      </c>
      <c r="G236" s="5">
        <f>prices!G237/prices!G236-1</f>
        <v>2.8798171954897978E-3</v>
      </c>
      <c r="H236" s="5">
        <f>prices!H237/prices!H236-1</f>
        <v>-7.6169749727965641E-3</v>
      </c>
      <c r="I236" s="5">
        <f>prices!I237/prices!I236-1</f>
        <v>-1.5224562293836286E-4</v>
      </c>
      <c r="J236" s="5">
        <f>prices!J237/prices!J236-1</f>
        <v>9.8697358010380043E-4</v>
      </c>
      <c r="K236" s="8">
        <f>SUMPRODUCT(B236:I236,weights!$B$5:$I$5)</f>
        <v>-2.2772495291540607E-3</v>
      </c>
      <c r="L236" s="4">
        <f t="shared" si="6"/>
        <v>109.27177285229693</v>
      </c>
      <c r="M236" s="4">
        <f>L236/MAX(L$2:L236)-1</f>
        <v>-1.6020636907109864E-2</v>
      </c>
      <c r="N236" s="4">
        <f t="shared" si="7"/>
        <v>3.9471322551587473E-3</v>
      </c>
    </row>
    <row r="237" spans="1:14">
      <c r="A237" s="3">
        <f>prices!A238</f>
        <v>43822</v>
      </c>
      <c r="B237" s="5">
        <f>prices!B238/prices!B237-1</f>
        <v>-1.7315713342789363E-2</v>
      </c>
      <c r="C237" s="5">
        <f>prices!C238/prices!C237-1</f>
        <v>3.9566946954729953E-3</v>
      </c>
      <c r="D237" s="5">
        <f>prices!D238/prices!D237-1</f>
        <v>4.403171607819667E-3</v>
      </c>
      <c r="E237" s="5">
        <f>prices!E238/prices!E237-1</f>
        <v>6.0947861136393389E-3</v>
      </c>
      <c r="F237" s="5">
        <f>prices!F238/prices!F237-1</f>
        <v>-9.3589143659335017E-3</v>
      </c>
      <c r="G237" s="5">
        <f>prices!G238/prices!G237-1</f>
        <v>1.368854031368838E-2</v>
      </c>
      <c r="H237" s="5">
        <f>prices!H238/prices!H237-1</f>
        <v>-4.4108851674640182E-3</v>
      </c>
      <c r="I237" s="5">
        <f>prices!I238/prices!I237-1</f>
        <v>-2.284032077961573E-4</v>
      </c>
      <c r="J237" s="5">
        <f>prices!J238/prices!J237-1</f>
        <v>-7.3746312684364046E-4</v>
      </c>
      <c r="K237" s="8">
        <f>SUMPRODUCT(B237:I237,weights!$B$5:$I$5)</f>
        <v>1.5519170544999795E-4</v>
      </c>
      <c r="L237" s="4">
        <f t="shared" si="6"/>
        <v>109.28873092508344</v>
      </c>
      <c r="M237" s="4">
        <f>L237/MAX(L$2:L237)-1</f>
        <v>-1.5867931471623797E-2</v>
      </c>
      <c r="N237" s="4">
        <f t="shared" si="7"/>
        <v>-5.9339609091887402E-3</v>
      </c>
    </row>
    <row r="238" spans="1:14">
      <c r="A238" s="3">
        <f>prices!A239</f>
        <v>43823</v>
      </c>
      <c r="B238" s="5">
        <f>prices!B239/prices!B238-1</f>
        <v>-1.5877325863892344E-2</v>
      </c>
      <c r="C238" s="5">
        <f>prices!C239/prices!C238-1</f>
        <v>-7.2138590963579663E-3</v>
      </c>
      <c r="D238" s="5">
        <f>prices!D239/prices!D238-1</f>
        <v>-1.0185078365772759E-2</v>
      </c>
      <c r="E238" s="5">
        <f>prices!E239/prices!E238-1</f>
        <v>-3.5377929987236989E-3</v>
      </c>
      <c r="F238" s="5">
        <f>prices!F239/prices!F238-1</f>
        <v>-5.9045819555991752E-4</v>
      </c>
      <c r="G238" s="5">
        <f>prices!G239/prices!G238-1</f>
        <v>-4.4968978194451781E-3</v>
      </c>
      <c r="H238" s="5">
        <f>prices!H239/prices!H238-1</f>
        <v>3.2790167955745186E-3</v>
      </c>
      <c r="I238" s="5">
        <f>prices!I239/prices!I238-1</f>
        <v>-7.8182510470872213E-3</v>
      </c>
      <c r="J238" s="5">
        <f>prices!J239/prices!J238-1</f>
        <v>-3.930602841940134E-3</v>
      </c>
      <c r="K238" s="8">
        <f>SUMPRODUCT(B238:I238,weights!$B$5:$I$5)</f>
        <v>-5.6804119906419381E-3</v>
      </c>
      <c r="L238" s="4">
        <f t="shared" si="6"/>
        <v>108.66792590749455</v>
      </c>
      <c r="M238" s="4">
        <f>L238/MAX(L$2:L238)-1</f>
        <v>-2.1458207074067648E-2</v>
      </c>
      <c r="N238" s="4">
        <f t="shared" si="7"/>
        <v>-1.5847725763195042E-3</v>
      </c>
    </row>
    <row r="239" spans="1:14">
      <c r="A239" s="3">
        <f>prices!A240</f>
        <v>43825</v>
      </c>
      <c r="B239" s="5">
        <f>prices!B240/prices!B239-1</f>
        <v>-2.0083353905580692E-2</v>
      </c>
      <c r="C239" s="5">
        <f>prices!C240/prices!C239-1</f>
        <v>-6.1603068933460126E-3</v>
      </c>
      <c r="D239" s="5">
        <f>prices!D240/prices!D239-1</f>
        <v>-1.4502405967465437E-2</v>
      </c>
      <c r="E239" s="5">
        <f>prices!E240/prices!E239-1</f>
        <v>-6.0631606251215775E-3</v>
      </c>
      <c r="F239" s="5">
        <f>prices!F240/prices!F239-1</f>
        <v>-8.1531371853952317E-3</v>
      </c>
      <c r="G239" s="5">
        <f>prices!G240/prices!G239-1</f>
        <v>-1.1859674784006846E-2</v>
      </c>
      <c r="H239" s="5">
        <f>prices!H240/prices!H239-1</f>
        <v>-1.7813482361159538E-2</v>
      </c>
      <c r="I239" s="5">
        <f>prices!I240/prices!I239-1</f>
        <v>-1.6680737841225923E-2</v>
      </c>
      <c r="J239" s="5">
        <f>prices!J240/prices!J239-1</f>
        <v>-7.2045224752447234E-3</v>
      </c>
      <c r="K239" s="8">
        <f>SUMPRODUCT(B239:I239,weights!$B$5:$I$5)</f>
        <v>-1.3649097097370283E-2</v>
      </c>
      <c r="L239" s="4">
        <f t="shared" si="6"/>
        <v>107.18470683541332</v>
      </c>
      <c r="M239" s="4">
        <f>L239/MAX(L$2:L239)-1</f>
        <v>-3.4814419019548515E-2</v>
      </c>
      <c r="N239" s="4">
        <f t="shared" si="7"/>
        <v>-1.964746739257206E-2</v>
      </c>
    </row>
    <row r="240" spans="1:14">
      <c r="A240" s="3">
        <f>prices!A241</f>
        <v>43826</v>
      </c>
      <c r="B240" s="5">
        <f>prices!B241/prices!B240-1</f>
        <v>1.7783046828689919E-2</v>
      </c>
      <c r="C240" s="5">
        <f>prices!C241/prices!C240-1</f>
        <v>-1.5697827571191647E-3</v>
      </c>
      <c r="D240" s="5">
        <f>prices!D241/prices!D240-1</f>
        <v>3.5818071230655502E-3</v>
      </c>
      <c r="E240" s="5">
        <f>prices!E241/prices!E240-1</f>
        <v>1.0960691567444281E-2</v>
      </c>
      <c r="F240" s="5">
        <f>prices!F241/prices!F240-1</f>
        <v>4.169644984512999E-4</v>
      </c>
      <c r="G240" s="5">
        <f>prices!G241/prices!G240-1</f>
        <v>1.4363355747471607E-2</v>
      </c>
      <c r="H240" s="5">
        <f>prices!H241/prices!H240-1</f>
        <v>9.1190814875024007E-3</v>
      </c>
      <c r="I240" s="5">
        <f>prices!I241/prices!I240-1</f>
        <v>1.5870950956159646E-2</v>
      </c>
      <c r="J240" s="5">
        <f>prices!J241/prices!J240-1</f>
        <v>9.8337944427722146E-3</v>
      </c>
      <c r="K240" s="8">
        <f>SUMPRODUCT(B240:I240,weights!$B$5:$I$5)</f>
        <v>1.0649801637045743E-2</v>
      </c>
      <c r="L240" s="4">
        <f t="shared" si="6"/>
        <v>108.32620270173538</v>
      </c>
      <c r="M240" s="4">
        <f>L240/MAX(L$2:L240)-1</f>
        <v>-2.4535384039169883E-2</v>
      </c>
      <c r="N240" s="4">
        <f t="shared" si="7"/>
        <v>-1.1687191814707454E-2</v>
      </c>
    </row>
    <row r="241" spans="1:14">
      <c r="A241" s="3">
        <f>prices!A242</f>
        <v>43829</v>
      </c>
      <c r="B241" s="5">
        <f>prices!B242/prices!B241-1</f>
        <v>1.1939429237042276E-3</v>
      </c>
      <c r="C241" s="5">
        <f>prices!C242/prices!C241-1</f>
        <v>-6.9566715664896028E-3</v>
      </c>
      <c r="D241" s="5">
        <f>prices!D242/prices!D241-1</f>
        <v>5.6060606060606144E-3</v>
      </c>
      <c r="E241" s="5">
        <f>prices!E242/prices!E241-1</f>
        <v>-5.4854635216676773E-3</v>
      </c>
      <c r="F241" s="5">
        <f>prices!F242/prices!F241-1</f>
        <v>5.477820779994147E-3</v>
      </c>
      <c r="G241" s="5">
        <f>prices!G242/prices!G241-1</f>
        <v>9.7140788997467364E-3</v>
      </c>
      <c r="H241" s="5">
        <f>prices!H242/prices!H241-1</f>
        <v>9.7414856394895111E-3</v>
      </c>
      <c r="I241" s="5">
        <f>prices!I242/prices!I241-1</f>
        <v>2.0745293891664129E-3</v>
      </c>
      <c r="J241" s="5">
        <f>prices!J242/prices!J241-1</f>
        <v>8.206895425371119E-4</v>
      </c>
      <c r="K241" s="8">
        <f>SUMPRODUCT(B241:I241,weights!$B$5:$I$5)</f>
        <v>3.7173587046164551E-3</v>
      </c>
      <c r="L241" s="4">
        <f t="shared" si="6"/>
        <v>108.72889005428672</v>
      </c>
      <c r="M241" s="4">
        <f>L241/MAX(L$2:L241)-1</f>
        <v>-2.0909232157982571E-2</v>
      </c>
      <c r="N241" s="4">
        <f t="shared" si="7"/>
        <v>1.2724039336413639E-3</v>
      </c>
    </row>
    <row r="242" spans="1:14">
      <c r="A242" s="3">
        <f>prices!A243</f>
        <v>43830</v>
      </c>
      <c r="B242" s="5">
        <f>prices!B243/prices!B242-1</f>
        <v>-1.9516593467322041E-2</v>
      </c>
      <c r="C242" s="5">
        <f>prices!C243/prices!C242-1</f>
        <v>-9.8466076376274581E-3</v>
      </c>
      <c r="D242" s="5">
        <f>prices!D243/prices!D242-1</f>
        <v>-7.8348651499172695E-3</v>
      </c>
      <c r="E242" s="5">
        <f>prices!E243/prices!E242-1</f>
        <v>-2.3847376788551644E-3</v>
      </c>
      <c r="F242" s="5">
        <f>prices!F243/prices!F242-1</f>
        <v>-2.1318173743116731E-3</v>
      </c>
      <c r="G242" s="5">
        <f>prices!G243/prices!G242-1</f>
        <v>-6.4247412037966578E-3</v>
      </c>
      <c r="H242" s="5">
        <f>prices!H243/prices!H242-1</f>
        <v>5.5840853567332704E-3</v>
      </c>
      <c r="I242" s="5">
        <f>prices!I243/prices!I242-1</f>
        <v>-3.1522091022168075E-3</v>
      </c>
      <c r="J242" s="5">
        <f>prices!J243/prices!J242-1</f>
        <v>-7.1312883235352675E-3</v>
      </c>
      <c r="K242" s="8">
        <f>SUMPRODUCT(B242:I242,weights!$B$5:$I$5)</f>
        <v>-5.3390501395186116E-3</v>
      </c>
      <c r="L242" s="4">
        <f t="shared" si="6"/>
        <v>108.14838105867268</v>
      </c>
      <c r="M242" s="4">
        <f>L242/MAX(L$2:L242)-1</f>
        <v>-2.6136646858630819E-2</v>
      </c>
      <c r="N242" s="4">
        <f t="shared" si="7"/>
        <v>1.6282065565196291E-3</v>
      </c>
    </row>
    <row r="243" spans="1:14">
      <c r="A243" s="3">
        <f>prices!A244</f>
        <v>43831</v>
      </c>
      <c r="B243" s="5">
        <f>prices!B244/prices!B243-1</f>
        <v>-2.9368140017799194E-3</v>
      </c>
      <c r="C243" s="5">
        <f>prices!C244/prices!C243-1</f>
        <v>2.7270785760049598E-3</v>
      </c>
      <c r="D243" s="5">
        <f>prices!D244/prices!D243-1</f>
        <v>5.1126297139965082E-3</v>
      </c>
      <c r="E243" s="5">
        <f>prices!E244/prices!E243-1</f>
        <v>7.7892511586308277E-3</v>
      </c>
      <c r="F243" s="5">
        <f>prices!F244/prices!F243-1</f>
        <v>1.7209661147707944E-3</v>
      </c>
      <c r="G243" s="5">
        <f>prices!G244/prices!G243-1</f>
        <v>-7.7217347134617143E-3</v>
      </c>
      <c r="H243" s="5">
        <f>prices!H244/prices!H243-1</f>
        <v>4.0408547771331182E-3</v>
      </c>
      <c r="I243" s="5">
        <f>prices!I244/prices!I243-1</f>
        <v>9.0506632025162403E-3</v>
      </c>
      <c r="J243" s="5">
        <f>prices!J244/prices!J243-1</f>
        <v>1.1546252809520041E-3</v>
      </c>
      <c r="K243" s="8">
        <f>SUMPRODUCT(B243:I243,weights!$B$5:$I$5)</f>
        <v>1.9412760941752462E-3</v>
      </c>
      <c r="L243" s="4">
        <f t="shared" si="6"/>
        <v>108.35832692544564</v>
      </c>
      <c r="M243" s="4">
        <f>L243/MAX(L$2:L243)-1</f>
        <v>-2.4246109212184175E-2</v>
      </c>
      <c r="N243" s="4">
        <f t="shared" si="7"/>
        <v>8.3328803754350034E-3</v>
      </c>
    </row>
    <row r="244" spans="1:14">
      <c r="A244" s="3">
        <f>prices!A245</f>
        <v>43832</v>
      </c>
      <c r="B244" s="5">
        <f>prices!B245/prices!B244-1</f>
        <v>1.7018238076820014E-2</v>
      </c>
      <c r="C244" s="5">
        <f>prices!C245/prices!C244-1</f>
        <v>-4.5928425927441729E-3</v>
      </c>
      <c r="D244" s="5">
        <f>prices!D245/prices!D244-1</f>
        <v>6.3624764974483661E-3</v>
      </c>
      <c r="E244" s="5">
        <f>prices!E245/prices!E244-1</f>
        <v>-2.9205795978959337E-3</v>
      </c>
      <c r="F244" s="5">
        <f>prices!F245/prices!F244-1</f>
        <v>7.3459715639809797E-3</v>
      </c>
      <c r="G244" s="5">
        <f>prices!G245/prices!G244-1</f>
        <v>2.4824469044308906E-3</v>
      </c>
      <c r="H244" s="5">
        <f>prices!H245/prices!H244-1</f>
        <v>1.506135650971574E-3</v>
      </c>
      <c r="I244" s="5">
        <f>prices!I245/prices!I244-1</f>
        <v>2.6993147958362496E-2</v>
      </c>
      <c r="J244" s="5">
        <f>prices!J245/prices!J244-1</f>
        <v>8.1838703057666162E-3</v>
      </c>
      <c r="K244" s="8">
        <f>SUMPRODUCT(B244:I244,weights!$B$5:$I$5)</f>
        <v>8.6298971207734287E-3</v>
      </c>
      <c r="L244" s="4">
        <f t="shared" si="6"/>
        <v>109.29344813899137</v>
      </c>
      <c r="M244" s="4">
        <f>L244/MAX(L$2:L244)-1</f>
        <v>-1.582545351949094E-2</v>
      </c>
      <c r="N244" s="4">
        <f t="shared" si="7"/>
        <v>1.9681690034964339E-2</v>
      </c>
    </row>
    <row r="245" spans="1:14">
      <c r="A245" s="3">
        <f>prices!A246</f>
        <v>43833</v>
      </c>
      <c r="B245" s="5">
        <f>prices!B246/prices!B245-1</f>
        <v>1.1994266155692657E-3</v>
      </c>
      <c r="C245" s="5">
        <f>prices!C246/prices!C245-1</f>
        <v>1.9931969056893539E-2</v>
      </c>
      <c r="D245" s="5">
        <f>prices!D246/prices!D245-1</f>
        <v>-1.4245917226883842E-2</v>
      </c>
      <c r="E245" s="5">
        <f>prices!E246/prices!E245-1</f>
        <v>1.5390092728950089E-2</v>
      </c>
      <c r="F245" s="5">
        <f>prices!F246/prices!F245-1</f>
        <v>-5.6457304163725075E-3</v>
      </c>
      <c r="G245" s="5">
        <f>prices!G246/prices!G245-1</f>
        <v>-1.0314288408393657E-2</v>
      </c>
      <c r="H245" s="5">
        <f>prices!H246/prices!H245-1</f>
        <v>2.2188255017010938E-2</v>
      </c>
      <c r="I245" s="5">
        <f>prices!I246/prices!I245-1</f>
        <v>-7.6203671631451808E-3</v>
      </c>
      <c r="J245" s="5">
        <f>prices!J246/prices!J245-1</f>
        <v>-4.5228053606032326E-3</v>
      </c>
      <c r="K245" s="8">
        <f>SUMPRODUCT(B245:I245,weights!$B$5:$I$5)</f>
        <v>1.5162480865381009E-3</v>
      </c>
      <c r="L245" s="4">
        <f t="shared" si="6"/>
        <v>109.45916412060326</v>
      </c>
      <c r="M245" s="4">
        <f>L245/MAX(L$2:L245)-1</f>
        <v>-1.4333200746570407E-2</v>
      </c>
      <c r="N245" s="4">
        <f t="shared" si="7"/>
        <v>1.937137981819026E-2</v>
      </c>
    </row>
    <row r="246" spans="1:14">
      <c r="A246" s="3">
        <f>prices!A247</f>
        <v>43836</v>
      </c>
      <c r="B246" s="5">
        <f>prices!B247/prices!B246-1</f>
        <v>-2.3185483870967749E-2</v>
      </c>
      <c r="C246" s="5">
        <f>prices!C247/prices!C246-1</f>
        <v>-9.1445538802581439E-5</v>
      </c>
      <c r="D246" s="5">
        <f>prices!D247/prices!D246-1</f>
        <v>-2.1643849525324388E-2</v>
      </c>
      <c r="E246" s="5">
        <f>prices!E247/prices!E246-1</f>
        <v>-9.5945429045010133E-3</v>
      </c>
      <c r="F246" s="5">
        <f>prices!F247/prices!F246-1</f>
        <v>-1.4253607759640574E-2</v>
      </c>
      <c r="G246" s="5">
        <f>prices!G247/prices!G246-1</f>
        <v>-2.9204441349994448E-2</v>
      </c>
      <c r="H246" s="5">
        <f>prices!H247/prices!H246-1</f>
        <v>-1.0467415947132408E-2</v>
      </c>
      <c r="I246" s="5">
        <f>prices!I247/prices!I246-1</f>
        <v>-1.3712291199202142E-2</v>
      </c>
      <c r="J246" s="5">
        <f>prices!J247/prices!J246-1</f>
        <v>-1.91058057603678E-2</v>
      </c>
      <c r="K246" s="8">
        <f>SUMPRODUCT(B246:I246,weights!$B$5:$I$5)</f>
        <v>-1.6530288788311205E-2</v>
      </c>
      <c r="L246" s="4">
        <f t="shared" si="6"/>
        <v>107.64977252716254</v>
      </c>
      <c r="M246" s="4">
        <f>L246/MAX(L$2:L246)-1</f>
        <v>-3.0626557587279946E-2</v>
      </c>
      <c r="N246" s="4">
        <f t="shared" si="7"/>
        <v>1.1371103085480172E-2</v>
      </c>
    </row>
    <row r="247" spans="1:14">
      <c r="A247" s="3">
        <f>prices!A248</f>
        <v>43837</v>
      </c>
      <c r="B247" s="5">
        <f>prices!B248/prices!B247-1</f>
        <v>1.5390137748463095E-2</v>
      </c>
      <c r="C247" s="5">
        <f>prices!C248/prices!C247-1</f>
        <v>2.453116426196722E-3</v>
      </c>
      <c r="D247" s="5">
        <f>prices!D248/prices!D247-1</f>
        <v>1.5826616390493653E-2</v>
      </c>
      <c r="E247" s="5">
        <f>prices!E248/prices!E247-1</f>
        <v>-1.4820894081297498E-2</v>
      </c>
      <c r="F247" s="5">
        <f>prices!F248/prices!F247-1</f>
        <v>1.0799784004320578E-3</v>
      </c>
      <c r="G247" s="5">
        <f>prices!G248/prices!G247-1</f>
        <v>4.43151980745915E-3</v>
      </c>
      <c r="H247" s="5">
        <f>prices!H248/prices!H247-1</f>
        <v>1.4672906307887423E-2</v>
      </c>
      <c r="I247" s="5">
        <f>prices!I248/prices!I247-1</f>
        <v>2.847994607347637E-3</v>
      </c>
      <c r="J247" s="5">
        <f>prices!J248/prices!J247-1</f>
        <v>4.9945593489564288E-3</v>
      </c>
      <c r="K247" s="8">
        <f>SUMPRODUCT(B247:I247,weights!$B$5:$I$5)</f>
        <v>5.8206233151057961E-3</v>
      </c>
      <c r="L247" s="4">
        <f t="shared" si="6"/>
        <v>108.27636130299996</v>
      </c>
      <c r="M247" s="4">
        <f>L247/MAX(L$2:L247)-1</f>
        <v>-2.4984199927328254E-2</v>
      </c>
      <c r="N247" s="4">
        <f t="shared" si="7"/>
        <v>1.8805639024243925E-2</v>
      </c>
    </row>
    <row r="248" spans="1:14">
      <c r="A248" s="3">
        <f>prices!A249</f>
        <v>43838</v>
      </c>
      <c r="B248" s="5">
        <f>prices!B249/prices!B248-1</f>
        <v>-7.5121520106053996E-3</v>
      </c>
      <c r="C248" s="5">
        <f>prices!C249/prices!C248-1</f>
        <v>2.2394307241523581E-2</v>
      </c>
      <c r="D248" s="5">
        <f>prices!D249/prices!D248-1</f>
        <v>-2.6222138977336495E-3</v>
      </c>
      <c r="E248" s="5">
        <f>prices!E249/prices!E248-1</f>
        <v>-1.3328759739305251E-2</v>
      </c>
      <c r="F248" s="5">
        <f>prices!F249/prices!F248-1</f>
        <v>-4.9145939466586075E-3</v>
      </c>
      <c r="G248" s="5">
        <f>prices!G249/prices!G248-1</f>
        <v>-5.4296520332633991E-3</v>
      </c>
      <c r="H248" s="5">
        <f>prices!H249/prices!H248-1</f>
        <v>-1.4124429497958224E-2</v>
      </c>
      <c r="I248" s="5">
        <f>prices!I249/prices!I248-1</f>
        <v>-2.1921053958224967E-2</v>
      </c>
      <c r="J248" s="5">
        <f>prices!J249/prices!J248-1</f>
        <v>-2.2898958346296849E-3</v>
      </c>
      <c r="K248" s="8">
        <f>SUMPRODUCT(B248:I248,weights!$B$5:$I$5)</f>
        <v>-8.2300763941341865E-3</v>
      </c>
      <c r="L248" s="4">
        <f t="shared" si="6"/>
        <v>107.3852385777974</v>
      </c>
      <c r="M248" s="4">
        <f>L248/MAX(L$2:L248)-1</f>
        <v>-3.3008654447414187E-2</v>
      </c>
      <c r="N248" s="4">
        <f t="shared" si="7"/>
        <v>1.5514895420331465E-2</v>
      </c>
    </row>
    <row r="249" spans="1:14">
      <c r="A249" s="3">
        <f>prices!A250</f>
        <v>43839</v>
      </c>
      <c r="B249" s="5">
        <f>prices!B250/prices!B249-1</f>
        <v>2.3033541110121902E-2</v>
      </c>
      <c r="C249" s="5">
        <f>prices!C250/prices!C249-1</f>
        <v>-1.8135054982547416E-2</v>
      </c>
      <c r="D249" s="5">
        <f>prices!D250/prices!D249-1</f>
        <v>1.1216389244558256E-2</v>
      </c>
      <c r="E249" s="5">
        <f>prices!E250/prices!E249-1</f>
        <v>1.3028722787848723E-2</v>
      </c>
      <c r="F249" s="5">
        <f>prices!F250/prices!F249-1</f>
        <v>6.8662289947598598E-3</v>
      </c>
      <c r="G249" s="5">
        <f>prices!G250/prices!G249-1</f>
        <v>2.7391690748824082E-2</v>
      </c>
      <c r="H249" s="5">
        <f>prices!H250/prices!H249-1</f>
        <v>-5.6040153988601293E-4</v>
      </c>
      <c r="I249" s="5">
        <f>prices!I250/prices!I249-1</f>
        <v>1.9044919207277911E-2</v>
      </c>
      <c r="J249" s="5">
        <f>prices!J250/prices!J249-1</f>
        <v>1.5845692640962472E-2</v>
      </c>
      <c r="K249" s="8">
        <f>SUMPRODUCT(B249:I249,weights!$B$5:$I$5)</f>
        <v>1.2843857291619453E-2</v>
      </c>
      <c r="L249" s="4">
        <f t="shared" si="6"/>
        <v>108.76447925731713</v>
      </c>
      <c r="M249" s="4">
        <f>L249/MAX(L$2:L249)-1</f>
        <v>-2.0588755602905628E-2</v>
      </c>
      <c r="N249" s="4">
        <f t="shared" si="7"/>
        <v>2.6441518877603709E-2</v>
      </c>
    </row>
    <row r="250" spans="1:14">
      <c r="A250" s="3">
        <f>prices!A251</f>
        <v>43840</v>
      </c>
      <c r="B250" s="5">
        <f>prices!B251/prices!B250-1</f>
        <v>-2.3211280682422508E-4</v>
      </c>
      <c r="C250" s="5">
        <f>prices!C251/prices!C250-1</f>
        <v>-3.5817384796310581E-4</v>
      </c>
      <c r="D250" s="5">
        <f>prices!D251/prices!D250-1</f>
        <v>8.8972177201511737E-3</v>
      </c>
      <c r="E250" s="5">
        <f>prices!E251/prices!E250-1</f>
        <v>1.4560726892404396E-2</v>
      </c>
      <c r="F250" s="5">
        <f>prices!F251/prices!F250-1</f>
        <v>9.3318179099119991E-3</v>
      </c>
      <c r="G250" s="5">
        <f>prices!G251/prices!G250-1</f>
        <v>1.4194987252610147E-2</v>
      </c>
      <c r="H250" s="5">
        <f>prices!H251/prices!H250-1</f>
        <v>8.5326312196787324E-3</v>
      </c>
      <c r="I250" s="5">
        <f>prices!I251/prices!I250-1</f>
        <v>6.4235496434172923E-3</v>
      </c>
      <c r="J250" s="5">
        <f>prices!J251/prices!J250-1</f>
        <v>3.3480955148617042E-3</v>
      </c>
      <c r="K250" s="8">
        <f>SUMPRODUCT(B250:I250,weights!$B$5:$I$5)</f>
        <v>7.9265758950650585E-3</v>
      </c>
      <c r="L250" s="4">
        <f t="shared" si="6"/>
        <v>109.62660915683749</v>
      </c>
      <c r="M250" s="4">
        <f>L250/MAX(L$2:L250)-1</f>
        <v>-1.2825378041712021E-2</v>
      </c>
      <c r="N250" s="4">
        <f t="shared" si="7"/>
        <v>3.1822444875782452E-2</v>
      </c>
    </row>
    <row r="251" spans="1:14">
      <c r="A251" s="3">
        <f>prices!A252</f>
        <v>43843</v>
      </c>
      <c r="B251" s="5">
        <f>prices!B252/prices!B251-1</f>
        <v>-2.5538336525625649E-3</v>
      </c>
      <c r="C251" s="5">
        <f>prices!C252/prices!C251-1</f>
        <v>-1.0481675784655087E-2</v>
      </c>
      <c r="D251" s="5">
        <f>prices!D252/prices!D251-1</f>
        <v>2.5602838066232092E-3</v>
      </c>
      <c r="E251" s="5">
        <f>prices!E252/prices!E251-1</f>
        <v>4.7968042781437736E-2</v>
      </c>
      <c r="F251" s="5">
        <f>prices!F252/prices!F251-1</f>
        <v>5.2154329402005484E-3</v>
      </c>
      <c r="G251" s="5">
        <f>prices!G252/prices!G251-1</f>
        <v>3.0272876547006167E-3</v>
      </c>
      <c r="H251" s="5">
        <f>prices!H252/prices!H251-1</f>
        <v>2.2480601416519086E-3</v>
      </c>
      <c r="I251" s="5">
        <f>prices!I252/prices!I251-1</f>
        <v>7.6222065869264721E-3</v>
      </c>
      <c r="J251" s="5">
        <f>prices!J252/prices!J251-1</f>
        <v>5.9354807127471876E-3</v>
      </c>
      <c r="K251" s="8">
        <f>SUMPRODUCT(B251:I251,weights!$B$5:$I$5)</f>
        <v>5.8761467707666281E-3</v>
      </c>
      <c r="L251" s="4">
        <f t="shared" si="6"/>
        <v>110.27079120222453</v>
      </c>
      <c r="M251" s="4">
        <f>L251/MAX(L$2:L251)-1</f>
        <v>-7.0245950747090946E-3</v>
      </c>
      <c r="N251" s="4">
        <f t="shared" si="7"/>
        <v>2.0272095497697151E-2</v>
      </c>
    </row>
    <row r="252" spans="1:14">
      <c r="A252" s="3">
        <f>prices!A253</f>
        <v>43844</v>
      </c>
      <c r="B252" s="5">
        <f>prices!B253/prices!B252-1</f>
        <v>-9.2668024439918062E-3</v>
      </c>
      <c r="C252" s="5">
        <f>prices!C253/prices!C252-1</f>
        <v>7.5554090351450665E-3</v>
      </c>
      <c r="D252" s="5">
        <f>prices!D253/prices!D252-1</f>
        <v>2.7373481105621433E-3</v>
      </c>
      <c r="E252" s="5">
        <f>prices!E253/prices!E252-1</f>
        <v>2.7051536250595198E-3</v>
      </c>
      <c r="F252" s="5">
        <f>prices!F253/prices!F252-1</f>
        <v>1.6744295737279424E-2</v>
      </c>
      <c r="G252" s="5">
        <f>prices!G253/prices!G252-1</f>
        <v>4.6378580529093938E-3</v>
      </c>
      <c r="H252" s="5">
        <f>prices!H253/prices!H252-1</f>
        <v>3.1354010901549767E-3</v>
      </c>
      <c r="I252" s="5">
        <f>prices!I253/prices!I252-1</f>
        <v>-6.4423348684100601E-3</v>
      </c>
      <c r="J252" s="5">
        <f>prices!J253/prices!J252-1</f>
        <v>2.6562202189048811E-3</v>
      </c>
      <c r="K252" s="8">
        <f>SUMPRODUCT(B252:I252,weights!$B$5:$I$5)</f>
        <v>1.4219120029833284E-3</v>
      </c>
      <c r="L252" s="4">
        <f t="shared" si="6"/>
        <v>110.42758656381343</v>
      </c>
      <c r="M252" s="4">
        <f>L252/MAX(L$2:L252)-1</f>
        <v>-5.6126714277786593E-3</v>
      </c>
      <c r="N252" s="4">
        <f t="shared" si="7"/>
        <v>2.6255534312119577E-2</v>
      </c>
    </row>
    <row r="253" spans="1:14">
      <c r="A253" s="3">
        <f>prices!A254</f>
        <v>43845</v>
      </c>
      <c r="B253" s="5">
        <f>prices!B254/prices!B253-1</f>
        <v>-3.626859316036013E-3</v>
      </c>
      <c r="C253" s="5">
        <f>prices!C254/prices!C253-1</f>
        <v>9.0596520964860705E-3</v>
      </c>
      <c r="D253" s="5">
        <f>prices!D254/prices!D253-1</f>
        <v>-4.0781676543045764E-3</v>
      </c>
      <c r="E253" s="5">
        <f>prices!E254/prices!E253-1</f>
        <v>-1.0438861382344511E-2</v>
      </c>
      <c r="F253" s="5">
        <f>prices!F254/prices!F253-1</f>
        <v>-3.4792693534357877E-3</v>
      </c>
      <c r="G253" s="5">
        <f>prices!G254/prices!G253-1</f>
        <v>1.3017317076681634E-2</v>
      </c>
      <c r="H253" s="5">
        <f>prices!H254/prices!H253-1</f>
        <v>6.8522792844776248E-3</v>
      </c>
      <c r="I253" s="5">
        <f>prices!I254/prices!I253-1</f>
        <v>-1.8824828694058438E-3</v>
      </c>
      <c r="J253" s="5">
        <f>prices!J254/prices!J253-1</f>
        <v>-1.5369308300234863E-3</v>
      </c>
      <c r="K253" s="8">
        <f>SUMPRODUCT(B253:I253,weights!$B$5:$I$5)</f>
        <v>2.0476891136277982E-3</v>
      </c>
      <c r="L253" s="4">
        <f t="shared" si="6"/>
        <v>110.65370793066435</v>
      </c>
      <c r="M253" s="4">
        <f>L253/MAX(L$2:L253)-1</f>
        <v>-3.5764753203317845E-3</v>
      </c>
      <c r="N253" s="4">
        <f t="shared" si="7"/>
        <v>2.1161713282043193E-2</v>
      </c>
    </row>
    <row r="254" spans="1:14">
      <c r="A254" s="3">
        <f>prices!A255</f>
        <v>43846</v>
      </c>
      <c r="B254" s="5">
        <f>prices!B255/prices!B254-1</f>
        <v>9.225418533364893E-3</v>
      </c>
      <c r="C254" s="5">
        <f>prices!C255/prices!C254-1</f>
        <v>5.3476504358920263E-3</v>
      </c>
      <c r="D254" s="5">
        <f>prices!D255/prices!D254-1</f>
        <v>2.6407715064098447E-3</v>
      </c>
      <c r="E254" s="5">
        <f>prices!E255/prices!E254-1</f>
        <v>-7.1255963814353951E-4</v>
      </c>
      <c r="F254" s="5">
        <f>prices!F255/prices!F254-1</f>
        <v>-6.8082630200755334E-3</v>
      </c>
      <c r="G254" s="5">
        <f>prices!G255/prices!G254-1</f>
        <v>-2.7126765406766395E-3</v>
      </c>
      <c r="H254" s="5">
        <f>prices!H255/prices!H254-1</f>
        <v>0</v>
      </c>
      <c r="I254" s="5">
        <f>prices!I255/prices!I254-1</f>
        <v>-3.2523596372111552E-3</v>
      </c>
      <c r="J254" s="5">
        <f>prices!J255/prices!J254-1</f>
        <v>9.8839046284227017E-4</v>
      </c>
      <c r="K254" s="8">
        <f>SUMPRODUCT(B254:I254,weights!$B$5:$I$5)</f>
        <v>4.2413674342589732E-5</v>
      </c>
      <c r="L254" s="4">
        <f t="shared" si="6"/>
        <v>110.65840116099733</v>
      </c>
      <c r="M254" s="4">
        <f>L254/MAX(L$2:L254)-1</f>
        <v>-3.5342133374487439E-3</v>
      </c>
      <c r="N254" s="4">
        <f t="shared" si="7"/>
        <v>1.1728325289619645E-2</v>
      </c>
    </row>
    <row r="255" spans="1:14">
      <c r="A255" s="3">
        <f>prices!A256</f>
        <v>43847</v>
      </c>
      <c r="B255" s="5">
        <f>prices!B256/prices!B255-1</f>
        <v>2.8021961975409404E-2</v>
      </c>
      <c r="C255" s="5">
        <f>prices!C256/prices!C255-1</f>
        <v>-8.8036547063862214E-3</v>
      </c>
      <c r="D255" s="5">
        <f>prices!D256/prices!D255-1</f>
        <v>-7.3680174698693701E-3</v>
      </c>
      <c r="E255" s="5">
        <f>prices!E256/prices!E255-1</f>
        <v>1.1006045574328827E-3</v>
      </c>
      <c r="F255" s="5">
        <f>prices!F256/prices!F255-1</f>
        <v>-3.3395828450901721E-3</v>
      </c>
      <c r="G255" s="5">
        <f>prices!G256/prices!G255-1</f>
        <v>7.7042107422944373E-3</v>
      </c>
      <c r="H255" s="5">
        <f>prices!H256/prices!H255-1</f>
        <v>1.2345679012345734E-2</v>
      </c>
      <c r="I255" s="5">
        <f>prices!I256/prices!I255-1</f>
        <v>-1.1445631149608837E-2</v>
      </c>
      <c r="J255" s="5">
        <f>prices!J256/prices!J255-1</f>
        <v>-2.5494718951069029E-4</v>
      </c>
      <c r="K255" s="8">
        <f>SUMPRODUCT(B255:I255,weights!$B$5:$I$5)</f>
        <v>3.165195480198375E-3</v>
      </c>
      <c r="L255" s="4">
        <f t="shared" si="6"/>
        <v>111.0086566321981</v>
      </c>
      <c r="M255" s="4">
        <f>L255/MAX(L$2:L255)-1</f>
        <v>-3.8020433333207926E-4</v>
      </c>
      <c r="N255" s="4">
        <f t="shared" si="7"/>
        <v>1.3581635312712503E-2</v>
      </c>
    </row>
    <row r="256" spans="1:14">
      <c r="A256" s="3">
        <f>prices!A257</f>
        <v>43850</v>
      </c>
      <c r="B256" s="5">
        <f>prices!B257/prices!B256-1</f>
        <v>-3.0766608428857478E-2</v>
      </c>
      <c r="C256" s="5">
        <f>prices!C257/prices!C256-1</f>
        <v>-2.1967235851723776E-2</v>
      </c>
      <c r="D256" s="5">
        <f>prices!D257/prices!D256-1</f>
        <v>-1.818731422237907E-2</v>
      </c>
      <c r="E256" s="5">
        <f>prices!E257/prices!E256-1</f>
        <v>7.8970595066674143E-4</v>
      </c>
      <c r="F256" s="5">
        <f>prices!F257/prices!F256-1</f>
        <v>8.1123978602080093E-3</v>
      </c>
      <c r="G256" s="5">
        <f>prices!G257/prices!G256-1</f>
        <v>-9.3816588922148725E-3</v>
      </c>
      <c r="H256" s="5">
        <f>prices!H257/prices!H256-1</f>
        <v>-1.1322356937302436E-2</v>
      </c>
      <c r="I256" s="5">
        <f>prices!I257/prices!I256-1</f>
        <v>4.1429531514516338E-3</v>
      </c>
      <c r="J256" s="5">
        <f>prices!J257/prices!J256-1</f>
        <v>-1.0346209425736941E-2</v>
      </c>
      <c r="K256" s="8">
        <f>SUMPRODUCT(B256:I256,weights!$B$5:$I$5)</f>
        <v>-9.1667784339482718E-3</v>
      </c>
      <c r="L256" s="4">
        <f t="shared" si="6"/>
        <v>109.99106487260049</v>
      </c>
      <c r="M256" s="4">
        <f>L256/MAX(L$2:L256)-1</f>
        <v>-9.5434975183971149E-3</v>
      </c>
      <c r="N256" s="4">
        <f t="shared" si="7"/>
        <v>6.5825967816577347E-3</v>
      </c>
    </row>
    <row r="257" spans="1:14">
      <c r="A257" s="3">
        <f>prices!A258</f>
        <v>43851</v>
      </c>
      <c r="B257" s="5">
        <f>prices!B258/prices!B257-1</f>
        <v>1.0112112552207453E-3</v>
      </c>
      <c r="C257" s="5">
        <f>prices!C258/prices!C257-1</f>
        <v>3.2180121411773399E-4</v>
      </c>
      <c r="D257" s="5">
        <f>prices!D258/prices!D257-1</f>
        <v>-8.4154351395729909E-3</v>
      </c>
      <c r="E257" s="5">
        <f>prices!E258/prices!E257-1</f>
        <v>-7.7515781656146698E-3</v>
      </c>
      <c r="F257" s="5">
        <f>prices!F258/prices!F257-1</f>
        <v>-1.4286547320543574E-2</v>
      </c>
      <c r="G257" s="5">
        <f>prices!G258/prices!G257-1</f>
        <v>-1.9724634454093337E-2</v>
      </c>
      <c r="H257" s="5">
        <f>prices!H258/prices!H257-1</f>
        <v>-4.5569499451256767E-3</v>
      </c>
      <c r="I257" s="5">
        <f>prices!I258/prices!I257-1</f>
        <v>-5.5406825036429241E-3</v>
      </c>
      <c r="J257" s="5">
        <f>prices!J258/prices!J257-1</f>
        <v>-4.4746023371002863E-3</v>
      </c>
      <c r="K257" s="8">
        <f>SUMPRODUCT(B257:I257,weights!$B$5:$I$5)</f>
        <v>-7.9331889266224254E-3</v>
      </c>
      <c r="L257" s="4">
        <f t="shared" si="6"/>
        <v>109.11848497472576</v>
      </c>
      <c r="M257" s="4">
        <f>L257/MAX(L$2:L257)-1</f>
        <v>-1.7400976076185404E-2</v>
      </c>
      <c r="N257" s="4">
        <f t="shared" si="7"/>
        <v>-1.557763082402186E-3</v>
      </c>
    </row>
    <row r="258" spans="1:14">
      <c r="A258" s="3">
        <f>prices!A259</f>
        <v>43852</v>
      </c>
      <c r="B258" s="5">
        <f>prices!B259/prices!B258-1</f>
        <v>-3.6601077535725057E-4</v>
      </c>
      <c r="C258" s="5">
        <f>prices!C259/prices!C258-1</f>
        <v>1.65156323268012E-2</v>
      </c>
      <c r="D258" s="5">
        <f>prices!D259/prices!D258-1</f>
        <v>-2.811702201062527E-3</v>
      </c>
      <c r="E258" s="5">
        <f>prices!E259/prices!E258-1</f>
        <v>1.0104317724657363E-2</v>
      </c>
      <c r="F258" s="5">
        <f>prices!F259/prices!F258-1</f>
        <v>-1.656412683388564E-3</v>
      </c>
      <c r="G258" s="5">
        <f>prices!G259/prices!G258-1</f>
        <v>-2.2876421312886253E-2</v>
      </c>
      <c r="H258" s="5">
        <f>prices!H259/prices!H258-1</f>
        <v>-2.4686623684778697E-3</v>
      </c>
      <c r="I258" s="5">
        <f>prices!I259/prices!I258-1</f>
        <v>-6.2530882077319605E-3</v>
      </c>
      <c r="J258" s="5">
        <f>prices!J259/prices!J258-1</f>
        <v>-5.172619218807184E-3</v>
      </c>
      <c r="K258" s="8">
        <f>SUMPRODUCT(B258:I258,weights!$B$5:$I$5)</f>
        <v>-4.1387291975159201E-3</v>
      </c>
      <c r="L258" s="4">
        <f t="shared" si="6"/>
        <v>108.66687311497216</v>
      </c>
      <c r="M258" s="4">
        <f>L258/MAX(L$2:L258)-1</f>
        <v>-2.1467687345949504E-2</v>
      </c>
      <c r="N258" s="4">
        <f t="shared" si="7"/>
        <v>-9.6881624784828091E-6</v>
      </c>
    </row>
    <row r="259" spans="1:14">
      <c r="A259" s="3">
        <f>prices!A260</f>
        <v>43853</v>
      </c>
      <c r="B259" s="5">
        <f>prices!B260/prices!B259-1</f>
        <v>-4.2326337526911173E-3</v>
      </c>
      <c r="C259" s="5">
        <f>prices!C260/prices!C259-1</f>
        <v>-4.9723490192081776E-3</v>
      </c>
      <c r="D259" s="5">
        <f>prices!D260/prices!D259-1</f>
        <v>3.2174920860073009E-3</v>
      </c>
      <c r="E259" s="5">
        <f>prices!E260/prices!E259-1</f>
        <v>1.8370150820482101E-2</v>
      </c>
      <c r="F259" s="5">
        <f>prices!F260/prices!F259-1</f>
        <v>-6.5181322588281354E-4</v>
      </c>
      <c r="G259" s="5">
        <f>prices!G260/prices!G259-1</f>
        <v>1.6123600361215296E-3</v>
      </c>
      <c r="H259" s="5">
        <f>prices!H260/prices!H259-1</f>
        <v>7.952907256126851E-3</v>
      </c>
      <c r="I259" s="5">
        <f>prices!I260/prices!I259-1</f>
        <v>2.9438995953638303E-2</v>
      </c>
      <c r="J259" s="5">
        <f>prices!J260/prices!J259-1</f>
        <v>6.0667883603564565E-3</v>
      </c>
      <c r="K259" s="8">
        <f>SUMPRODUCT(B259:I259,weights!$B$5:$I$5)</f>
        <v>8.0787549310780467E-3</v>
      </c>
      <c r="L259" s="4">
        <f t="shared" si="6"/>
        <v>109.54476615199458</v>
      </c>
      <c r="M259" s="4">
        <f>L259/MAX(L$2:L259)-1</f>
        <v>-1.3562364599876364E-2</v>
      </c>
      <c r="N259" s="4">
        <f t="shared" si="7"/>
        <v>2.2018619878349188E-2</v>
      </c>
    </row>
    <row r="260" spans="1:14">
      <c r="A260" s="3">
        <f>prices!A261</f>
        <v>43854</v>
      </c>
      <c r="B260" s="5">
        <f>prices!B261/prices!B260-1</f>
        <v>-3.4710986909839425E-3</v>
      </c>
      <c r="C260" s="5">
        <f>prices!C261/prices!C260-1</f>
        <v>-3.4446696567189683E-3</v>
      </c>
      <c r="D260" s="5">
        <f>prices!D261/prices!D260-1</f>
        <v>-2.4140012070028583E-4</v>
      </c>
      <c r="E260" s="5">
        <f>prices!E261/prices!E260-1</f>
        <v>-2.0312571056102513E-3</v>
      </c>
      <c r="F260" s="5">
        <f>prices!F261/prices!F260-1</f>
        <v>1.0672991402311816E-3</v>
      </c>
      <c r="G260" s="5">
        <f>prices!G261/prices!G260-1</f>
        <v>-2.6095443265471419E-3</v>
      </c>
      <c r="H260" s="5">
        <f>prices!H261/prices!H260-1</f>
        <v>-4.5529308002192348E-3</v>
      </c>
      <c r="I260" s="5">
        <f>prices!I261/prices!I260-1</f>
        <v>2.0186206092503545E-2</v>
      </c>
      <c r="J260" s="5">
        <f>prices!J261/prices!J260-1</f>
        <v>5.5745524553891812E-3</v>
      </c>
      <c r="K260" s="8">
        <f>SUMPRODUCT(B260:I260,weights!$B$5:$I$5)</f>
        <v>1.9374684543377557E-3</v>
      </c>
      <c r="L260" s="4">
        <f t="shared" ref="L260:L323" si="8">L259*(1+K260)</f>
        <v>109.75700568075189</v>
      </c>
      <c r="M260" s="4">
        <f>L260/MAX(L$2:L260)-1</f>
        <v>-1.1651172799116982E-2</v>
      </c>
      <c r="N260" s="4">
        <f t="shared" si="7"/>
        <v>1.3208281499131447E-2</v>
      </c>
    </row>
    <row r="261" spans="1:14">
      <c r="A261" s="3">
        <f>prices!A262</f>
        <v>43857</v>
      </c>
      <c r="B261" s="5">
        <f>prices!B262/prices!B261-1</f>
        <v>-9.8591965050033314E-3</v>
      </c>
      <c r="C261" s="5">
        <f>prices!C262/prices!C261-1</f>
        <v>-6.4858139723582564E-3</v>
      </c>
      <c r="D261" s="5">
        <f>prices!D262/prices!D261-1</f>
        <v>-2.5180662630861717E-2</v>
      </c>
      <c r="E261" s="5">
        <f>prices!E262/prices!E261-1</f>
        <v>-5.9542796384902674E-3</v>
      </c>
      <c r="F261" s="5">
        <f>prices!F262/prices!F261-1</f>
        <v>-1.4867026002487793E-2</v>
      </c>
      <c r="G261" s="5">
        <f>prices!G262/prices!G261-1</f>
        <v>2.855037485419043E-3</v>
      </c>
      <c r="H261" s="5">
        <f>prices!H262/prices!H261-1</f>
        <v>1.340996168582409E-3</v>
      </c>
      <c r="I261" s="5">
        <f>prices!I262/prices!I261-1</f>
        <v>-7.7955365451487513E-3</v>
      </c>
      <c r="J261" s="5">
        <f>prices!J262/prices!J261-1</f>
        <v>-1.0552527912150667E-2</v>
      </c>
      <c r="K261" s="8">
        <f>SUMPRODUCT(B261:I261,weights!$B$5:$I$5)</f>
        <v>-6.2227208592110375E-3</v>
      </c>
      <c r="L261" s="4">
        <f t="shared" si="8"/>
        <v>109.07401847205773</v>
      </c>
      <c r="M261" s="4">
        <f>L261/MAX(L$2:L261)-1</f>
        <v>-1.7801391662316646E-2</v>
      </c>
      <c r="N261" s="4">
        <f t="shared" si="7"/>
        <v>3.1742108063339547E-3</v>
      </c>
    </row>
    <row r="262" spans="1:14">
      <c r="A262" s="3">
        <f>prices!A263</f>
        <v>43858</v>
      </c>
      <c r="B262" s="5">
        <f>prices!B263/prices!B262-1</f>
        <v>-2.3104671615538308E-2</v>
      </c>
      <c r="C262" s="5">
        <f>prices!C263/prices!C262-1</f>
        <v>6.6860496771312672E-3</v>
      </c>
      <c r="D262" s="5">
        <f>prices!D263/prices!D262-1</f>
        <v>8.2447232002265114E-3</v>
      </c>
      <c r="E262" s="5">
        <f>prices!E263/prices!E262-1</f>
        <v>-1.2224378466740848E-4</v>
      </c>
      <c r="F262" s="5">
        <f>prices!F263/prices!F262-1</f>
        <v>-1.6414141414141326E-2</v>
      </c>
      <c r="G262" s="5">
        <f>prices!G263/prices!G262-1</f>
        <v>-2.1228365570542085E-2</v>
      </c>
      <c r="H262" s="5">
        <f>prices!H263/prices!H262-1</f>
        <v>1.0044002295771959E-2</v>
      </c>
      <c r="I262" s="5">
        <f>prices!I263/prices!I262-1</f>
        <v>-1.4479518885076592E-3</v>
      </c>
      <c r="J262" s="5">
        <f>prices!J263/prices!J262-1</f>
        <v>-5.2149517286905755E-3</v>
      </c>
      <c r="K262" s="8">
        <f>SUMPRODUCT(B262:I262,weights!$B$5:$I$5)</f>
        <v>-6.0204815020791528E-3</v>
      </c>
      <c r="L262" s="4">
        <f t="shared" si="8"/>
        <v>108.41734036148927</v>
      </c>
      <c r="M262" s="4">
        <f>L262/MAX(L$2:L262)-1</f>
        <v>-2.3714700215181628E-2</v>
      </c>
      <c r="N262" s="4">
        <f t="shared" si="7"/>
        <v>2.4869471015998013E-3</v>
      </c>
    </row>
    <row r="263" spans="1:14">
      <c r="A263" s="3">
        <f>prices!A264</f>
        <v>43859</v>
      </c>
      <c r="B263" s="5">
        <f>prices!B264/prices!B263-1</f>
        <v>5.5084228515625E-3</v>
      </c>
      <c r="C263" s="5">
        <f>prices!C264/prices!C263-1</f>
        <v>-1.3348188691899132E-2</v>
      </c>
      <c r="D263" s="5">
        <f>prices!D264/prices!D263-1</f>
        <v>1.0335690596100733E-2</v>
      </c>
      <c r="E263" s="5">
        <f>prices!E264/prices!E263-1</f>
        <v>1.5037823794605387E-2</v>
      </c>
      <c r="F263" s="5">
        <f>prices!F264/prices!F263-1</f>
        <v>2.5551684088269466E-2</v>
      </c>
      <c r="G263" s="5">
        <f>prices!G264/prices!G263-1</f>
        <v>1.8950330984930375E-3</v>
      </c>
      <c r="H263" s="5">
        <f>prices!H264/prices!H263-1</f>
        <v>-6.1795624585662123E-3</v>
      </c>
      <c r="I263" s="5">
        <f>prices!I264/prices!I263-1</f>
        <v>1.4146240988671455E-2</v>
      </c>
      <c r="J263" s="5">
        <f>prices!J264/prices!J263-1</f>
        <v>6.1132401002008674E-3</v>
      </c>
      <c r="K263" s="8">
        <f>SUMPRODUCT(B263:I263,weights!$B$5:$I$5)</f>
        <v>5.9319687498994101E-3</v>
      </c>
      <c r="L263" s="4">
        <f t="shared" si="8"/>
        <v>109.06046863646083</v>
      </c>
      <c r="M263" s="4">
        <f>L263/MAX(L$2:L263)-1</f>
        <v>-1.792340632587186E-2</v>
      </c>
      <c r="N263" s="4">
        <f t="shared" si="7"/>
        <v>6.4798131434631312E-3</v>
      </c>
    </row>
    <row r="264" spans="1:14">
      <c r="A264" s="3">
        <f>prices!A265</f>
        <v>43860</v>
      </c>
      <c r="B264" s="5">
        <f>prices!B265/prices!B264-1</f>
        <v>-2.4401717832374881E-2</v>
      </c>
      <c r="C264" s="5">
        <f>prices!C265/prices!C264-1</f>
        <v>-7.7730148114852904E-3</v>
      </c>
      <c r="D264" s="5">
        <f>prices!D265/prices!D264-1</f>
        <v>-7.9199666527719481E-3</v>
      </c>
      <c r="E264" s="5">
        <f>prices!E265/prices!E264-1</f>
        <v>-1.1397341122269311E-2</v>
      </c>
      <c r="F264" s="5">
        <f>prices!F265/prices!F264-1</f>
        <v>-1.0967395839542204E-2</v>
      </c>
      <c r="G264" s="5">
        <f>prices!G265/prices!G264-1</f>
        <v>1.447026542471086E-3</v>
      </c>
      <c r="H264" s="5">
        <f>prices!H265/prices!H264-1</f>
        <v>-1.7772483621203095E-2</v>
      </c>
      <c r="I264" s="5">
        <f>prices!I265/prices!I264-1</f>
        <v>3.2983459526207959E-3</v>
      </c>
      <c r="J264" s="5">
        <f>prices!J265/prices!J264-1</f>
        <v>-7.7249680530937503E-3</v>
      </c>
      <c r="K264" s="8">
        <f>SUMPRODUCT(B264:I264,weights!$B$5:$I$5)</f>
        <v>-8.0099272076324616E-3</v>
      </c>
      <c r="L264" s="4">
        <f t="shared" si="8"/>
        <v>108.18690222145248</v>
      </c>
      <c r="M264" s="4">
        <f>L264/MAX(L$2:L264)-1</f>
        <v>-2.5789768353521314E-2</v>
      </c>
      <c r="N264" s="4">
        <f t="shared" si="7"/>
        <v>-1.0124540275567639E-2</v>
      </c>
    </row>
    <row r="265" spans="1:14">
      <c r="A265" s="3">
        <f>prices!A266</f>
        <v>43861</v>
      </c>
      <c r="B265" s="5">
        <f>prices!B266/prices!B265-1</f>
        <v>-2.222775280374556E-2</v>
      </c>
      <c r="C265" s="5">
        <f>prices!C266/prices!C265-1</f>
        <v>-2.750707151065146E-2</v>
      </c>
      <c r="D265" s="5">
        <f>prices!D266/prices!D265-1</f>
        <v>1.9257703081221322E-4</v>
      </c>
      <c r="E265" s="5">
        <f>prices!E266/prices!E265-1</f>
        <v>-6.0765739697237198E-3</v>
      </c>
      <c r="F265" s="5">
        <f>prices!F266/prices!F265-1</f>
        <v>4.7007774362683996E-3</v>
      </c>
      <c r="G265" s="5">
        <f>prices!G266/prices!G265-1</f>
        <v>-1.523392357592801E-2</v>
      </c>
      <c r="H265" s="5">
        <f>prices!H266/prices!H265-1</f>
        <v>-1.7657474108030868E-2</v>
      </c>
      <c r="I265" s="5">
        <f>prices!I266/prices!I265-1</f>
        <v>-6.5588106689984382E-4</v>
      </c>
      <c r="J265" s="5">
        <f>prices!J266/prices!J265-1</f>
        <v>-6.1233985277254765E-3</v>
      </c>
      <c r="K265" s="8">
        <f>SUMPRODUCT(B265:I265,weights!$B$5:$I$5)</f>
        <v>-1.110533410147177E-2</v>
      </c>
      <c r="L265" s="4">
        <f t="shared" si="8"/>
        <v>106.98545052688</v>
      </c>
      <c r="M265" s="4">
        <f>L265/MAX(L$2:L265)-1</f>
        <v>-3.6608698461027656E-2</v>
      </c>
      <c r="N265" s="4">
        <f t="shared" si="7"/>
        <v>-2.2599419734264492E-2</v>
      </c>
    </row>
    <row r="266" spans="1:14">
      <c r="A266" s="3">
        <f>prices!A267</f>
        <v>43864</v>
      </c>
      <c r="B266" s="5">
        <f>prices!B267/prices!B266-1</f>
        <v>-1.8517340120903558E-2</v>
      </c>
      <c r="C266" s="5">
        <f>prices!C267/prices!C266-1</f>
        <v>1.1282231904970352E-2</v>
      </c>
      <c r="D266" s="5">
        <f>prices!D267/prices!D266-1</f>
        <v>-2.7323169557682991E-2</v>
      </c>
      <c r="E266" s="5">
        <f>prices!E267/prices!E266-1</f>
        <v>-1.1032284755527755E-2</v>
      </c>
      <c r="F266" s="5">
        <f>prices!F267/prices!F266-1</f>
        <v>-0.11720952552336406</v>
      </c>
      <c r="G266" s="5">
        <f>prices!G267/prices!G266-1</f>
        <v>1.4146873399479398E-2</v>
      </c>
      <c r="H266" s="5">
        <f>prices!H267/prices!H266-1</f>
        <v>-3.856694896422308E-2</v>
      </c>
      <c r="I266" s="5">
        <f>prices!I267/prices!I266-1</f>
        <v>-6.0364455463996047E-2</v>
      </c>
      <c r="J266" s="5">
        <f>prices!J267/prices!J266-1</f>
        <v>-2.1250449335818988E-2</v>
      </c>
      <c r="K266" s="8">
        <f>SUMPRODUCT(B266:I266,weights!$B$5:$I$5)</f>
        <v>-2.9092157985323386E-2</v>
      </c>
      <c r="L266" s="4">
        <f t="shared" si="8"/>
        <v>103.873012898021</v>
      </c>
      <c r="M266" s="4">
        <f>L266/MAX(L$2:L266)-1</f>
        <v>-6.463583040708587E-2</v>
      </c>
      <c r="N266" s="4">
        <f t="shared" si="7"/>
        <v>-3.5083767856439962E-2</v>
      </c>
    </row>
    <row r="267" spans="1:14">
      <c r="A267" s="3">
        <f>prices!A268</f>
        <v>43865</v>
      </c>
      <c r="B267" s="5">
        <f>prices!B268/prices!B267-1</f>
        <v>2.951568983402475E-2</v>
      </c>
      <c r="C267" s="5">
        <f>prices!C268/prices!C267-1</f>
        <v>2.4941718394515533E-3</v>
      </c>
      <c r="D267" s="5">
        <f>prices!D268/prices!D267-1</f>
        <v>3.1023933777218016E-2</v>
      </c>
      <c r="E267" s="5">
        <f>prices!E268/prices!E267-1</f>
        <v>2.664890073284476E-2</v>
      </c>
      <c r="F267" s="5">
        <f>prices!F268/prices!F267-1</f>
        <v>3.8798668206835751E-2</v>
      </c>
      <c r="G267" s="5">
        <f>prices!G268/prices!G267-1</f>
        <v>2.6855653139251201E-2</v>
      </c>
      <c r="H267" s="5">
        <f>prices!H268/prices!H267-1</f>
        <v>1.9414982408382242E-2</v>
      </c>
      <c r="I267" s="5">
        <f>prices!I268/prices!I267-1</f>
        <v>3.9666456836857655E-3</v>
      </c>
      <c r="J267" s="5">
        <f>prices!J268/prices!J267-1</f>
        <v>2.3210823461081942E-2</v>
      </c>
      <c r="K267" s="8">
        <f>SUMPRODUCT(B267:I267,weights!$B$5:$I$5)</f>
        <v>2.0715451901062196E-2</v>
      </c>
      <c r="L267" s="4">
        <f t="shared" si="8"/>
        <v>106.02478930052837</v>
      </c>
      <c r="M267" s="4">
        <f>L267/MAX(L$2:L267)-1</f>
        <v>-4.5259338941906813E-2</v>
      </c>
      <c r="N267" s="4">
        <f t="shared" si="7"/>
        <v>-2.0794677391963723E-2</v>
      </c>
    </row>
    <row r="268" spans="1:14">
      <c r="A268" s="3">
        <f>prices!A269</f>
        <v>43866</v>
      </c>
      <c r="B268" s="5">
        <f>prices!B269/prices!B268-1</f>
        <v>1.5491915550167823E-2</v>
      </c>
      <c r="C268" s="5">
        <f>prices!C269/prices!C268-1</f>
        <v>1.8413192946278967E-2</v>
      </c>
      <c r="D268" s="5">
        <f>prices!D269/prices!D268-1</f>
        <v>1.2078053548364442E-2</v>
      </c>
      <c r="E268" s="5">
        <f>prices!E269/prices!E268-1</f>
        <v>-4.1803117878755902E-3</v>
      </c>
      <c r="F268" s="5">
        <f>prices!F269/prices!F268-1</f>
        <v>3.728414442700112E-3</v>
      </c>
      <c r="G268" s="5">
        <f>prices!G269/prices!G268-1</f>
        <v>-2.2043022663328804E-2</v>
      </c>
      <c r="H268" s="5">
        <f>prices!H269/prices!H268-1</f>
        <v>1.4107570222949839E-3</v>
      </c>
      <c r="I268" s="5">
        <f>prices!I269/prices!I268-1</f>
        <v>1.4163381346251391E-2</v>
      </c>
      <c r="J268" s="5">
        <f>prices!J269/prices!J268-1</f>
        <v>9.1405007658822424E-3</v>
      </c>
      <c r="K268" s="8">
        <f>SUMPRODUCT(B268:I268,weights!$B$5:$I$5)</f>
        <v>3.1618828687579926E-3</v>
      </c>
      <c r="L268" s="4">
        <f t="shared" si="8"/>
        <v>106.36002726548139</v>
      </c>
      <c r="M268" s="4">
        <f>L268/MAX(L$2:L268)-1</f>
        <v>-4.2240560801600546E-2</v>
      </c>
      <c r="N268" s="4">
        <f t="shared" si="7"/>
        <v>-9.5470413428682122E-3</v>
      </c>
    </row>
    <row r="269" spans="1:14">
      <c r="A269" s="3">
        <f>prices!A270</f>
        <v>43867</v>
      </c>
      <c r="B269" s="5">
        <f>prices!B270/prices!B269-1</f>
        <v>6.4185051394551884E-3</v>
      </c>
      <c r="C269" s="5">
        <f>prices!C270/prices!C269-1</f>
        <v>-8.478912762386881E-3</v>
      </c>
      <c r="D269" s="5">
        <f>prices!D270/prices!D269-1</f>
        <v>-3.897492498189159E-3</v>
      </c>
      <c r="E269" s="5">
        <f>prices!E270/prices!E269-1</f>
        <v>-1.6821750068196306E-2</v>
      </c>
      <c r="F269" s="5">
        <f>prices!F270/prices!F269-1</f>
        <v>-1.3424568263277981E-2</v>
      </c>
      <c r="G269" s="5">
        <f>prices!G270/prices!G269-1</f>
        <v>-2.7410293584633205E-3</v>
      </c>
      <c r="H269" s="5">
        <f>prices!H270/prices!H269-1</f>
        <v>1.0314205931926335E-2</v>
      </c>
      <c r="I269" s="5">
        <f>prices!I270/prices!I269-1</f>
        <v>5.7674717978251078E-3</v>
      </c>
      <c r="J269" s="5">
        <f>prices!J270/prices!J269-1</f>
        <v>4.0366775166162938E-3</v>
      </c>
      <c r="K269" s="8">
        <f>SUMPRODUCT(B269:I269,weights!$B$5:$I$5)</f>
        <v>-6.0639547676354165E-4</v>
      </c>
      <c r="L269" s="4">
        <f t="shared" si="8"/>
        <v>106.29553102603916</v>
      </c>
      <c r="M269" s="4">
        <f>L269/MAX(L$2:L269)-1</f>
        <v>-4.2821341793358059E-2</v>
      </c>
      <c r="N269" s="4">
        <f t="shared" si="7"/>
        <v>-2.2699949911375805E-2</v>
      </c>
    </row>
    <row r="270" spans="1:14">
      <c r="A270" s="3">
        <f>prices!A271</f>
        <v>43868</v>
      </c>
      <c r="B270" s="5">
        <f>prices!B271/prices!B270-1</f>
        <v>-1.656011707617655E-2</v>
      </c>
      <c r="C270" s="5">
        <f>prices!C271/prices!C270-1</f>
        <v>3.8511908725666899E-3</v>
      </c>
      <c r="D270" s="5">
        <f>prices!D271/prices!D270-1</f>
        <v>1.9390581717451116E-3</v>
      </c>
      <c r="E270" s="5">
        <f>prices!E271/prices!E270-1</f>
        <v>7.7070102965657306E-3</v>
      </c>
      <c r="F270" s="5">
        <f>prices!F271/prices!F270-1</f>
        <v>-6.6054561067441231E-4</v>
      </c>
      <c r="G270" s="5">
        <f>prices!G271/prices!G270-1</f>
        <v>-7.0993192952168993E-3</v>
      </c>
      <c r="H270" s="5">
        <f>prices!H271/prices!H270-1</f>
        <v>3.4859689748767408E-4</v>
      </c>
      <c r="I270" s="5">
        <f>prices!I271/prices!I270-1</f>
        <v>-1.4112852295022571E-2</v>
      </c>
      <c r="J270" s="5">
        <f>prices!J271/prices!J270-1</f>
        <v>-3.2624949023517535E-3</v>
      </c>
      <c r="K270" s="8">
        <f>SUMPRODUCT(B270:I270,weights!$B$5:$I$5)</f>
        <v>-5.135121711492322E-3</v>
      </c>
      <c r="L270" s="4">
        <f t="shared" si="8"/>
        <v>105.74969053683273</v>
      </c>
      <c r="M270" s="4">
        <f>L270/MAX(L$2:L270)-1</f>
        <v>-4.7736570702892056E-2</v>
      </c>
      <c r="N270" s="4">
        <f t="shared" si="7"/>
        <v>-3.5364759065549811E-2</v>
      </c>
    </row>
    <row r="271" spans="1:14">
      <c r="A271" s="3">
        <f>prices!A272</f>
        <v>43871</v>
      </c>
      <c r="B271" s="5">
        <f>prices!B272/prices!B271-1</f>
        <v>1.3471177944861523E-3</v>
      </c>
      <c r="C271" s="5">
        <f>prices!C272/prices!C271-1</f>
        <v>1.1885150747935391E-2</v>
      </c>
      <c r="D271" s="5">
        <f>prices!D272/prices!D271-1</f>
        <v>-1.5378766933923371E-3</v>
      </c>
      <c r="E271" s="5">
        <f>prices!E272/prices!E271-1</f>
        <v>-5.2771659324523101E-3</v>
      </c>
      <c r="F271" s="5">
        <f>prices!F272/prices!F271-1</f>
        <v>-1.3351840835481354E-2</v>
      </c>
      <c r="G271" s="5">
        <f>prices!G272/prices!G271-1</f>
        <v>-1.130926688802214E-2</v>
      </c>
      <c r="H271" s="5">
        <f>prices!H272/prices!H271-1</f>
        <v>-2.4368388301182375E-2</v>
      </c>
      <c r="I271" s="5">
        <f>prices!I272/prices!I271-1</f>
        <v>-1.0548252918919254E-2</v>
      </c>
      <c r="J271" s="5">
        <f>prices!J272/prices!J271-1</f>
        <v>-5.525546872094167E-3</v>
      </c>
      <c r="K271" s="8">
        <f>SUMPRODUCT(B271:I271,weights!$B$5:$I$5)</f>
        <v>-8.4149520164512603E-3</v>
      </c>
      <c r="L271" s="4">
        <f t="shared" si="8"/>
        <v>104.85981196521071</v>
      </c>
      <c r="M271" s="4">
        <f>L271/MAX(L$2:L271)-1</f>
        <v>-5.5749821767448582E-2</v>
      </c>
      <c r="N271" s="4">
        <f t="shared" si="7"/>
        <v>-4.9069923032389218E-2</v>
      </c>
    </row>
    <row r="272" spans="1:14">
      <c r="A272" s="3">
        <f>prices!A273</f>
        <v>43872</v>
      </c>
      <c r="B272" s="5">
        <f>prices!B273/prices!B272-1</f>
        <v>1.1951318712261072E-2</v>
      </c>
      <c r="C272" s="5">
        <f>prices!C273/prices!C272-1</f>
        <v>-3.9552467112451417E-3</v>
      </c>
      <c r="D272" s="5">
        <f>prices!D273/prices!D272-1</f>
        <v>2.4228579339946599E-4</v>
      </c>
      <c r="E272" s="5">
        <f>prices!E273/prices!E272-1</f>
        <v>4.6131844812480338E-4</v>
      </c>
      <c r="F272" s="5">
        <f>prices!F273/prices!F272-1</f>
        <v>9.7139411804112452E-3</v>
      </c>
      <c r="G272" s="5">
        <f>prices!G273/prices!G272-1</f>
        <v>2.0433726910629169E-2</v>
      </c>
      <c r="H272" s="5">
        <f>prices!H273/prices!H272-1</f>
        <v>-4.1841004184099972E-3</v>
      </c>
      <c r="I272" s="5">
        <f>prices!I273/prices!I272-1</f>
        <v>1.2430295392158452E-3</v>
      </c>
      <c r="J272" s="5">
        <f>prices!J273/prices!J272-1</f>
        <v>6.3499979221210978E-3</v>
      </c>
      <c r="K272" s="8">
        <f>SUMPRODUCT(B272:I272,weights!$B$5:$I$5)</f>
        <v>5.6290609871410182E-3</v>
      </c>
      <c r="L272" s="4">
        <f t="shared" si="8"/>
        <v>105.45007424186302</v>
      </c>
      <c r="M272" s="4">
        <f>L272/MAX(L$2:L272)-1</f>
        <v>-5.0434579927058798E-2</v>
      </c>
      <c r="N272" s="4">
        <f t="shared" si="7"/>
        <v>-4.5074899097555021E-2</v>
      </c>
    </row>
    <row r="273" spans="1:14">
      <c r="A273" s="3">
        <f>prices!A274</f>
        <v>43873</v>
      </c>
      <c r="B273" s="5">
        <f>prices!B274/prices!B273-1</f>
        <v>1.20884217035091E-2</v>
      </c>
      <c r="C273" s="5">
        <f>prices!C274/prices!C273-1</f>
        <v>8.0570851890042761E-3</v>
      </c>
      <c r="D273" s="5">
        <f>prices!D274/prices!D273-1</f>
        <v>6.7823589459659051E-3</v>
      </c>
      <c r="E273" s="5">
        <f>prices!E274/prices!E273-1</f>
        <v>9.6985905534805461E-3</v>
      </c>
      <c r="F273" s="5">
        <f>prices!F274/prices!F273-1</f>
        <v>2.1231422505307851E-3</v>
      </c>
      <c r="G273" s="5">
        <f>prices!G274/prices!G273-1</f>
        <v>1.3575454127663367E-3</v>
      </c>
      <c r="H273" s="5">
        <f>prices!H274/prices!H273-1</f>
        <v>-9.4281615085058945E-3</v>
      </c>
      <c r="I273" s="5">
        <f>prices!I274/prices!I273-1</f>
        <v>8.0782826105698646E-3</v>
      </c>
      <c r="J273" s="5">
        <f>prices!J274/prices!J273-1</f>
        <v>7.7057127990816099E-3</v>
      </c>
      <c r="K273" s="8">
        <f>SUMPRODUCT(B273:I273,weights!$B$5:$I$5)</f>
        <v>4.1830404563513498E-3</v>
      </c>
      <c r="L273" s="4">
        <f t="shared" si="8"/>
        <v>105.89117616854199</v>
      </c>
      <c r="M273" s="4">
        <f>L273/MAX(L$2:L273)-1</f>
        <v>-4.6462509358941362E-2</v>
      </c>
      <c r="N273" s="4">
        <f t="shared" si="7"/>
        <v>-4.3039965412696057E-2</v>
      </c>
    </row>
    <row r="274" spans="1:14">
      <c r="A274" s="3">
        <f>prices!A275</f>
        <v>43874</v>
      </c>
      <c r="B274" s="5">
        <f>prices!B275/prices!B274-1</f>
        <v>2.6118035190614286E-3</v>
      </c>
      <c r="C274" s="5">
        <f>prices!C275/prices!C274-1</f>
        <v>9.7664220073669927E-3</v>
      </c>
      <c r="D274" s="5">
        <f>prices!D275/prices!D274-1</f>
        <v>-6.0836240526559449E-3</v>
      </c>
      <c r="E274" s="5">
        <f>prices!E275/prices!E274-1</f>
        <v>1.4339645618949071E-2</v>
      </c>
      <c r="F274" s="5">
        <f>prices!F275/prices!F274-1</f>
        <v>-5.429025423728806E-3</v>
      </c>
      <c r="G274" s="5">
        <f>prices!G275/prices!G274-1</f>
        <v>-5.4303683954671778E-3</v>
      </c>
      <c r="H274" s="5">
        <f>prices!H275/prices!H274-1</f>
        <v>1.0500724187874955E-2</v>
      </c>
      <c r="I274" s="5">
        <f>prices!I275/prices!I274-1</f>
        <v>-3.8913168045019431E-3</v>
      </c>
      <c r="J274" s="5">
        <f>prices!J275/prices!J274-1</f>
        <v>-2.1760154738879045E-3</v>
      </c>
      <c r="K274" s="8">
        <f>SUMPRODUCT(B274:I274,weights!$B$5:$I$5)</f>
        <v>1.2606954377307202E-3</v>
      </c>
      <c r="L274" s="4">
        <f t="shared" si="8"/>
        <v>106.02467269123362</v>
      </c>
      <c r="M274" s="4">
        <f>L274/MAX(L$2:L274)-1</f>
        <v>-4.5260388994784906E-2</v>
      </c>
      <c r="N274" s="4">
        <f t="shared" si="7"/>
        <v>-4.1874167900023074E-2</v>
      </c>
    </row>
    <row r="275" spans="1:14">
      <c r="A275" s="3">
        <f>prices!A276</f>
        <v>43875</v>
      </c>
      <c r="B275" s="5">
        <f>prices!B276/prices!B275-1</f>
        <v>9.1251161586156648E-3</v>
      </c>
      <c r="C275" s="5">
        <f>prices!C276/prices!C275-1</f>
        <v>-3.5347112959890348E-3</v>
      </c>
      <c r="D275" s="5">
        <f>prices!D276/prices!D275-1</f>
        <v>-1.7774703899023025E-2</v>
      </c>
      <c r="E275" s="5">
        <f>prices!E276/prices!E275-1</f>
        <v>-7.3235885583936566E-3</v>
      </c>
      <c r="F275" s="5">
        <f>prices!F276/prices!F275-1</f>
        <v>-1.9771002529623161E-2</v>
      </c>
      <c r="G275" s="5">
        <f>prices!G276/prices!G275-1</f>
        <v>-1.3026932750850539E-2</v>
      </c>
      <c r="H275" s="5">
        <f>prices!H276/prices!H275-1</f>
        <v>-9.7261325825437339E-4</v>
      </c>
      <c r="I275" s="5">
        <f>prices!I276/prices!I275-1</f>
        <v>2.2408819287038639E-3</v>
      </c>
      <c r="J275" s="5">
        <f>prices!J276/prices!J275-1</f>
        <v>-5.0268385538803084E-3</v>
      </c>
      <c r="K275" s="8">
        <f>SUMPRODUCT(B275:I275,weights!$B$5:$I$5)</f>
        <v>-4.9816708666544926E-3</v>
      </c>
      <c r="L275" s="4">
        <f t="shared" si="8"/>
        <v>105.49649266814113</v>
      </c>
      <c r="M275" s="4">
        <f>L275/MAX(L$2:L275)-1</f>
        <v>-5.0016587500170573E-2</v>
      </c>
      <c r="N275" s="4">
        <f t="shared" si="7"/>
        <v>-4.9655262312742532E-2</v>
      </c>
    </row>
    <row r="276" spans="1:14">
      <c r="A276" s="3">
        <f>prices!A277</f>
        <v>43878</v>
      </c>
      <c r="B276" s="5">
        <f>prices!B277/prices!B276-1</f>
        <v>-6.2800036230790113E-3</v>
      </c>
      <c r="C276" s="5">
        <f>prices!C277/prices!C276-1</f>
        <v>8.7221248891484748E-3</v>
      </c>
      <c r="D276" s="5">
        <f>prices!D277/prices!D276-1</f>
        <v>-1.7955533649023359E-3</v>
      </c>
      <c r="E276" s="5">
        <f>prices!E277/prices!E276-1</f>
        <v>3.8097541801469514E-3</v>
      </c>
      <c r="F276" s="5">
        <f>prices!F277/prices!F276-1</f>
        <v>-1.3989813242784366E-2</v>
      </c>
      <c r="G276" s="5">
        <f>prices!G277/prices!G276-1</f>
        <v>-1.0196752726439051E-3</v>
      </c>
      <c r="H276" s="5">
        <f>prices!H277/prices!H276-1</f>
        <v>-1.7191022750563612E-2</v>
      </c>
      <c r="I276" s="5">
        <f>prices!I277/prices!I276-1</f>
        <v>-1.1539153452751139E-2</v>
      </c>
      <c r="J276" s="5">
        <f>prices!J277/prices!J276-1</f>
        <v>-5.5847013030970727E-3</v>
      </c>
      <c r="K276" s="8">
        <f>SUMPRODUCT(B276:I276,weights!$B$5:$I$5)</f>
        <v>-6.0782784751440312E-3</v>
      </c>
      <c r="L276" s="4">
        <f t="shared" si="8"/>
        <v>104.85525560755318</v>
      </c>
      <c r="M276" s="4">
        <f>L276/MAX(L$2:L276)-1</f>
        <v>-5.5790851228112226E-2</v>
      </c>
      <c r="N276" s="4">
        <f t="shared" si="7"/>
        <v>-4.6692967933313234E-2</v>
      </c>
    </row>
    <row r="277" spans="1:14">
      <c r="A277" s="3">
        <f>prices!A278</f>
        <v>43879</v>
      </c>
      <c r="B277" s="5">
        <f>prices!B278/prices!B277-1</f>
        <v>-7.3527177710935865E-3</v>
      </c>
      <c r="C277" s="5">
        <f>prices!C278/prices!C277-1</f>
        <v>5.6769144174326769E-3</v>
      </c>
      <c r="D277" s="5">
        <f>prices!D278/prices!D277-1</f>
        <v>-3.2095935102723905E-3</v>
      </c>
      <c r="E277" s="5">
        <f>prices!E278/prices!E277-1</f>
        <v>1.0391879273472071E-2</v>
      </c>
      <c r="F277" s="5">
        <f>prices!F278/prices!F277-1</f>
        <v>-4.6146428817410712E-3</v>
      </c>
      <c r="G277" s="5">
        <f>prices!G278/prices!G277-1</f>
        <v>-1.8192762922911943E-2</v>
      </c>
      <c r="H277" s="5">
        <f>prices!H278/prices!H277-1</f>
        <v>5.9956726884058398E-4</v>
      </c>
      <c r="I277" s="5">
        <f>prices!I278/prices!I277-1</f>
        <v>4.801275718024911E-3</v>
      </c>
      <c r="J277" s="5">
        <f>prices!J278/prices!J277-1</f>
        <v>-4.4247787610618428E-3</v>
      </c>
      <c r="K277" s="8">
        <f>SUMPRODUCT(B277:I277,weights!$B$5:$I$5)</f>
        <v>-2.6812655387449718E-3</v>
      </c>
      <c r="L277" s="4">
        <f t="shared" si="8"/>
        <v>104.57411082413635</v>
      </c>
      <c r="M277" s="4">
        <f>L277/MAX(L$2:L277)-1</f>
        <v>-5.8322526680081976E-2</v>
      </c>
      <c r="N277" s="4">
        <f t="shared" si="7"/>
        <v>-4.1646235755948946E-2</v>
      </c>
    </row>
    <row r="278" spans="1:14">
      <c r="A278" s="3">
        <f>prices!A279</f>
        <v>43880</v>
      </c>
      <c r="B278" s="5">
        <f>prices!B279/prices!B278-1</f>
        <v>2.4807933641455726E-2</v>
      </c>
      <c r="C278" s="5">
        <f>prices!C279/prices!C278-1</f>
        <v>-8.7578090019403421E-3</v>
      </c>
      <c r="D278" s="5">
        <f>prices!D279/prices!D278-1</f>
        <v>1.1499743467261014E-2</v>
      </c>
      <c r="E278" s="5">
        <f>prices!E279/prices!E278-1</f>
        <v>3.5028619127117633E-3</v>
      </c>
      <c r="F278" s="5">
        <f>prices!F279/prices!F278-1</f>
        <v>1.3977304179352279E-2</v>
      </c>
      <c r="G278" s="5">
        <f>prices!G279/prices!G278-1</f>
        <v>-3.6128311957939196E-3</v>
      </c>
      <c r="H278" s="5">
        <f>prices!H279/prices!H278-1</f>
        <v>-1.2479157982492661E-2</v>
      </c>
      <c r="I278" s="5">
        <f>prices!I279/prices!I278-1</f>
        <v>-3.8468173193031419E-3</v>
      </c>
      <c r="J278" s="5">
        <f>prices!J279/prices!J278-1</f>
        <v>1.1123618928496892E-2</v>
      </c>
      <c r="K278" s="8">
        <f>SUMPRODUCT(B278:I278,weights!$B$5:$I$5)</f>
        <v>1.3672719895445693E-3</v>
      </c>
      <c r="L278" s="4">
        <f t="shared" si="8"/>
        <v>104.71709207669772</v>
      </c>
      <c r="M278" s="4">
        <f>L278/MAX(L$2:L278)-1</f>
        <v>-5.7034997447626523E-2</v>
      </c>
      <c r="N278" s="4">
        <f t="shared" si="7"/>
        <v>-3.6347609212013299E-2</v>
      </c>
    </row>
    <row r="279" spans="1:14">
      <c r="A279" s="3">
        <f>prices!A280</f>
        <v>43881</v>
      </c>
      <c r="B279" s="5">
        <f>prices!B280/prices!B279-1</f>
        <v>-1.187222794677667E-2</v>
      </c>
      <c r="C279" s="5">
        <f>prices!C280/prices!C279-1</f>
        <v>-1.8009152456697874E-2</v>
      </c>
      <c r="D279" s="5">
        <f>prices!D280/prices!D279-1</f>
        <v>-8.2206635999511057E-3</v>
      </c>
      <c r="E279" s="5">
        <f>prices!E280/prices!E279-1</f>
        <v>-4.3075917591313129E-3</v>
      </c>
      <c r="F279" s="5">
        <f>prices!F280/prices!F279-1</f>
        <v>3.6167599290295449E-3</v>
      </c>
      <c r="G279" s="5">
        <f>prices!G280/prices!G279-1</f>
        <v>1.4793295175041798E-4</v>
      </c>
      <c r="H279" s="5">
        <f>prices!H280/prices!H279-1</f>
        <v>3.4823901859912798E-3</v>
      </c>
      <c r="I279" s="5">
        <f>prices!I280/prices!I279-1</f>
        <v>-6.2340900826018952E-4</v>
      </c>
      <c r="J279" s="5">
        <f>prices!J280/prices!J279-1</f>
        <v>-3.7151881509825957E-3</v>
      </c>
      <c r="K279" s="8">
        <f>SUMPRODUCT(B279:I279,weights!$B$5:$I$5)</f>
        <v>-3.3348198810985033E-3</v>
      </c>
      <c r="L279" s="4">
        <f t="shared" si="8"/>
        <v>104.36787943614952</v>
      </c>
      <c r="M279" s="4">
        <f>L279/MAX(L$2:L279)-1</f>
        <v>-6.0179615885318394E-2</v>
      </c>
      <c r="N279" s="4">
        <f t="shared" ref="N279:N342" si="9">L279/L259-1</f>
        <v>-4.725818400727666E-2</v>
      </c>
    </row>
    <row r="280" spans="1:14">
      <c r="A280" s="3">
        <f>prices!A281</f>
        <v>43885</v>
      </c>
      <c r="B280" s="5">
        <f>prices!B281/prices!B280-1</f>
        <v>-2.7581308185225528E-2</v>
      </c>
      <c r="C280" s="5">
        <f>prices!C281/prices!C280-1</f>
        <v>-1.9215604670010711E-2</v>
      </c>
      <c r="D280" s="5">
        <f>prices!D281/prices!D280-1</f>
        <v>-5.8903408990704786E-3</v>
      </c>
      <c r="E280" s="5">
        <f>prices!E281/prices!E280-1</f>
        <v>-1.4470484686647245E-3</v>
      </c>
      <c r="F280" s="5">
        <f>prices!F281/prices!F280-1</f>
        <v>-2.1486367036105181E-2</v>
      </c>
      <c r="G280" s="5">
        <f>prices!G281/prices!G280-1</f>
        <v>-4.2499256510840855E-2</v>
      </c>
      <c r="H280" s="5">
        <f>prices!H281/prices!H280-1</f>
        <v>-1.7535557483502995E-2</v>
      </c>
      <c r="I280" s="5">
        <f>prices!I281/prices!I280-1</f>
        <v>-1.6322711441492888E-2</v>
      </c>
      <c r="J280" s="5">
        <f>prices!J281/prices!J280-1</f>
        <v>-2.0813932794463974E-2</v>
      </c>
      <c r="K280" s="8">
        <f>SUMPRODUCT(B280:I280,weights!$B$5:$I$5)</f>
        <v>-2.1676072430901534E-2</v>
      </c>
      <c r="L280" s="4">
        <f t="shared" si="8"/>
        <v>102.10559372203194</v>
      </c>
      <c r="M280" s="4">
        <f>L280/MAX(L$2:L280)-1</f>
        <v>-8.055123060342595E-2</v>
      </c>
      <c r="N280" s="4">
        <f t="shared" si="9"/>
        <v>-6.9712287714694621E-2</v>
      </c>
    </row>
    <row r="281" spans="1:14">
      <c r="A281" s="3">
        <f>prices!A282</f>
        <v>43886</v>
      </c>
      <c r="B281" s="5">
        <f>prices!B282/prices!B281-1</f>
        <v>-1.9769050246335906E-2</v>
      </c>
      <c r="C281" s="5">
        <f>prices!C282/prices!C281-1</f>
        <v>1.9284992434520865E-2</v>
      </c>
      <c r="D281" s="5">
        <f>prices!D282/prices!D281-1</f>
        <v>-7.9653710372722397E-3</v>
      </c>
      <c r="E281" s="5">
        <f>prices!E282/prices!E281-1</f>
        <v>3.212023425361421E-3</v>
      </c>
      <c r="F281" s="5">
        <f>prices!F282/prices!F281-1</f>
        <v>-5.9064693211033914E-3</v>
      </c>
      <c r="G281" s="5">
        <f>prices!G282/prices!G281-1</f>
        <v>-8.6325898755644781E-3</v>
      </c>
      <c r="H281" s="5">
        <f>prices!H282/prices!H281-1</f>
        <v>-2.2504682900722384E-2</v>
      </c>
      <c r="I281" s="5">
        <f>prices!I282/prices!I281-1</f>
        <v>-1.4004121967975514E-2</v>
      </c>
      <c r="J281" s="5">
        <f>prices!J282/prices!J281-1</f>
        <v>-2.6628569496339738E-3</v>
      </c>
      <c r="K281" s="8">
        <f>SUMPRODUCT(B281:I281,weights!$B$5:$I$5)</f>
        <v>-9.4683487187796726E-3</v>
      </c>
      <c r="L281" s="4">
        <f t="shared" si="8"/>
        <v>101.1388223545337</v>
      </c>
      <c r="M281" s="4">
        <f>L281/MAX(L$2:L281)-1</f>
        <v>-8.9256892181125536E-2</v>
      </c>
      <c r="N281" s="4">
        <f t="shared" si="9"/>
        <v>-7.2750561762394805E-2</v>
      </c>
    </row>
    <row r="282" spans="1:14">
      <c r="A282" s="3">
        <f>prices!A283</f>
        <v>43887</v>
      </c>
      <c r="B282" s="5">
        <f>prices!B283/prices!B282-1</f>
        <v>-1.7218690047724028E-2</v>
      </c>
      <c r="C282" s="5">
        <f>prices!C283/prices!C282-1</f>
        <v>-1.5096654743450011E-2</v>
      </c>
      <c r="D282" s="5">
        <f>prices!D283/prices!D282-1</f>
        <v>-8.7625178826900019E-4</v>
      </c>
      <c r="E282" s="5">
        <f>prices!E283/prices!E282-1</f>
        <v>-1.9597623266965458E-2</v>
      </c>
      <c r="F282" s="5">
        <f>prices!F283/prices!F282-1</f>
        <v>-1.5867468195162937E-2</v>
      </c>
      <c r="G282" s="5">
        <f>prices!G283/prices!G282-1</f>
        <v>-2.8014686989747295E-2</v>
      </c>
      <c r="H282" s="5">
        <f>prices!H283/prices!H282-1</f>
        <v>-3.6518930165074459E-2</v>
      </c>
      <c r="I282" s="5">
        <f>prices!I283/prices!I282-1</f>
        <v>-2.4877621752956602E-2</v>
      </c>
      <c r="J282" s="5">
        <f>prices!J283/prices!J282-1</f>
        <v>-1.0120445163969816E-2</v>
      </c>
      <c r="K282" s="8">
        <f>SUMPRODUCT(B282:I282,weights!$B$5:$I$5)</f>
        <v>-2.2424334821166871E-2</v>
      </c>
      <c r="L282" s="4">
        <f t="shared" si="8"/>
        <v>98.870851538637112</v>
      </c>
      <c r="M282" s="4">
        <f>L282/MAX(L$2:L282)-1</f>
        <v>-0.10967970056692611</v>
      </c>
      <c r="N282" s="4">
        <f t="shared" si="9"/>
        <v>-8.8053154514046272E-2</v>
      </c>
    </row>
    <row r="283" spans="1:14">
      <c r="A283" s="3">
        <f>prices!A284</f>
        <v>43888</v>
      </c>
      <c r="B283" s="5">
        <f>prices!B284/prices!B283-1</f>
        <v>-4.1300314592240817E-3</v>
      </c>
      <c r="C283" s="5">
        <f>prices!C284/prices!C283-1</f>
        <v>-8.520531031529277E-3</v>
      </c>
      <c r="D283" s="5">
        <f>prices!D284/prices!D283-1</f>
        <v>1.6108535734082885E-4</v>
      </c>
      <c r="E283" s="5">
        <f>prices!E284/prices!E283-1</f>
        <v>-6.2732589048378751E-3</v>
      </c>
      <c r="F283" s="5">
        <f>prices!F284/prices!F283-1</f>
        <v>-5.2560551175507841E-3</v>
      </c>
      <c r="G283" s="5">
        <f>prices!G284/prices!G283-1</f>
        <v>8.8137732261170942E-3</v>
      </c>
      <c r="H283" s="5">
        <f>prices!H284/prices!H283-1</f>
        <v>3.6851825543401162E-2</v>
      </c>
      <c r="I283" s="5">
        <f>prices!I284/prices!I283-1</f>
        <v>-6.6872475106038998E-4</v>
      </c>
      <c r="J283" s="5">
        <f>prices!J284/prices!J283-1</f>
        <v>-3.8703600633643864E-3</v>
      </c>
      <c r="K283" s="8">
        <f>SUMPRODUCT(B283:I283,weights!$B$5:$I$5)</f>
        <v>4.906940296928417E-3</v>
      </c>
      <c r="L283" s="4">
        <f t="shared" si="8"/>
        <v>99.356004904243676</v>
      </c>
      <c r="M283" s="4">
        <f>L283/MAX(L$2:L283)-1</f>
        <v>-0.10531095201246465</v>
      </c>
      <c r="N283" s="4">
        <f t="shared" si="9"/>
        <v>-8.8982413642157976E-2</v>
      </c>
    </row>
    <row r="284" spans="1:14">
      <c r="A284" s="3">
        <f>prices!A285</f>
        <v>43889</v>
      </c>
      <c r="B284" s="5">
        <f>prices!B285/prices!B284-1</f>
        <v>-4.155259278459067E-2</v>
      </c>
      <c r="C284" s="5">
        <f>prices!C285/prices!C284-1</f>
        <v>-5.0036742226635011E-2</v>
      </c>
      <c r="D284" s="5">
        <f>prices!D285/prices!D284-1</f>
        <v>-1.8163922691481704E-2</v>
      </c>
      <c r="E284" s="5">
        <f>prices!E285/prices!E284-1</f>
        <v>-5.9322552046712218E-2</v>
      </c>
      <c r="F284" s="5">
        <f>prices!F285/prices!F284-1</f>
        <v>0</v>
      </c>
      <c r="G284" s="5">
        <f>prices!G285/prices!G284-1</f>
        <v>-1.0650473438901242E-3</v>
      </c>
      <c r="H284" s="5">
        <f>prices!H285/prices!H284-1</f>
        <v>-4.0173188644086477E-2</v>
      </c>
      <c r="I284" s="5">
        <f>prices!I285/prices!I284-1</f>
        <v>-1.8837656980475015E-2</v>
      </c>
      <c r="J284" s="5">
        <f>prices!J285/prices!J284-1</f>
        <v>-3.709609483121723E-2</v>
      </c>
      <c r="K284" s="8">
        <f>SUMPRODUCT(B284:I284,weights!$B$5:$I$5)</f>
        <v>-2.6037564463347963E-2</v>
      </c>
      <c r="L284" s="4">
        <f t="shared" si="8"/>
        <v>96.769016521728716</v>
      </c>
      <c r="M284" s="4">
        <f>L284/MAX(L$2:L284)-1</f>
        <v>-0.12860647577409146</v>
      </c>
      <c r="N284" s="4">
        <f t="shared" si="9"/>
        <v>-0.10553852144090414</v>
      </c>
    </row>
    <row r="285" spans="1:14">
      <c r="A285" s="3">
        <f>prices!A286</f>
        <v>43892</v>
      </c>
      <c r="B285" s="5">
        <f>prices!B286/prices!B285-1</f>
        <v>-9.4145088229327101E-3</v>
      </c>
      <c r="C285" s="5">
        <f>prices!C286/prices!C285-1</f>
        <v>5.7278165209129206E-4</v>
      </c>
      <c r="D285" s="5">
        <f>prices!D286/prices!D285-1</f>
        <v>1.6403900483004108E-3</v>
      </c>
      <c r="E285" s="5">
        <f>prices!E286/prices!E285-1</f>
        <v>1.2771973156107341E-2</v>
      </c>
      <c r="F285" s="5">
        <f>prices!F286/prices!F285-1</f>
        <v>-1.1424491253124058E-2</v>
      </c>
      <c r="G285" s="5">
        <f>prices!G286/prices!G285-1</f>
        <v>3.2662427884555534E-4</v>
      </c>
      <c r="H285" s="5">
        <f>prices!H286/prices!H285-1</f>
        <v>-9.1075201279049445E-3</v>
      </c>
      <c r="I285" s="5">
        <f>prices!I286/prices!I285-1</f>
        <v>-2.2441257532582748E-2</v>
      </c>
      <c r="J285" s="5">
        <f>prices!J286/prices!J285-1</f>
        <v>-6.1597518244916882E-3</v>
      </c>
      <c r="K285" s="8">
        <f>SUMPRODUCT(B285:I285,weights!$B$5:$I$5)</f>
        <v>-6.6297283664857798E-3</v>
      </c>
      <c r="L285" s="4">
        <f t="shared" si="8"/>
        <v>96.127464227897676</v>
      </c>
      <c r="M285" s="4">
        <f>L285/MAX(L$2:L285)-1</f>
        <v>-0.134383578140024</v>
      </c>
      <c r="N285" s="4">
        <f t="shared" si="9"/>
        <v>-0.10149030775221413</v>
      </c>
    </row>
    <row r="286" spans="1:14">
      <c r="A286" s="3">
        <f>prices!A287</f>
        <v>43893</v>
      </c>
      <c r="B286" s="5">
        <f>prices!B287/prices!B286-1</f>
        <v>2.0287678946200982E-2</v>
      </c>
      <c r="C286" s="5">
        <f>prices!C287/prices!C286-1</f>
        <v>1.7439184164866672E-2</v>
      </c>
      <c r="D286" s="5">
        <f>prices!D287/prices!D286-1</f>
        <v>1.8742607588027038E-3</v>
      </c>
      <c r="E286" s="5">
        <f>prices!E287/prices!E286-1</f>
        <v>8.0382498756557119E-3</v>
      </c>
      <c r="F286" s="5">
        <f>prices!F287/prices!F286-1</f>
        <v>-7.3672806067170971E-3</v>
      </c>
      <c r="G286" s="5">
        <f>prices!G287/prices!G286-1</f>
        <v>1.6053501520929325E-2</v>
      </c>
      <c r="H286" s="5">
        <f>prices!H287/prices!H286-1</f>
        <v>6.5087734462788482E-2</v>
      </c>
      <c r="I286" s="5">
        <f>prices!I287/prices!I286-1</f>
        <v>1.757571703000016E-2</v>
      </c>
      <c r="J286" s="5">
        <f>prices!J287/prices!J286-1</f>
        <v>1.5319664952504919E-2</v>
      </c>
      <c r="K286" s="8">
        <f>SUMPRODUCT(B286:I286,weights!$B$5:$I$5)</f>
        <v>2.0717868366768595E-2</v>
      </c>
      <c r="L286" s="4">
        <f t="shared" si="8"/>
        <v>98.119020378202521</v>
      </c>
      <c r="M286" s="4">
        <f>L286/MAX(L$2:L286)-1</f>
        <v>-0.11644985105581585</v>
      </c>
      <c r="N286" s="4">
        <f t="shared" si="9"/>
        <v>-5.5394489475986908E-2</v>
      </c>
    </row>
    <row r="287" spans="1:14">
      <c r="A287" s="3">
        <f>prices!A288</f>
        <v>43894</v>
      </c>
      <c r="B287" s="5">
        <f>prices!B288/prices!B287-1</f>
        <v>-2.3412937320224092E-3</v>
      </c>
      <c r="C287" s="5">
        <f>prices!C288/prices!C287-1</f>
        <v>2.3085712959901583E-2</v>
      </c>
      <c r="D287" s="5">
        <f>prices!D288/prices!D287-1</f>
        <v>-2.787969050819139E-2</v>
      </c>
      <c r="E287" s="5">
        <f>prices!E288/prices!E287-1</f>
        <v>1.5725472719169797E-2</v>
      </c>
      <c r="F287" s="5">
        <f>prices!F288/prices!F287-1</f>
        <v>-3.2816706687040842E-2</v>
      </c>
      <c r="G287" s="5">
        <f>prices!G288/prices!G287-1</f>
        <v>-2.6641135578409081E-4</v>
      </c>
      <c r="H287" s="5">
        <f>prices!H288/prices!H287-1</f>
        <v>3.0244008007358048E-2</v>
      </c>
      <c r="I287" s="5">
        <f>prices!I288/prices!I287-1</f>
        <v>-3.9353069351567571E-3</v>
      </c>
      <c r="J287" s="5">
        <f>prices!J288/prices!J287-1</f>
        <v>-4.626967345819244E-3</v>
      </c>
      <c r="K287" s="8">
        <f>SUMPRODUCT(B287:I287,weights!$B$5:$I$5)</f>
        <v>1.9793539581577165E-3</v>
      </c>
      <c r="L287" s="4">
        <f t="shared" si="8"/>
        <v>98.313232649558671</v>
      </c>
      <c r="M287" s="4">
        <f>L287/MAX(L$2:L287)-1</f>
        <v>-0.11470099257127231</v>
      </c>
      <c r="N287" s="4">
        <f t="shared" si="9"/>
        <v>-7.2733524884555201E-2</v>
      </c>
    </row>
    <row r="288" spans="1:14">
      <c r="A288" s="3">
        <f>prices!A289</f>
        <v>43895</v>
      </c>
      <c r="B288" s="5">
        <f>prices!B289/prices!B288-1</f>
        <v>-2.1305484779401751E-2</v>
      </c>
      <c r="C288" s="5">
        <f>prices!C289/prices!C288-1</f>
        <v>2.0087197600648699E-2</v>
      </c>
      <c r="D288" s="5">
        <f>prices!D289/prices!D288-1</f>
        <v>2.1672925658127173E-3</v>
      </c>
      <c r="E288" s="5">
        <f>prices!E289/prices!E288-1</f>
        <v>-5.4688479378212085E-3</v>
      </c>
      <c r="F288" s="5">
        <f>prices!F289/prices!F288-1</f>
        <v>2.9340956966596998E-3</v>
      </c>
      <c r="G288" s="5">
        <f>prices!G289/prices!G288-1</f>
        <v>-2.8813404062189019E-3</v>
      </c>
      <c r="H288" s="5">
        <f>prices!H289/prices!H288-1</f>
        <v>-1.3654027938241331E-3</v>
      </c>
      <c r="I288" s="5">
        <f>prices!I289/prices!I288-1</f>
        <v>4.9314965158930857E-3</v>
      </c>
      <c r="J288" s="5">
        <f>prices!J289/prices!J288-1</f>
        <v>1.5998577904186018E-3</v>
      </c>
      <c r="K288" s="8">
        <f>SUMPRODUCT(B288:I288,weights!$B$5:$I$5)</f>
        <v>-8.0020589249023711E-4</v>
      </c>
      <c r="L288" s="4">
        <f t="shared" si="8"/>
        <v>98.234561821482728</v>
      </c>
      <c r="M288" s="4">
        <f>L288/MAX(L$2:L288)-1</f>
        <v>-0.11540941405363259</v>
      </c>
      <c r="N288" s="4">
        <f t="shared" si="9"/>
        <v>-7.6395857098804476E-2</v>
      </c>
    </row>
    <row r="289" spans="1:14">
      <c r="A289" s="3">
        <f>prices!A290</f>
        <v>43896</v>
      </c>
      <c r="B289" s="5">
        <f>prices!B290/prices!B289-1</f>
        <v>-3.0624304187719442E-2</v>
      </c>
      <c r="C289" s="5">
        <f>prices!C290/prices!C289-1</f>
        <v>-4.0461528200795849E-3</v>
      </c>
      <c r="D289" s="5">
        <f>prices!D290/prices!D289-1</f>
        <v>-1.428065400175238E-2</v>
      </c>
      <c r="E289" s="5">
        <f>prices!E290/prices!E289-1</f>
        <v>-2.073518521436335E-2</v>
      </c>
      <c r="F289" s="5">
        <f>prices!F290/prices!F289-1</f>
        <v>-3.3455854774585569E-2</v>
      </c>
      <c r="G289" s="5">
        <f>prices!G290/prices!G289-1</f>
        <v>1.2565873539507333E-2</v>
      </c>
      <c r="H289" s="5">
        <f>prices!H290/prices!H289-1</f>
        <v>-9.886411442995402E-3</v>
      </c>
      <c r="I289" s="5">
        <f>prices!I290/prices!I289-1</f>
        <v>-1.9920057048491202E-2</v>
      </c>
      <c r="J289" s="5">
        <f>prices!J290/prices!J289-1</f>
        <v>-2.4806992634661351E-2</v>
      </c>
      <c r="K289" s="8">
        <f>SUMPRODUCT(B289:I289,weights!$B$5:$I$5)</f>
        <v>-1.2842707084530662E-2</v>
      </c>
      <c r="L289" s="4">
        <f t="shared" si="8"/>
        <v>96.972964118432216</v>
      </c>
      <c r="M289" s="4">
        <f>L289/MAX(L$2:L289)-1</f>
        <v>-0.12676995183867501</v>
      </c>
      <c r="N289" s="4">
        <f t="shared" si="9"/>
        <v>-8.7704222535218368E-2</v>
      </c>
    </row>
    <row r="290" spans="1:14">
      <c r="A290" s="3">
        <f>prices!A291</f>
        <v>43899</v>
      </c>
      <c r="B290" s="5">
        <f>prices!B291/prices!B290-1</f>
        <v>-0.12341643550011483</v>
      </c>
      <c r="C290" s="5">
        <f>prices!C291/prices!C290-1</f>
        <v>-6.808745730931498E-2</v>
      </c>
      <c r="D290" s="5">
        <f>prices!D291/prices!D290-1</f>
        <v>-2.4322432999829835E-2</v>
      </c>
      <c r="E290" s="5">
        <f>prices!E291/prices!E290-1</f>
        <v>-4.6692732216698007E-2</v>
      </c>
      <c r="F290" s="5">
        <f>prices!F291/prices!F290-1</f>
        <v>-2.5067908420644103E-2</v>
      </c>
      <c r="G290" s="5">
        <f>prices!G291/prices!G290-1</f>
        <v>-3.7985311972128288E-2</v>
      </c>
      <c r="H290" s="5">
        <f>prices!H291/prices!H290-1</f>
        <v>-1.8828340769067253E-2</v>
      </c>
      <c r="I290" s="5">
        <f>prices!I291/prices!I290-1</f>
        <v>-4.9141719242147164E-2</v>
      </c>
      <c r="J290" s="5">
        <f>prices!J291/prices!J290-1</f>
        <v>-4.8956044206033944E-2</v>
      </c>
      <c r="K290" s="8">
        <f>SUMPRODUCT(B290:I290,weights!$B$5:$I$5)</f>
        <v>-4.9452512461205675E-2</v>
      </c>
      <c r="L290" s="4">
        <f t="shared" si="8"/>
        <v>92.177407401965397</v>
      </c>
      <c r="M290" s="4">
        <f>L290/MAX(L$2:L290)-1</f>
        <v>-0.16995337167687219</v>
      </c>
      <c r="N290" s="4">
        <f t="shared" si="9"/>
        <v>-0.12834347851013417</v>
      </c>
    </row>
    <row r="291" spans="1:14">
      <c r="A291" s="3">
        <f>prices!A292</f>
        <v>43901</v>
      </c>
      <c r="B291" s="5">
        <f>prices!B292/prices!B291-1</f>
        <v>3.5374506167862529E-2</v>
      </c>
      <c r="C291" s="5">
        <f>prices!C292/prices!C291-1</f>
        <v>-9.4553729153566968E-3</v>
      </c>
      <c r="D291" s="5">
        <f>prices!D292/prices!D291-1</f>
        <v>5.8735727993486364E-3</v>
      </c>
      <c r="E291" s="5">
        <f>prices!E292/prices!E291-1</f>
        <v>-2.6194534928859481E-2</v>
      </c>
      <c r="F291" s="5">
        <f>prices!F292/prices!F291-1</f>
        <v>-8.7565674255692949E-3</v>
      </c>
      <c r="G291" s="5">
        <f>prices!G292/prices!G291-1</f>
        <v>-8.8360217496799009E-3</v>
      </c>
      <c r="H291" s="5">
        <f>prices!H292/prices!H291-1</f>
        <v>-1.8810728881912042E-2</v>
      </c>
      <c r="I291" s="5">
        <f>prices!I292/prices!I291-1</f>
        <v>1.3612565445026092E-2</v>
      </c>
      <c r="J291" s="5">
        <f>prices!J292/prices!J291-1</f>
        <v>6.6497950045207865E-4</v>
      </c>
      <c r="K291" s="8">
        <f>SUMPRODUCT(B291:I291,weights!$B$5:$I$5)</f>
        <v>-7.1628510738007412E-4</v>
      </c>
      <c r="L291" s="4">
        <f t="shared" si="8"/>
        <v>92.111382097806455</v>
      </c>
      <c r="M291" s="4">
        <f>L291/MAX(L$2:L291)-1</f>
        <v>-0.17054792171517108</v>
      </c>
      <c r="N291" s="4">
        <f t="shared" si="9"/>
        <v>-0.12157593675290779</v>
      </c>
    </row>
    <row r="292" spans="1:14">
      <c r="A292" s="3">
        <f>prices!A293</f>
        <v>43902</v>
      </c>
      <c r="B292" s="5">
        <f>prices!B293/prices!B292-1</f>
        <v>-7.8493974730858174E-2</v>
      </c>
      <c r="C292" s="5">
        <f>prices!C293/prices!C292-1</f>
        <v>-9.4102142477148543E-2</v>
      </c>
      <c r="D292" s="5">
        <f>prices!D293/prices!D292-1</f>
        <v>-8.3041048371555126E-2</v>
      </c>
      <c r="E292" s="5">
        <f>prices!E293/prices!E292-1</f>
        <v>-7.988283619598946E-2</v>
      </c>
      <c r="F292" s="5">
        <f>prices!F293/prices!F292-1</f>
        <v>-0.11299389656280112</v>
      </c>
      <c r="G292" s="5">
        <f>prices!G293/prices!G292-1</f>
        <v>-8.1862816334156707E-2</v>
      </c>
      <c r="H292" s="5">
        <f>prices!H293/prices!H292-1</f>
        <v>-8.071278825995809E-2</v>
      </c>
      <c r="I292" s="5">
        <f>prices!I293/prices!I292-1</f>
        <v>-8.9885966306420872E-2</v>
      </c>
      <c r="J292" s="5">
        <f>prices!J293/prices!J292-1</f>
        <v>-8.3019391111451069E-2</v>
      </c>
      <c r="K292" s="8">
        <f>SUMPRODUCT(B292:I292,weights!$B$5:$I$5)</f>
        <v>-8.6438250552846693E-2</v>
      </c>
      <c r="L292" s="4">
        <f t="shared" si="8"/>
        <v>84.149435373267266</v>
      </c>
      <c r="M292" s="4">
        <f>L292/MAX(L$2:L292)-1</f>
        <v>-0.24224430827953458</v>
      </c>
      <c r="N292" s="4">
        <f t="shared" si="9"/>
        <v>-0.20199738143133084</v>
      </c>
    </row>
    <row r="293" spans="1:14">
      <c r="A293" s="3">
        <f>prices!A294</f>
        <v>43903</v>
      </c>
      <c r="B293" s="5">
        <f>prices!B294/prices!B293-1</f>
        <v>3.9780289426428528E-2</v>
      </c>
      <c r="C293" s="5">
        <f>prices!C294/prices!C293-1</f>
        <v>2.0593927260593947E-2</v>
      </c>
      <c r="D293" s="5">
        <f>prices!D294/prices!D293-1</f>
        <v>4.7476934070322052E-2</v>
      </c>
      <c r="E293" s="5">
        <f>prices!E294/prices!E293-1</f>
        <v>1.7668776371307926E-2</v>
      </c>
      <c r="F293" s="5">
        <f>prices!F294/prices!F293-1</f>
        <v>4.1376188320507046E-2</v>
      </c>
      <c r="G293" s="5">
        <f>prices!G294/prices!G293-1</f>
        <v>3.4634799862071297E-2</v>
      </c>
      <c r="H293" s="5">
        <f>prices!H294/prices!H293-1</f>
        <v>8.2878233211306496E-2</v>
      </c>
      <c r="I293" s="5">
        <f>prices!I294/prices!I293-1</f>
        <v>3.4336356591685435E-2</v>
      </c>
      <c r="J293" s="5">
        <f>prices!J294/prices!J293-1</f>
        <v>3.8065098043305046E-2</v>
      </c>
      <c r="K293" s="8">
        <f>SUMPRODUCT(B293:I293,weights!$B$5:$I$5)</f>
        <v>4.1355378191151516E-2</v>
      </c>
      <c r="L293" s="4">
        <f t="shared" si="8"/>
        <v>87.629467097700598</v>
      </c>
      <c r="M293" s="4">
        <f>L293/MAX(L$2:L293)-1</f>
        <v>-0.21090703507193709</v>
      </c>
      <c r="N293" s="4">
        <f t="shared" si="9"/>
        <v>-0.17245732582831164</v>
      </c>
    </row>
    <row r="294" spans="1:14">
      <c r="A294" s="3">
        <f>prices!A295</f>
        <v>43906</v>
      </c>
      <c r="B294" s="5">
        <f>prices!B295/prices!B294-1</f>
        <v>-8.1047584217156299E-2</v>
      </c>
      <c r="C294" s="5">
        <f>prices!C295/prices!C294-1</f>
        <v>-6.0842443898101117E-2</v>
      </c>
      <c r="D294" s="5">
        <f>prices!D295/prices!D294-1</f>
        <v>-6.5710272873194198E-2</v>
      </c>
      <c r="E294" s="5">
        <f>prices!E295/prices!E294-1</f>
        <v>-9.2159330692629382E-2</v>
      </c>
      <c r="F294" s="5">
        <f>prices!F295/prices!F294-1</f>
        <v>-9.2418709789601761E-2</v>
      </c>
      <c r="G294" s="5">
        <f>prices!G295/prices!G294-1</f>
        <v>-6.1376094993534691E-2</v>
      </c>
      <c r="H294" s="5">
        <f>prices!H295/prices!H294-1</f>
        <v>-4.0733761915318079E-2</v>
      </c>
      <c r="I294" s="5">
        <f>prices!I295/prices!I294-1</f>
        <v>-7.8707172176555651E-2</v>
      </c>
      <c r="J294" s="5">
        <f>prices!J295/prices!J294-1</f>
        <v>-7.6121022179363673E-2</v>
      </c>
      <c r="K294" s="8">
        <f>SUMPRODUCT(B294:I294,weights!$B$5:$I$5)</f>
        <v>-6.9660887589630974E-2</v>
      </c>
      <c r="L294" s="4">
        <f t="shared" si="8"/>
        <v>81.525120640668405</v>
      </c>
      <c r="M294" s="4">
        <f>L294/MAX(L$2:L294)-1</f>
        <v>-0.26587595139955955</v>
      </c>
      <c r="N294" s="4">
        <f t="shared" si="9"/>
        <v>-0.23107406444831113</v>
      </c>
    </row>
    <row r="295" spans="1:14">
      <c r="A295" s="3">
        <f>prices!A296</f>
        <v>43907</v>
      </c>
      <c r="B295" s="5">
        <f>prices!B296/prices!B295-1</f>
        <v>-7.5836299719206357E-3</v>
      </c>
      <c r="C295" s="5">
        <f>prices!C296/prices!C295-1</f>
        <v>-2.2634389512013464E-2</v>
      </c>
      <c r="D295" s="5">
        <f>prices!D296/prices!D295-1</f>
        <v>-2.4417480940620684E-2</v>
      </c>
      <c r="E295" s="5">
        <f>prices!E296/prices!E295-1</f>
        <v>-4.8361775439884291E-2</v>
      </c>
      <c r="F295" s="5">
        <f>prices!F296/prices!F295-1</f>
        <v>1.2932273206245792E-2</v>
      </c>
      <c r="G295" s="5">
        <f>prices!G296/prices!G295-1</f>
        <v>2.2573240794816929E-2</v>
      </c>
      <c r="H295" s="5">
        <f>prices!H296/prices!H295-1</f>
        <v>4.3330059506614393E-3</v>
      </c>
      <c r="I295" s="5">
        <f>prices!I296/prices!I295-1</f>
        <v>-1.233535677471076E-2</v>
      </c>
      <c r="J295" s="5">
        <f>prices!J296/prices!J295-1</f>
        <v>-2.5045121447365593E-2</v>
      </c>
      <c r="K295" s="8">
        <f>SUMPRODUCT(B295:I295,weights!$B$5:$I$5)</f>
        <v>-5.1742467173438748E-3</v>
      </c>
      <c r="L295" s="4">
        <f t="shared" si="8"/>
        <v>81.103289552812356</v>
      </c>
      <c r="M295" s="4">
        <f>L295/MAX(L$2:L295)-1</f>
        <v>-0.26967449034815361</v>
      </c>
      <c r="N295" s="4">
        <f t="shared" si="9"/>
        <v>-0.23122288237640409</v>
      </c>
    </row>
    <row r="296" spans="1:14">
      <c r="A296" s="3">
        <f>prices!A297</f>
        <v>43908</v>
      </c>
      <c r="B296" s="5">
        <f>prices!B297/prices!B296-1</f>
        <v>-3.9188165575012368E-2</v>
      </c>
      <c r="C296" s="5">
        <f>prices!C297/prices!C296-1</f>
        <v>-2.1726741701096897E-3</v>
      </c>
      <c r="D296" s="5">
        <f>prices!D297/prices!D296-1</f>
        <v>-0.10070881394734521</v>
      </c>
      <c r="E296" s="5">
        <f>prices!E297/prices!E296-1</f>
        <v>-3.721478307445103E-2</v>
      </c>
      <c r="F296" s="5">
        <f>prices!F297/prices!F296-1</f>
        <v>1.0402874976357168E-2</v>
      </c>
      <c r="G296" s="5">
        <f>prices!G297/prices!G296-1</f>
        <v>-4.4844342656771952E-2</v>
      </c>
      <c r="H296" s="5">
        <f>prices!H297/prices!H296-1</f>
        <v>-1.9989645651173449E-2</v>
      </c>
      <c r="I296" s="5">
        <f>prices!I297/prices!I296-1</f>
        <v>-5.4561478784224238E-2</v>
      </c>
      <c r="J296" s="5">
        <f>prices!J297/prices!J296-1</f>
        <v>-5.5564539062456397E-2</v>
      </c>
      <c r="K296" s="8">
        <f>SUMPRODUCT(B296:I296,weights!$B$5:$I$5)</f>
        <v>-3.7431208389338229E-2</v>
      </c>
      <c r="L296" s="4">
        <f t="shared" si="8"/>
        <v>78.067495420500194</v>
      </c>
      <c r="M296" s="4">
        <f>L296/MAX(L$2:L296)-1</f>
        <v>-0.29701145669198159</v>
      </c>
      <c r="N296" s="4">
        <f t="shared" si="9"/>
        <v>-0.25547370069186448</v>
      </c>
    </row>
    <row r="297" spans="1:14">
      <c r="A297" s="3">
        <f>prices!A298</f>
        <v>43909</v>
      </c>
      <c r="B297" s="5">
        <f>prices!B298/prices!B297-1</f>
        <v>-5.2449741461265575E-2</v>
      </c>
      <c r="C297" s="5">
        <f>prices!C298/prices!C297-1</f>
        <v>-3.6837408531145144E-3</v>
      </c>
      <c r="D297" s="5">
        <f>prices!D298/prices!D297-1</f>
        <v>2.1271387658189145E-2</v>
      </c>
      <c r="E297" s="5">
        <f>prices!E298/prices!E297-1</f>
        <v>2.1051226133784295E-2</v>
      </c>
      <c r="F297" s="5">
        <f>prices!F298/prices!F297-1</f>
        <v>7.3942343691501211E-2</v>
      </c>
      <c r="G297" s="5">
        <f>prices!G298/prices!G297-1</f>
        <v>-9.95949454596744E-2</v>
      </c>
      <c r="H297" s="5">
        <f>prices!H298/prices!H297-1</f>
        <v>-6.486074017550636E-3</v>
      </c>
      <c r="I297" s="5">
        <f>prices!I298/prices!I297-1</f>
        <v>-6.7927583161613181E-2</v>
      </c>
      <c r="J297" s="5">
        <f>prices!J298/prices!J297-1</f>
        <v>-2.4247827319100579E-2</v>
      </c>
      <c r="K297" s="8">
        <f>SUMPRODUCT(B297:I297,weights!$B$5:$I$5)</f>
        <v>-3.1169737693169317E-2</v>
      </c>
      <c r="L297" s="4">
        <f t="shared" si="8"/>
        <v>75.6341520658805</v>
      </c>
      <c r="M297" s="4">
        <f>L297/MAX(L$2:L297)-1</f>
        <v>-0.31892342518819572</v>
      </c>
      <c r="N297" s="4">
        <f t="shared" si="9"/>
        <v>-0.27674114109298587</v>
      </c>
    </row>
    <row r="298" spans="1:14">
      <c r="A298" s="3">
        <f>prices!A299</f>
        <v>43910</v>
      </c>
      <c r="B298" s="5">
        <f>prices!B299/prices!B298-1</f>
        <v>0.10923773400220238</v>
      </c>
      <c r="C298" s="5">
        <f>prices!C299/prices!C298-1</f>
        <v>9.8452984042591396E-2</v>
      </c>
      <c r="D298" s="5">
        <f>prices!D299/prices!D298-1</f>
        <v>-1.4189156799769953E-2</v>
      </c>
      <c r="E298" s="5">
        <f>prices!E299/prices!E298-1</f>
        <v>7.2683288292215265E-2</v>
      </c>
      <c r="F298" s="5">
        <f>prices!F299/prices!F298-1</f>
        <v>8.4364650514206163E-2</v>
      </c>
      <c r="G298" s="5">
        <f>prices!G299/prices!G298-1</f>
        <v>5.3874869278594195E-2</v>
      </c>
      <c r="H298" s="5">
        <f>prices!H299/prices!H298-1</f>
        <v>1.3470400567174856E-2</v>
      </c>
      <c r="I298" s="5">
        <f>prices!I299/prices!I298-1</f>
        <v>2.5621792341097516E-2</v>
      </c>
      <c r="J298" s="5">
        <f>prices!J299/prices!J298-1</f>
        <v>5.8329148237116435E-2</v>
      </c>
      <c r="K298" s="8">
        <f>SUMPRODUCT(B298:I298,weights!$B$5:$I$5)</f>
        <v>5.2258324563766965E-2</v>
      </c>
      <c r="L298" s="4">
        <f t="shared" si="8"/>
        <v>79.586666132644581</v>
      </c>
      <c r="M298" s="4">
        <f>L298/MAX(L$2:L298)-1</f>
        <v>-0.28333150448890188</v>
      </c>
      <c r="N298" s="4">
        <f t="shared" si="9"/>
        <v>-0.23998399349789923</v>
      </c>
    </row>
    <row r="299" spans="1:14">
      <c r="A299" s="3">
        <f>prices!A300</f>
        <v>43913</v>
      </c>
      <c r="B299" s="5">
        <f>prices!B300/prices!B299-1</f>
        <v>-0.13154933927507773</v>
      </c>
      <c r="C299" s="5">
        <f>prices!C300/prices!C299-1</f>
        <v>-7.1076784584374386E-2</v>
      </c>
      <c r="D299" s="5">
        <f>prices!D300/prices!D299-1</f>
        <v>-0.12606370046194992</v>
      </c>
      <c r="E299" s="5">
        <f>prices!E300/prices!E299-1</f>
        <v>-0.10038806152095736</v>
      </c>
      <c r="F299" s="5">
        <f>prices!F300/prices!F299-1</f>
        <v>-0.12080051438675454</v>
      </c>
      <c r="G299" s="5">
        <f>prices!G300/prices!G299-1</f>
        <v>-0.16909266380976096</v>
      </c>
      <c r="H299" s="5">
        <f>prices!H300/prices!H299-1</f>
        <v>-0.11157747464148293</v>
      </c>
      <c r="I299" s="5">
        <f>prices!I300/prices!I299-1</f>
        <v>-0.16265701784774877</v>
      </c>
      <c r="J299" s="5">
        <f>prices!J300/prices!J299-1</f>
        <v>-0.12980464127060365</v>
      </c>
      <c r="K299" s="8">
        <f>SUMPRODUCT(B299:I299,weights!$B$5:$I$5)</f>
        <v>-0.13270615204976902</v>
      </c>
      <c r="L299" s="4">
        <f t="shared" si="8"/>
        <v>69.025025915711652</v>
      </c>
      <c r="M299" s="4">
        <f>L299/MAX(L$2:L299)-1</f>
        <v>-0.37843782282347682</v>
      </c>
      <c r="N299" s="4">
        <f t="shared" si="9"/>
        <v>-0.338637267628495</v>
      </c>
    </row>
    <row r="300" spans="1:14">
      <c r="A300" s="3">
        <f>prices!A301</f>
        <v>43914</v>
      </c>
      <c r="B300" s="5">
        <f>prices!B301/prices!B300-1</f>
        <v>6.7139155616521728E-2</v>
      </c>
      <c r="C300" s="5">
        <f>prices!C301/prices!C300-1</f>
        <v>2.003469028040139E-2</v>
      </c>
      <c r="D300" s="5">
        <f>prices!D301/prices!D300-1</f>
        <v>-4.9798302962859031E-3</v>
      </c>
      <c r="E300" s="5">
        <f>prices!E301/prices!E300-1</f>
        <v>0.12033063824020962</v>
      </c>
      <c r="F300" s="5">
        <f>prices!F301/prices!F300-1</f>
        <v>-2.9801627205411907E-2</v>
      </c>
      <c r="G300" s="5">
        <f>prices!G301/prices!G300-1</f>
        <v>6.305082866803402E-2</v>
      </c>
      <c r="H300" s="5">
        <f>prices!H301/prices!H300-1</f>
        <v>3.2841207349081358E-2</v>
      </c>
      <c r="I300" s="5">
        <f>prices!I301/prices!I300-1</f>
        <v>-8.6270303401777548E-3</v>
      </c>
      <c r="J300" s="5">
        <f>prices!J301/prices!J300-1</f>
        <v>2.507144968956343E-2</v>
      </c>
      <c r="K300" s="8">
        <f>SUMPRODUCT(B300:I300,weights!$B$5:$I$5)</f>
        <v>3.3151829218069515E-2</v>
      </c>
      <c r="L300" s="4">
        <f t="shared" si="8"/>
        <v>71.313331786642138</v>
      </c>
      <c r="M300" s="4">
        <f>L300/MAX(L$2:L300)-1</f>
        <v>-0.35783189967730933</v>
      </c>
      <c r="N300" s="4">
        <f t="shared" si="9"/>
        <v>-0.30157272303040894</v>
      </c>
    </row>
    <row r="301" spans="1:14">
      <c r="A301" s="3">
        <f>prices!A302</f>
        <v>43915</v>
      </c>
      <c r="B301" s="5">
        <f>prices!B302/prices!B301-1</f>
        <v>0.14718274655430985</v>
      </c>
      <c r="C301" s="5">
        <f>prices!C302/prices!C301-1</f>
        <v>2.7689045547171887E-2</v>
      </c>
      <c r="D301" s="5">
        <f>prices!D302/prices!D301-1</f>
        <v>0.11597606665548277</v>
      </c>
      <c r="E301" s="5">
        <f>prices!E302/prices!E301-1</f>
        <v>2.7799056565738001E-2</v>
      </c>
      <c r="F301" s="5">
        <f>prices!F302/prices!F301-1</f>
        <v>-1.5735418825968184E-2</v>
      </c>
      <c r="G301" s="5">
        <f>prices!G302/prices!G301-1</f>
        <v>0.1157949123900579</v>
      </c>
      <c r="H301" s="5">
        <f>prices!H302/prices!H301-1</f>
        <v>3.729233505924201E-2</v>
      </c>
      <c r="I301" s="5">
        <f>prices!I302/prices!I301-1</f>
        <v>8.1734856330277994E-2</v>
      </c>
      <c r="J301" s="5">
        <f>prices!J302/prices!J301-1</f>
        <v>6.6247492324751134E-2</v>
      </c>
      <c r="K301" s="8">
        <f>SUMPRODUCT(B301:I301,weights!$B$5:$I$5)</f>
        <v>7.5062669515533448E-2</v>
      </c>
      <c r="L301" s="4">
        <f t="shared" si="8"/>
        <v>76.666300842594438</v>
      </c>
      <c r="M301" s="4">
        <f>L301/MAX(L$2:L301)-1</f>
        <v>-0.30962904778936928</v>
      </c>
      <c r="N301" s="4">
        <f t="shared" si="9"/>
        <v>-0.24196961109704129</v>
      </c>
    </row>
    <row r="302" spans="1:14">
      <c r="A302" s="3">
        <f>prices!A303</f>
        <v>43916</v>
      </c>
      <c r="B302" s="5">
        <f>prices!B303/prices!B302-1</f>
        <v>-1.4836487383798169E-2</v>
      </c>
      <c r="C302" s="5">
        <f>prices!C303/prices!C302-1</f>
        <v>2.3218424684146477E-2</v>
      </c>
      <c r="D302" s="5">
        <f>prices!D303/prices!D302-1</f>
        <v>5.178634063235954E-2</v>
      </c>
      <c r="E302" s="5">
        <f>prices!E303/prices!E302-1</f>
        <v>6.072374227714028E-2</v>
      </c>
      <c r="F302" s="5">
        <f>prices!F303/prices!F302-1</f>
        <v>6.1458931648477932E-2</v>
      </c>
      <c r="G302" s="5">
        <f>prices!G303/prices!G302-1</f>
        <v>-2.5559492251223448E-2</v>
      </c>
      <c r="H302" s="5">
        <f>prices!H303/prices!H302-1</f>
        <v>-2.691777675700513E-2</v>
      </c>
      <c r="I302" s="5">
        <f>prices!I303/prices!I302-1</f>
        <v>9.4348789026219793E-2</v>
      </c>
      <c r="J302" s="5">
        <f>prices!J303/prices!J302-1</f>
        <v>3.890428415996916E-2</v>
      </c>
      <c r="K302" s="8">
        <f>SUMPRODUCT(B302:I302,weights!$B$5:$I$5)</f>
        <v>2.3843682732045506E-2</v>
      </c>
      <c r="L302" s="4">
        <f t="shared" si="8"/>
        <v>78.494307796124801</v>
      </c>
      <c r="M302" s="4">
        <f>L302/MAX(L$2:L302)-1</f>
        <v>-0.29316806183743904</v>
      </c>
      <c r="N302" s="4">
        <f t="shared" si="9"/>
        <v>-0.20609252803440747</v>
      </c>
    </row>
    <row r="303" spans="1:14">
      <c r="A303" s="3">
        <f>prices!A304</f>
        <v>43917</v>
      </c>
      <c r="B303" s="5">
        <f>prices!B304/prices!B303-1</f>
        <v>-5.4763359100196141E-4</v>
      </c>
      <c r="C303" s="5">
        <f>prices!C304/prices!C303-1</f>
        <v>1.873723354108825E-2</v>
      </c>
      <c r="D303" s="5">
        <f>prices!D304/prices!D303-1</f>
        <v>3.7159667468615876E-3</v>
      </c>
      <c r="E303" s="5">
        <f>prices!E304/prices!E303-1</f>
        <v>1.506998761117595E-2</v>
      </c>
      <c r="F303" s="5">
        <f>prices!F304/prices!F303-1</f>
        <v>4.3470418470418437E-2</v>
      </c>
      <c r="G303" s="5">
        <f>prices!G304/prices!G303-1</f>
        <v>-4.7539950866592129E-2</v>
      </c>
      <c r="H303" s="5">
        <f>prices!H304/prices!H303-1</f>
        <v>-1.2588116817713324E-4</v>
      </c>
      <c r="I303" s="5">
        <f>prices!I304/prices!I303-1</f>
        <v>-1.1359481903170376E-3</v>
      </c>
      <c r="J303" s="5">
        <f>prices!J304/prices!J303-1</f>
        <v>2.1755608144464755E-3</v>
      </c>
      <c r="K303" s="8">
        <f>SUMPRODUCT(B303:I303,weights!$B$5:$I$5)</f>
        <v>-2.7200195581767268E-3</v>
      </c>
      <c r="L303" s="4">
        <f t="shared" si="8"/>
        <v>78.280801743713795</v>
      </c>
      <c r="M303" s="4">
        <f>L303/MAX(L$2:L303)-1</f>
        <v>-0.29509065853358518</v>
      </c>
      <c r="N303" s="4">
        <f t="shared" si="9"/>
        <v>-0.21211806151869261</v>
      </c>
    </row>
    <row r="304" spans="1:14">
      <c r="A304" s="3">
        <f>prices!A305</f>
        <v>43920</v>
      </c>
      <c r="B304" s="5">
        <f>prices!B305/prices!B304-1</f>
        <v>-3.3002465701460371E-2</v>
      </c>
      <c r="C304" s="5">
        <f>prices!C305/prices!C304-1</f>
        <v>-2.5211110111435286E-2</v>
      </c>
      <c r="D304" s="5">
        <f>prices!D305/prices!D304-1</f>
        <v>-8.0499323634810271E-2</v>
      </c>
      <c r="E304" s="5">
        <f>prices!E305/prices!E304-1</f>
        <v>-3.982075196735646E-2</v>
      </c>
      <c r="F304" s="5">
        <f>prices!F305/prices!F304-1</f>
        <v>-2.4546240276577369E-2</v>
      </c>
      <c r="G304" s="5">
        <f>prices!G305/prices!G304-1</f>
        <v>-6.8370630426921708E-2</v>
      </c>
      <c r="H304" s="5">
        <f>prices!H305/prices!H304-1</f>
        <v>-1.6429560619413364E-2</v>
      </c>
      <c r="I304" s="5">
        <f>prices!I305/prices!I304-1</f>
        <v>-4.5881753179697005E-2</v>
      </c>
      <c r="J304" s="5">
        <f>prices!J305/prices!J304-1</f>
        <v>-4.3780491325308146E-2</v>
      </c>
      <c r="K304" s="8">
        <f>SUMPRODUCT(B304:I304,weights!$B$5:$I$5)</f>
        <v>-4.2633045504402625E-2</v>
      </c>
      <c r="L304" s="4">
        <f t="shared" si="8"/>
        <v>74.943452760852921</v>
      </c>
      <c r="M304" s="4">
        <f>L304/MAX(L$2:L304)-1</f>
        <v>-0.32514309056480128</v>
      </c>
      <c r="N304" s="4">
        <f t="shared" si="9"/>
        <v>-0.22554289115850457</v>
      </c>
    </row>
    <row r="305" spans="1:14">
      <c r="A305" s="3">
        <f>prices!A306</f>
        <v>43921</v>
      </c>
      <c r="B305" s="5">
        <f>prices!B306/prices!B305-1</f>
        <v>8.0854309687261594E-2</v>
      </c>
      <c r="C305" s="5">
        <f>prices!C306/prices!C305-1</f>
        <v>2.6759755542809849E-2</v>
      </c>
      <c r="D305" s="5">
        <f>prices!D306/prices!D305-1</f>
        <v>3.6365982707446287E-2</v>
      </c>
      <c r="E305" s="5">
        <f>prices!E306/prices!E305-1</f>
        <v>2.3600834756213107E-2</v>
      </c>
      <c r="F305" s="5">
        <f>prices!F306/prices!F305-1</f>
        <v>7.850434166223641E-2</v>
      </c>
      <c r="G305" s="5">
        <f>prices!G306/prices!G305-1</f>
        <v>-9.2760914638340131E-3</v>
      </c>
      <c r="H305" s="5">
        <f>prices!H306/prices!H305-1</f>
        <v>5.8912000000000075E-2</v>
      </c>
      <c r="I305" s="5">
        <f>prices!I306/prices!I305-1</f>
        <v>1.23439876149114E-2</v>
      </c>
      <c r="J305" s="5">
        <f>prices!J306/prices!J305-1</f>
        <v>3.8237673738996003E-2</v>
      </c>
      <c r="K305" s="8">
        <f>SUMPRODUCT(B305:I305,weights!$B$5:$I$5)</f>
        <v>3.3423473411460562E-2</v>
      </c>
      <c r="L305" s="4">
        <f t="shared" si="8"/>
        <v>77.448323261568333</v>
      </c>
      <c r="M305" s="4">
        <f>L305/MAX(L$2:L305)-1</f>
        <v>-0.30258702859575359</v>
      </c>
      <c r="N305" s="4">
        <f t="shared" si="9"/>
        <v>-0.19431638102972415</v>
      </c>
    </row>
    <row r="306" spans="1:14">
      <c r="A306" s="3">
        <f>prices!A307</f>
        <v>43922</v>
      </c>
      <c r="B306" s="5">
        <f>prices!B307/prices!B306-1</f>
        <v>-2.9902207883859222E-2</v>
      </c>
      <c r="C306" s="5">
        <f>prices!C307/prices!C306-1</f>
        <v>-6.4260122510305551E-2</v>
      </c>
      <c r="D306" s="5">
        <f>prices!D307/prices!D306-1</f>
        <v>-3.7405986950241665E-2</v>
      </c>
      <c r="E306" s="5">
        <f>prices!E307/prices!E306-1</f>
        <v>-6.0310634985357825E-2</v>
      </c>
      <c r="F306" s="5">
        <f>prices!F307/prices!F306-1</f>
        <v>-3.0808412750575109E-2</v>
      </c>
      <c r="G306" s="5">
        <f>prices!G307/prices!G306-1</f>
        <v>-9.7819941878342087E-3</v>
      </c>
      <c r="H306" s="5">
        <f>prices!H307/prices!H306-1</f>
        <v>-2.481037140007869E-2</v>
      </c>
      <c r="I306" s="5">
        <f>prices!I307/prices!I306-1</f>
        <v>-4.2237319330915235E-2</v>
      </c>
      <c r="J306" s="5">
        <f>prices!J307/prices!J306-1</f>
        <v>-4.0004652379983185E-2</v>
      </c>
      <c r="K306" s="8">
        <f>SUMPRODUCT(B306:I306,weights!$B$5:$I$5)</f>
        <v>-3.3880411808143059E-2</v>
      </c>
      <c r="L306" s="4">
        <f t="shared" si="8"/>
        <v>74.824342175616209</v>
      </c>
      <c r="M306" s="4">
        <f>L306/MAX(L$2:L306)-1</f>
        <v>-0.32621566726727014</v>
      </c>
      <c r="N306" s="4">
        <f t="shared" si="9"/>
        <v>-0.23741246205675837</v>
      </c>
    </row>
    <row r="307" spans="1:14">
      <c r="A307" s="3">
        <f>prices!A308</f>
        <v>43924</v>
      </c>
      <c r="B307" s="5">
        <f>prices!B308/prices!B307-1</f>
        <v>-2.7851679414699904E-3</v>
      </c>
      <c r="C307" s="5">
        <f>prices!C308/prices!C307-1</f>
        <v>-3.1928033266087508E-2</v>
      </c>
      <c r="D307" s="5">
        <f>prices!D308/prices!D307-1</f>
        <v>-1.9041705474490245E-2</v>
      </c>
      <c r="E307" s="5">
        <f>prices!E308/prices!E307-1</f>
        <v>-2.8382642998027618E-2</v>
      </c>
      <c r="F307" s="5">
        <f>prices!F308/prices!F307-1</f>
        <v>6.9085360684919994E-2</v>
      </c>
      <c r="G307" s="5">
        <f>prices!G308/prices!G307-1</f>
        <v>-5.5305285879197696E-2</v>
      </c>
      <c r="H307" s="5">
        <f>prices!H308/prices!H307-1</f>
        <v>9.4298109699411325E-2</v>
      </c>
      <c r="I307" s="5">
        <f>prices!I308/prices!I307-1</f>
        <v>3.8151220132531805E-4</v>
      </c>
      <c r="J307" s="5">
        <f>prices!J308/prices!J307-1</f>
        <v>-2.0596573699386833E-2</v>
      </c>
      <c r="K307" s="8">
        <f>SUMPRODUCT(B307:I307,weights!$B$5:$I$5)</f>
        <v>2.3456583535921122E-3</v>
      </c>
      <c r="L307" s="4">
        <f t="shared" si="8"/>
        <v>74.999854518892477</v>
      </c>
      <c r="M307" s="4">
        <f>L307/MAX(L$2:L307)-1</f>
        <v>-0.32463519941867613</v>
      </c>
      <c r="N307" s="4">
        <f t="shared" si="9"/>
        <v>-0.23713367470854751</v>
      </c>
    </row>
    <row r="308" spans="1:14">
      <c r="A308" s="3">
        <f>prices!A309</f>
        <v>43928</v>
      </c>
      <c r="B308" s="5">
        <f>prices!B309/prices!B308-1</f>
        <v>0.1194088957438828</v>
      </c>
      <c r="C308" s="5">
        <f>prices!C309/prices!C308-1</f>
        <v>7.3149467327280115E-2</v>
      </c>
      <c r="D308" s="5">
        <f>prices!D309/prices!D308-1</f>
        <v>0.10106551323979329</v>
      </c>
      <c r="E308" s="5">
        <f>prices!E309/prices!E308-1</f>
        <v>9.1005054708592992E-2</v>
      </c>
      <c r="F308" s="5">
        <f>prices!F309/prices!F308-1</f>
        <v>2.0535997462733935E-2</v>
      </c>
      <c r="G308" s="5">
        <f>prices!G309/prices!G308-1</f>
        <v>0.13514781543811849</v>
      </c>
      <c r="H308" s="5">
        <f>prices!H309/prices!H308-1</f>
        <v>0.11012941409679144</v>
      </c>
      <c r="I308" s="5">
        <f>prices!I309/prices!I308-1</f>
        <v>3.4859741800615796E-2</v>
      </c>
      <c r="J308" s="5">
        <f>prices!J309/prices!J308-1</f>
        <v>8.7632054231920664E-2</v>
      </c>
      <c r="K308" s="8">
        <f>SUMPRODUCT(B308:I308,weights!$B$5:$I$5)</f>
        <v>8.8313612427650873E-2</v>
      </c>
      <c r="L308" s="4">
        <f t="shared" si="8"/>
        <v>81.623362603004153</v>
      </c>
      <c r="M308" s="4">
        <f>L308/MAX(L$2:L308)-1</f>
        <v>-0.26499129417285938</v>
      </c>
      <c r="N308" s="4">
        <f t="shared" si="9"/>
        <v>-0.16909730048641503</v>
      </c>
    </row>
    <row r="309" spans="1:14">
      <c r="A309" s="3">
        <f>prices!A310</f>
        <v>43929</v>
      </c>
      <c r="B309" s="5">
        <f>prices!B310/prices!B309-1</f>
        <v>-1.1562738562943431E-2</v>
      </c>
      <c r="C309" s="5">
        <f>prices!C310/prices!C309-1</f>
        <v>-3.9293003348722988E-2</v>
      </c>
      <c r="D309" s="5">
        <f>prices!D310/prices!D309-1</f>
        <v>-8.0482897384306362E-3</v>
      </c>
      <c r="E309" s="5">
        <f>prices!E310/prices!E309-1</f>
        <v>-1.1573384935992914E-2</v>
      </c>
      <c r="F309" s="5">
        <f>prices!F310/prices!F309-1</f>
        <v>-1.6004972418615537E-2</v>
      </c>
      <c r="G309" s="5">
        <f>prices!G310/prices!G309-1</f>
        <v>3.1722347150125785E-2</v>
      </c>
      <c r="H309" s="5">
        <f>prices!H310/prices!H309-1</f>
        <v>4.6349676036936849E-2</v>
      </c>
      <c r="I309" s="5">
        <f>prices!I310/prices!I309-1</f>
        <v>6.7971501105561494E-3</v>
      </c>
      <c r="J309" s="5">
        <f>prices!J310/prices!J309-1</f>
        <v>-4.9418803029959157E-3</v>
      </c>
      <c r="K309" s="8">
        <f>SUMPRODUCT(B309:I309,weights!$B$5:$I$5)</f>
        <v>6.6573664592105269E-3</v>
      </c>
      <c r="L309" s="4">
        <f t="shared" si="8"/>
        <v>82.166759239485359</v>
      </c>
      <c r="M309" s="4">
        <f>L309/MAX(L$2:L309)-1</f>
        <v>-0.26009807186745815</v>
      </c>
      <c r="N309" s="4">
        <f t="shared" si="9"/>
        <v>-0.15268384351811881</v>
      </c>
    </row>
    <row r="310" spans="1:14">
      <c r="A310" s="3">
        <f>prices!A311</f>
        <v>43930</v>
      </c>
      <c r="B310" s="5">
        <f>prices!B311/prices!B310-1</f>
        <v>2.3320649512112324E-2</v>
      </c>
      <c r="C310" s="5">
        <f>prices!C311/prices!C310-1</f>
        <v>3.5592497868712769E-2</v>
      </c>
      <c r="D310" s="5">
        <f>prices!D311/prices!D310-1</f>
        <v>4.066454167874034E-2</v>
      </c>
      <c r="E310" s="5">
        <f>prices!E311/prices!E310-1</f>
        <v>7.3604156470010729E-3</v>
      </c>
      <c r="F310" s="5">
        <f>prices!F311/prices!F310-1</f>
        <v>3.695223055665231E-2</v>
      </c>
      <c r="G310" s="5">
        <f>prices!G311/prices!G310-1</f>
        <v>0.13378840826377436</v>
      </c>
      <c r="H310" s="5">
        <f>prices!H311/prices!H310-1</f>
        <v>4.0639703552012518E-2</v>
      </c>
      <c r="I310" s="5">
        <f>prices!I311/prices!I310-1</f>
        <v>7.0630659942518825E-3</v>
      </c>
      <c r="J310" s="5">
        <f>prices!J311/prices!J310-1</f>
        <v>4.1508786969566946E-2</v>
      </c>
      <c r="K310" s="8">
        <f>SUMPRODUCT(B310:I310,weights!$B$5:$I$5)</f>
        <v>4.6356710763973352E-2</v>
      </c>
      <c r="L310" s="4">
        <f t="shared" si="8"/>
        <v>85.975739931963219</v>
      </c>
      <c r="M310" s="4">
        <f>L310/MAX(L$2:L310)-1</f>
        <v>-0.22579865219131168</v>
      </c>
      <c r="N310" s="4">
        <f t="shared" si="9"/>
        <v>-6.7279690813585868E-2</v>
      </c>
    </row>
    <row r="311" spans="1:14">
      <c r="A311" s="3">
        <f>prices!A312</f>
        <v>43934</v>
      </c>
      <c r="B311" s="5">
        <f>prices!B312/prices!B311-1</f>
        <v>-2.5255872174361316E-2</v>
      </c>
      <c r="C311" s="5">
        <f>prices!C312/prices!C311-1</f>
        <v>-3.9036307749502619E-3</v>
      </c>
      <c r="D311" s="5">
        <f>prices!D312/prices!D311-1</f>
        <v>-3.2091145349916417E-2</v>
      </c>
      <c r="E311" s="5">
        <f>prices!E312/prices!E311-1</f>
        <v>1.8126436566816562E-3</v>
      </c>
      <c r="F311" s="5">
        <f>prices!F312/prices!F311-1</f>
        <v>-1.9721312723673168E-2</v>
      </c>
      <c r="G311" s="5">
        <f>prices!G312/prices!G311-1</f>
        <v>-8.1665814941390691E-3</v>
      </c>
      <c r="H311" s="5">
        <f>prices!H312/prices!H311-1</f>
        <v>1.7382748442112073E-2</v>
      </c>
      <c r="I311" s="5">
        <f>prices!I312/prices!I311-1</f>
        <v>6.4777545937941605E-2</v>
      </c>
      <c r="J311" s="5">
        <f>prices!J312/prices!J311-1</f>
        <v>-1.2955585552958171E-2</v>
      </c>
      <c r="K311" s="8">
        <f>SUMPRODUCT(B311:I311,weights!$B$5:$I$5)</f>
        <v>6.3563389010634318E-3</v>
      </c>
      <c r="L311" s="4">
        <f t="shared" si="8"/>
        <v>86.52223087224047</v>
      </c>
      <c r="M311" s="4">
        <f>L311/MAX(L$2:L311)-1</f>
        <v>-0.2208775660469795</v>
      </c>
      <c r="N311" s="4">
        <f t="shared" si="9"/>
        <v>-6.0678182199364494E-2</v>
      </c>
    </row>
    <row r="312" spans="1:14">
      <c r="A312" s="3">
        <f>prices!A313</f>
        <v>43936</v>
      </c>
      <c r="B312" s="5">
        <f>prices!B313/prices!B312-1</f>
        <v>-3.3048798912222344E-2</v>
      </c>
      <c r="C312" s="5">
        <f>prices!C313/prices!C312-1</f>
        <v>-1.3702921201538376E-2</v>
      </c>
      <c r="D312" s="5">
        <f>prices!D313/prices!D312-1</f>
        <v>-3.579219907462905E-2</v>
      </c>
      <c r="E312" s="5">
        <f>prices!E313/prices!E312-1</f>
        <v>2.5741466144375558E-3</v>
      </c>
      <c r="F312" s="5">
        <f>prices!F313/prices!F312-1</f>
        <v>4.2721764797265749E-2</v>
      </c>
      <c r="G312" s="5">
        <f>prices!G313/prices!G312-1</f>
        <v>-3.5744978897178759E-2</v>
      </c>
      <c r="H312" s="5">
        <f>prices!H313/prices!H312-1</f>
        <v>-2.8437874182554945E-2</v>
      </c>
      <c r="I312" s="5">
        <f>prices!I313/prices!I312-1</f>
        <v>1.6979152180234269E-2</v>
      </c>
      <c r="J312" s="5">
        <f>prices!J313/prices!J312-1</f>
        <v>-7.6218749478811354E-3</v>
      </c>
      <c r="K312" s="8">
        <f>SUMPRODUCT(B312:I312,weights!$B$5:$I$5)</f>
        <v>-1.2173016780897963E-2</v>
      </c>
      <c r="L312" s="4">
        <f t="shared" si="8"/>
        <v>85.468994303911956</v>
      </c>
      <c r="M312" s="4">
        <f>L312/MAX(L$2:L312)-1</f>
        <v>-0.23036183650986375</v>
      </c>
      <c r="N312" s="4">
        <f t="shared" si="9"/>
        <v>1.5681138260660088E-2</v>
      </c>
    </row>
    <row r="313" spans="1:14">
      <c r="A313" s="3">
        <f>prices!A314</f>
        <v>43937</v>
      </c>
      <c r="B313" s="5">
        <f>prices!B314/prices!B313-1</f>
        <v>1.5839225030272353E-2</v>
      </c>
      <c r="C313" s="5">
        <f>prices!C314/prices!C313-1</f>
        <v>-1.1007872419501963E-2</v>
      </c>
      <c r="D313" s="5">
        <f>prices!D314/prices!D313-1</f>
        <v>1.9045251118846362E-2</v>
      </c>
      <c r="E313" s="5">
        <f>prices!E314/prices!E313-1</f>
        <v>-2.3777628935030104E-2</v>
      </c>
      <c r="F313" s="5">
        <f>prices!F314/prices!F313-1</f>
        <v>-1.5867103694874762E-2</v>
      </c>
      <c r="G313" s="5">
        <f>prices!G314/prices!G313-1</f>
        <v>7.1635360984192431E-3</v>
      </c>
      <c r="H313" s="5">
        <f>prices!H314/prices!H313-1</f>
        <v>3.2280236058113809E-2</v>
      </c>
      <c r="I313" s="5">
        <f>prices!I314/prices!I313-1</f>
        <v>3.5790651417205499E-2</v>
      </c>
      <c r="J313" s="5">
        <f>prices!J314/prices!J313-1</f>
        <v>7.5627709992940328E-3</v>
      </c>
      <c r="K313" s="8">
        <f>SUMPRODUCT(B313:I313,weights!$B$5:$I$5)</f>
        <v>1.2435423928383323E-2</v>
      </c>
      <c r="L313" s="4">
        <f t="shared" si="8"/>
        <v>86.531837480813678</v>
      </c>
      <c r="M313" s="4">
        <f>L313/MAX(L$2:L313)-1</f>
        <v>-0.22079105967540158</v>
      </c>
      <c r="N313" s="4">
        <f t="shared" si="9"/>
        <v>-1.2525804997343459E-2</v>
      </c>
    </row>
    <row r="314" spans="1:14">
      <c r="A314" s="3">
        <f>prices!A315</f>
        <v>43938</v>
      </c>
      <c r="B314" s="5">
        <f>prices!B315/prices!B314-1</f>
        <v>4.7891873185549771E-2</v>
      </c>
      <c r="C314" s="5">
        <f>prices!C315/prices!C314-1</f>
        <v>5.2536281396048157E-2</v>
      </c>
      <c r="D314" s="5">
        <f>prices!D315/prices!D314-1</f>
        <v>3.4719172400331733E-2</v>
      </c>
      <c r="E314" s="5">
        <f>prices!E315/prices!E314-1</f>
        <v>7.8521059653136049E-3</v>
      </c>
      <c r="F314" s="5">
        <f>prices!F315/prices!F314-1</f>
        <v>9.3861176292482362E-3</v>
      </c>
      <c r="G314" s="5">
        <f>prices!G315/prices!G314-1</f>
        <v>7.2933008652401377E-2</v>
      </c>
      <c r="H314" s="5">
        <f>prices!H315/prices!H314-1</f>
        <v>-1.4234875444839812E-2</v>
      </c>
      <c r="I314" s="5">
        <f>prices!I315/prices!I314-1</f>
        <v>2.3308008977544148E-2</v>
      </c>
      <c r="J314" s="5">
        <f>prices!J315/prices!J314-1</f>
        <v>3.0463259496486206E-2</v>
      </c>
      <c r="K314" s="8">
        <f>SUMPRODUCT(B314:I314,weights!$B$5:$I$5)</f>
        <v>3.1360764593095038E-2</v>
      </c>
      <c r="L314" s="4">
        <f t="shared" si="8"/>
        <v>89.245542065857435</v>
      </c>
      <c r="M314" s="4">
        <f>L314/MAX(L$2:L314)-1</f>
        <v>-0.19635447152904673</v>
      </c>
      <c r="N314" s="4">
        <f t="shared" si="9"/>
        <v>9.4699908010166478E-2</v>
      </c>
    </row>
    <row r="315" spans="1:14">
      <c r="A315" s="3">
        <f>prices!A316</f>
        <v>43941</v>
      </c>
      <c r="B315" s="5">
        <f>prices!B316/prices!B315-1</f>
        <v>1.618229854689579E-2</v>
      </c>
      <c r="C315" s="5">
        <f>prices!C316/prices!C315-1</f>
        <v>6.8940893894640087E-3</v>
      </c>
      <c r="D315" s="5">
        <f>prices!D316/prices!D315-1</f>
        <v>3.7963639793440196E-2</v>
      </c>
      <c r="E315" s="5">
        <f>prices!E316/prices!E315-1</f>
        <v>3.904920388790134E-2</v>
      </c>
      <c r="F315" s="5">
        <f>prices!F316/prices!F315-1</f>
        <v>-3.9370078740157521E-2</v>
      </c>
      <c r="G315" s="5">
        <f>prices!G316/prices!G315-1</f>
        <v>-3.1544260667507595E-2</v>
      </c>
      <c r="H315" s="5">
        <f>prices!H316/prices!H315-1</f>
        <v>3.5658553627576639E-2</v>
      </c>
      <c r="I315" s="5">
        <f>prices!I316/prices!I315-1</f>
        <v>-1.8543061892307255E-2</v>
      </c>
      <c r="J315" s="5">
        <f>prices!J316/prices!J315-1</f>
        <v>-5.2877222327130102E-4</v>
      </c>
      <c r="K315" s="8">
        <f>SUMPRODUCT(B315:I315,weights!$B$5:$I$5)</f>
        <v>1.0995625738727151E-3</v>
      </c>
      <c r="L315" s="4">
        <f t="shared" si="8"/>
        <v>89.343673123798041</v>
      </c>
      <c r="M315" s="4">
        <f>L315/MAX(L$2:L315)-1</f>
        <v>-0.19547081298327984</v>
      </c>
      <c r="N315" s="4">
        <f t="shared" si="9"/>
        <v>0.10160356770263634</v>
      </c>
    </row>
    <row r="316" spans="1:14">
      <c r="A316" s="3">
        <f>prices!A317</f>
        <v>43942</v>
      </c>
      <c r="B316" s="5">
        <f>prices!B317/prices!B316-1</f>
        <v>-5.1998700032499512E-3</v>
      </c>
      <c r="C316" s="5">
        <f>prices!C317/prices!C316-1</f>
        <v>-4.4536997040752424E-2</v>
      </c>
      <c r="D316" s="5">
        <f>prices!D317/prices!D316-1</f>
        <v>-2.4557577409754838E-2</v>
      </c>
      <c r="E316" s="5">
        <f>prices!E317/prices!E316-1</f>
        <v>-3.0775110561086283E-2</v>
      </c>
      <c r="F316" s="5">
        <f>prices!F317/prices!F316-1</f>
        <v>-6.088992974238927E-3</v>
      </c>
      <c r="G316" s="5">
        <f>prices!G317/prices!G316-1</f>
        <v>-6.1944290426936499E-2</v>
      </c>
      <c r="H316" s="5">
        <f>prices!H317/prices!H316-1</f>
        <v>-5.1724913416995033E-4</v>
      </c>
      <c r="I316" s="5">
        <f>prices!I317/prices!I316-1</f>
        <v>-4.9426386233269448E-2</v>
      </c>
      <c r="J316" s="5">
        <f>prices!J317/prices!J316-1</f>
        <v>-3.0274729130789213E-2</v>
      </c>
      <c r="K316" s="8">
        <f>SUMPRODUCT(B316:I316,weights!$B$5:$I$5)</f>
        <v>-3.1370400719947678E-2</v>
      </c>
      <c r="L316" s="4">
        <f t="shared" si="8"/>
        <v>86.540926296112474</v>
      </c>
      <c r="M316" s="4">
        <f>L316/MAX(L$2:L316)-1</f>
        <v>-0.22070921597088811</v>
      </c>
      <c r="N316" s="4">
        <f t="shared" si="9"/>
        <v>0.10853980686803477</v>
      </c>
    </row>
    <row r="317" spans="1:14">
      <c r="A317" s="3">
        <f>prices!A318</f>
        <v>43943</v>
      </c>
      <c r="B317" s="5">
        <f>prices!B318/prices!B317-1</f>
        <v>0.10203637155613632</v>
      </c>
      <c r="C317" s="5">
        <f>prices!C318/prices!C317-1</f>
        <v>1.8326709357013193E-2</v>
      </c>
      <c r="D317" s="5">
        <f>prices!D318/prices!D317-1</f>
        <v>7.545763659229543E-3</v>
      </c>
      <c r="E317" s="5">
        <f>prices!E318/prices!E317-1</f>
        <v>1.3669821240799296E-2</v>
      </c>
      <c r="F317" s="5">
        <f>prices!F318/prices!F317-1</f>
        <v>1.4765944077913984E-2</v>
      </c>
      <c r="G317" s="5">
        <f>prices!G318/prices!G317-1</f>
        <v>3.5940875304043107E-2</v>
      </c>
      <c r="H317" s="5">
        <f>prices!H318/prices!H317-1</f>
        <v>2.5425826339355861E-3</v>
      </c>
      <c r="I317" s="5">
        <f>prices!I318/prices!I317-1</f>
        <v>-2.0391230011063133E-2</v>
      </c>
      <c r="J317" s="5">
        <f>prices!J318/prices!J317-1</f>
        <v>2.2919461779556505E-2</v>
      </c>
      <c r="K317" s="8">
        <f>SUMPRODUCT(B317:I317,weights!$B$5:$I$5)</f>
        <v>2.0903837385650315E-2</v>
      </c>
      <c r="L317" s="4">
        <f t="shared" si="8"/>
        <v>88.349963746609959</v>
      </c>
      <c r="M317" s="4">
        <f>L317/MAX(L$2:L317)-1</f>
        <v>-0.20441904814540768</v>
      </c>
      <c r="N317" s="4">
        <f t="shared" si="9"/>
        <v>0.16812261833322939</v>
      </c>
    </row>
    <row r="318" spans="1:14">
      <c r="A318" s="3">
        <f>prices!A319</f>
        <v>43944</v>
      </c>
      <c r="B318" s="5">
        <f>prices!B319/prices!B318-1</f>
        <v>5.3524374176547873E-3</v>
      </c>
      <c r="C318" s="5">
        <f>prices!C319/prices!C318-1</f>
        <v>6.1458436868435884E-2</v>
      </c>
      <c r="D318" s="5">
        <f>prices!D319/prices!D318-1</f>
        <v>2.8362072950857575E-2</v>
      </c>
      <c r="E318" s="5">
        <f>prices!E319/prices!E318-1</f>
        <v>5.8350622406639019E-2</v>
      </c>
      <c r="F318" s="5">
        <f>prices!F319/prices!F318-1</f>
        <v>-9.2879256965943124E-3</v>
      </c>
      <c r="G318" s="5">
        <f>prices!G319/prices!G318-1</f>
        <v>-4.7287534480493498E-3</v>
      </c>
      <c r="H318" s="5">
        <f>prices!H319/prices!H318-1</f>
        <v>6.5311069216267281E-3</v>
      </c>
      <c r="I318" s="5">
        <f>prices!I319/prices!I318-1</f>
        <v>-1.4078180744847457E-2</v>
      </c>
      <c r="J318" s="5">
        <f>prices!J319/prices!J318-1</f>
        <v>1.3779891807168543E-2</v>
      </c>
      <c r="K318" s="8">
        <f>SUMPRODUCT(B318:I318,weights!$B$5:$I$5)</f>
        <v>9.6470412928165404E-3</v>
      </c>
      <c r="L318" s="4">
        <f t="shared" si="8"/>
        <v>89.202279495092341</v>
      </c>
      <c r="M318" s="4">
        <f>L318/MAX(L$2:L318)-1</f>
        <v>-0.19674404585108818</v>
      </c>
      <c r="N318" s="4">
        <f t="shared" si="9"/>
        <v>0.12081940141105707</v>
      </c>
    </row>
    <row r="319" spans="1:14">
      <c r="A319" s="3">
        <f>prices!A320</f>
        <v>43945</v>
      </c>
      <c r="B319" s="5">
        <f>prices!B320/prices!B319-1</f>
        <v>3.3630928003931526E-2</v>
      </c>
      <c r="C319" s="5">
        <f>prices!C320/prices!C319-1</f>
        <v>-3.1787252637493046E-2</v>
      </c>
      <c r="D319" s="5">
        <f>prices!D320/prices!D319-1</f>
        <v>-1.7689766009575392E-2</v>
      </c>
      <c r="E319" s="5">
        <f>prices!E320/prices!E319-1</f>
        <v>-3.1364861553540901E-2</v>
      </c>
      <c r="F319" s="5">
        <f>prices!F320/prices!F319-1</f>
        <v>-2.8124999999999956E-3</v>
      </c>
      <c r="G319" s="5">
        <f>prices!G320/prices!G319-1</f>
        <v>-2.1469166556684627E-2</v>
      </c>
      <c r="H319" s="5">
        <f>prices!H320/prices!H319-1</f>
        <v>1.6968805048275248E-2</v>
      </c>
      <c r="I319" s="5">
        <f>prices!I320/prices!I319-1</f>
        <v>1.2613081679140992E-2</v>
      </c>
      <c r="J319" s="5">
        <f>prices!J320/prices!J319-1</f>
        <v>-1.7124942290554945E-2</v>
      </c>
      <c r="K319" s="8">
        <f>SUMPRODUCT(B319:I319,weights!$B$5:$I$5)</f>
        <v>-1.847666345826417E-3</v>
      </c>
      <c r="L319" s="4">
        <f t="shared" si="8"/>
        <v>89.037463445298258</v>
      </c>
      <c r="M319" s="4">
        <f>L319/MAX(L$2:L319)-1</f>
        <v>-0.19822819484465382</v>
      </c>
      <c r="N319" s="4">
        <f t="shared" si="9"/>
        <v>0.2899301704576589</v>
      </c>
    </row>
    <row r="320" spans="1:14">
      <c r="A320" s="3">
        <f>prices!A321</f>
        <v>43948</v>
      </c>
      <c r="B320" s="5">
        <f>prices!B321/prices!B320-1</f>
        <v>9.0018701068179663E-3</v>
      </c>
      <c r="C320" s="5">
        <f>prices!C321/prices!C320-1</f>
        <v>9.9292060503681778E-3</v>
      </c>
      <c r="D320" s="5">
        <f>prices!D321/prices!D320-1</f>
        <v>-8.9011944533430309E-3</v>
      </c>
      <c r="E320" s="5">
        <f>prices!E321/prices!E320-1</f>
        <v>1.0028549745220827E-2</v>
      </c>
      <c r="F320" s="5">
        <f>prices!F321/prices!F320-1</f>
        <v>-1.0968348480100421E-3</v>
      </c>
      <c r="G320" s="5">
        <f>prices!G321/prices!G320-1</f>
        <v>2.1221578995060941E-3</v>
      </c>
      <c r="H320" s="5">
        <f>prices!H321/prices!H320-1</f>
        <v>8.9457989826347006E-3</v>
      </c>
      <c r="I320" s="5">
        <f>prices!I321/prices!I320-1</f>
        <v>4.7561508599633928E-3</v>
      </c>
      <c r="J320" s="5">
        <f>prices!J321/prices!J320-1</f>
        <v>1.3971423577733066E-2</v>
      </c>
      <c r="K320" s="8">
        <f>SUMPRODUCT(B320:I320,weights!$B$5:$I$5)</f>
        <v>4.8126991960226262E-3</v>
      </c>
      <c r="L320" s="4">
        <f t="shared" si="8"/>
        <v>89.46597397403734</v>
      </c>
      <c r="M320" s="4">
        <f>L320/MAX(L$2:L320)-1</f>
        <v>-0.19436950832258904</v>
      </c>
      <c r="N320" s="4">
        <f t="shared" si="9"/>
        <v>0.25454766637050352</v>
      </c>
    </row>
    <row r="321" spans="1:14">
      <c r="A321" s="3">
        <f>prices!A322</f>
        <v>43949</v>
      </c>
      <c r="B321" s="5">
        <f>prices!B322/prices!B321-1</f>
        <v>-1.1151949235069791E-3</v>
      </c>
      <c r="C321" s="5">
        <f>prices!C322/prices!C321-1</f>
        <v>1.2219257140668294E-2</v>
      </c>
      <c r="D321" s="5">
        <f>prices!D322/prices!D321-1</f>
        <v>1.8239327684528295E-3</v>
      </c>
      <c r="E321" s="5">
        <f>prices!E322/prices!E321-1</f>
        <v>-5.8679356673881911E-3</v>
      </c>
      <c r="F321" s="5">
        <f>prices!F322/prices!F321-1</f>
        <v>-2.1960784313725945E-3</v>
      </c>
      <c r="G321" s="5">
        <f>prices!G322/prices!G321-1</f>
        <v>-7.2341248811824688E-4</v>
      </c>
      <c r="H321" s="5">
        <f>prices!H322/prices!H321-1</f>
        <v>-3.2553894297635666E-2</v>
      </c>
      <c r="I321" s="5">
        <f>prices!I322/prices!I321-1</f>
        <v>2.2260887365026516E-3</v>
      </c>
      <c r="J321" s="5">
        <f>prices!J322/prices!J321-1</f>
        <v>1.0622367301207802E-2</v>
      </c>
      <c r="K321" s="8">
        <f>SUMPRODUCT(B321:I321,weights!$B$5:$I$5)</f>
        <v>-4.2268865091305945E-3</v>
      </c>
      <c r="L321" s="4">
        <f t="shared" si="8"/>
        <v>89.087811455620255</v>
      </c>
      <c r="M321" s="4">
        <f>L321/MAX(L$2:L321)-1</f>
        <v>-0.19777481697920452</v>
      </c>
      <c r="N321" s="4">
        <f t="shared" si="9"/>
        <v>0.16202047674803999</v>
      </c>
    </row>
    <row r="322" spans="1:14">
      <c r="A322" s="3">
        <f>prices!A323</f>
        <v>43950</v>
      </c>
      <c r="B322" s="5">
        <f>prices!B323/prices!B322-1</f>
        <v>-8.4912335875475531E-4</v>
      </c>
      <c r="C322" s="5">
        <f>prices!C323/prices!C322-1</f>
        <v>2.5070639285533991E-2</v>
      </c>
      <c r="D322" s="5">
        <f>prices!D323/prices!D322-1</f>
        <v>4.9064343657817089E-2</v>
      </c>
      <c r="E322" s="5">
        <f>prices!E323/prices!E322-1</f>
        <v>2.3988194856844558E-2</v>
      </c>
      <c r="F322" s="5">
        <f>prices!F323/prices!F322-1</f>
        <v>1.5013362678824027E-2</v>
      </c>
      <c r="G322" s="5">
        <f>prices!G323/prices!G322-1</f>
        <v>3.118818132076262E-3</v>
      </c>
      <c r="H322" s="5">
        <f>prices!H323/prices!H322-1</f>
        <v>7.7945999371040742E-3</v>
      </c>
      <c r="I322" s="5">
        <f>prices!I323/prices!I322-1</f>
        <v>2.122852255610308E-2</v>
      </c>
      <c r="J322" s="5">
        <f>prices!J323/prices!J322-1</f>
        <v>1.8383097570595641E-2</v>
      </c>
      <c r="K322" s="8">
        <f>SUMPRODUCT(B322:I322,weights!$B$5:$I$5)</f>
        <v>1.4993037404385196E-2</v>
      </c>
      <c r="L322" s="4">
        <f t="shared" si="8"/>
        <v>90.423508345049186</v>
      </c>
      <c r="M322" s="4">
        <f>L322/MAX(L$2:L322)-1</f>
        <v>-0.18574702480343397</v>
      </c>
      <c r="N322" s="4">
        <f t="shared" si="9"/>
        <v>0.15197535826302699</v>
      </c>
    </row>
    <row r="323" spans="1:14">
      <c r="A323" s="3">
        <f>prices!A324</f>
        <v>43951</v>
      </c>
      <c r="B323" s="5">
        <f>prices!B324/prices!B323-1</f>
        <v>2.736815599376774E-2</v>
      </c>
      <c r="C323" s="5">
        <f>prices!C324/prices!C323-1</f>
        <v>5.7092052397447857E-2</v>
      </c>
      <c r="D323" s="5">
        <f>prices!D324/prices!D323-1</f>
        <v>2.5285033281342795E-2</v>
      </c>
      <c r="E323" s="5">
        <f>prices!E324/prices!E323-1</f>
        <v>5.7572668798987703E-2</v>
      </c>
      <c r="F323" s="5">
        <f>prices!F324/prices!F323-1</f>
        <v>-5.4208936730426593E-4</v>
      </c>
      <c r="G323" s="5">
        <f>prices!G324/prices!G323-1</f>
        <v>5.7283777603417185E-2</v>
      </c>
      <c r="H323" s="5">
        <f>prices!H324/prices!H323-1</f>
        <v>-2.7616181878970192E-2</v>
      </c>
      <c r="I323" s="5">
        <f>prices!I324/prices!I323-1</f>
        <v>2.5362182972712866E-2</v>
      </c>
      <c r="J323" s="5">
        <f>prices!J324/prices!J323-1</f>
        <v>3.2088220362490594E-2</v>
      </c>
      <c r="K323" s="8">
        <f>SUMPRODUCT(B323:I323,weights!$B$5:$I$5)</f>
        <v>2.7175587158058657E-2</v>
      </c>
      <c r="L323" s="4">
        <f t="shared" si="8"/>
        <v>92.880820277217509</v>
      </c>
      <c r="M323" s="4">
        <f>L323/MAX(L$2:L323)-1</f>
        <v>-0.1636192221072712</v>
      </c>
      <c r="N323" s="4">
        <f t="shared" si="9"/>
        <v>0.18650829077227926</v>
      </c>
    </row>
    <row r="324" spans="1:14">
      <c r="A324" s="3">
        <f>prices!A325</f>
        <v>43955</v>
      </c>
      <c r="B324" s="5">
        <f>prices!B325/prices!B324-1</f>
        <v>-2.1001838235294001E-2</v>
      </c>
      <c r="C324" s="5">
        <f>prices!C325/prices!C324-1</f>
        <v>-4.1698194475163763E-2</v>
      </c>
      <c r="D324" s="5">
        <f>prices!D325/prices!D324-1</f>
        <v>-7.8655296537538666E-2</v>
      </c>
      <c r="E324" s="5">
        <f>prices!E325/prices!E324-1</f>
        <v>-5.8410050184452778E-2</v>
      </c>
      <c r="F324" s="5">
        <f>prices!F325/prices!F324-1</f>
        <v>-4.3933054393305415E-2</v>
      </c>
      <c r="G324" s="5">
        <f>prices!G325/prices!G324-1</f>
        <v>-8.8172439862133745E-2</v>
      </c>
      <c r="H324" s="5">
        <f>prices!H325/prices!H324-1</f>
        <v>2.154678402787269E-3</v>
      </c>
      <c r="I324" s="5">
        <f>prices!I325/prices!I324-1</f>
        <v>-5.224917713031807E-2</v>
      </c>
      <c r="J324" s="5">
        <f>prices!J325/prices!J324-1</f>
        <v>-5.7444801671416523E-2</v>
      </c>
      <c r="K324" s="8">
        <f>SUMPRODUCT(B324:I324,weights!$B$5:$I$5)</f>
        <v>-4.7912743056846674E-2</v>
      </c>
      <c r="L324" s="4">
        <f t="shared" ref="L324:L387" si="10">L323*(1+K324)</f>
        <v>88.430645400366032</v>
      </c>
      <c r="M324" s="4">
        <f>L324/MAX(L$2:L324)-1</f>
        <v>-0.20369251941613109</v>
      </c>
      <c r="N324" s="4">
        <f t="shared" si="9"/>
        <v>0.17996492212003101</v>
      </c>
    </row>
    <row r="325" spans="1:14">
      <c r="A325" s="3">
        <f>prices!A326</f>
        <v>43956</v>
      </c>
      <c r="B325" s="5">
        <f>prices!B326/prices!B325-1</f>
        <v>1.7728332472734643E-2</v>
      </c>
      <c r="C325" s="5">
        <f>prices!C326/prices!C325-1</f>
        <v>1.1904617290849906E-3</v>
      </c>
      <c r="D325" s="5">
        <f>prices!D326/prices!D325-1</f>
        <v>-1.2511336945652429E-2</v>
      </c>
      <c r="E325" s="5">
        <f>prices!E326/prices!E325-1</f>
        <v>0</v>
      </c>
      <c r="F325" s="5">
        <f>prices!F326/prices!F325-1</f>
        <v>-8.9148229191993167E-4</v>
      </c>
      <c r="G325" s="5">
        <f>prices!G326/prices!G325-1</f>
        <v>-1.155090733813402E-2</v>
      </c>
      <c r="H325" s="5">
        <f>prices!H326/prices!H325-1</f>
        <v>-1.9670631290027329E-2</v>
      </c>
      <c r="I325" s="5">
        <f>prices!I326/prices!I325-1</f>
        <v>-1.6168450298415404E-2</v>
      </c>
      <c r="J325" s="5">
        <f>prices!J326/prices!J325-1</f>
        <v>-9.4582234895356221E-3</v>
      </c>
      <c r="K325" s="8">
        <f>SUMPRODUCT(B325:I325,weights!$B$5:$I$5)</f>
        <v>-7.0409079024925866E-3</v>
      </c>
      <c r="L325" s="4">
        <f t="shared" si="10"/>
        <v>87.808013370344071</v>
      </c>
      <c r="M325" s="4">
        <f>L325/MAX(L$2:L325)-1</f>
        <v>-0.20929924704898806</v>
      </c>
      <c r="N325" s="4">
        <f t="shared" si="9"/>
        <v>0.13376261321743121</v>
      </c>
    </row>
    <row r="326" spans="1:14">
      <c r="A326" s="3">
        <f>prices!A327</f>
        <v>43957</v>
      </c>
      <c r="B326" s="5">
        <f>prices!B327/prices!B326-1</f>
        <v>6.1498723901598495E-5</v>
      </c>
      <c r="C326" s="5">
        <f>prices!C327/prices!C326-1</f>
        <v>-1.5081473931981781E-2</v>
      </c>
      <c r="D326" s="5">
        <f>prices!D327/prices!D326-1</f>
        <v>3.8339260061700742E-2</v>
      </c>
      <c r="E326" s="5">
        <f>prices!E327/prices!E326-1</f>
        <v>-1.1577219702451291E-2</v>
      </c>
      <c r="F326" s="5">
        <f>prices!F327/prices!F326-1</f>
        <v>-5.7511356262167412E-2</v>
      </c>
      <c r="G326" s="5">
        <f>prices!G327/prices!G326-1</f>
        <v>2.7739678527949341E-3</v>
      </c>
      <c r="H326" s="5">
        <f>prices!H327/prices!H326-1</f>
        <v>-4.1530564629025379E-3</v>
      </c>
      <c r="I326" s="5">
        <f>prices!I327/prices!I326-1</f>
        <v>4.8374233529879795E-4</v>
      </c>
      <c r="J326" s="5">
        <f>prices!J327/prices!J326-1</f>
        <v>7.093508299296003E-3</v>
      </c>
      <c r="K326" s="8">
        <f>SUMPRODUCT(B326:I326,weights!$B$5:$I$5)</f>
        <v>-4.2475624090331145E-3</v>
      </c>
      <c r="L326" s="4">
        <f t="shared" si="10"/>
        <v>87.435043353540323</v>
      </c>
      <c r="M326" s="4">
        <f>L326/MAX(L$2:L326)-1</f>
        <v>-0.21265779784401684</v>
      </c>
      <c r="N326" s="4">
        <f t="shared" si="9"/>
        <v>0.16853741457995319</v>
      </c>
    </row>
    <row r="327" spans="1:14">
      <c r="A327" s="3">
        <f>prices!A328</f>
        <v>43958</v>
      </c>
      <c r="B327" s="5">
        <f>prices!B328/prices!B327-1</f>
        <v>3.163914768010323E-2</v>
      </c>
      <c r="C327" s="5">
        <f>prices!C328/prices!C327-1</f>
        <v>-6.2764856607864239E-3</v>
      </c>
      <c r="D327" s="5">
        <f>prices!D328/prices!D327-1</f>
        <v>-2.2612324510671189E-2</v>
      </c>
      <c r="E327" s="5">
        <f>prices!E328/prices!E327-1</f>
        <v>-1.4283928794616152E-3</v>
      </c>
      <c r="F327" s="5">
        <f>prices!F328/prices!F327-1</f>
        <v>-1.7643514932438209E-2</v>
      </c>
      <c r="G327" s="5">
        <f>prices!G328/prices!G327-1</f>
        <v>-1.9399187236406101E-2</v>
      </c>
      <c r="H327" s="5">
        <f>prices!H328/prices!H327-1</f>
        <v>-4.8498195960826607E-3</v>
      </c>
      <c r="I327" s="5">
        <f>prices!I328/prices!I327-1</f>
        <v>-1.7262558151690977E-2</v>
      </c>
      <c r="J327" s="5">
        <f>prices!J328/prices!J327-1</f>
        <v>-7.7500566288063455E-3</v>
      </c>
      <c r="K327" s="8">
        <f>SUMPRODUCT(B327:I327,weights!$B$5:$I$5)</f>
        <v>-7.7041668852791427E-3</v>
      </c>
      <c r="L327" s="4">
        <f t="shared" si="10"/>
        <v>86.761429187923028</v>
      </c>
      <c r="M327" s="4">
        <f>L327/MAX(L$2:L327)-1</f>
        <v>-0.21872361356524983</v>
      </c>
      <c r="N327" s="4">
        <f t="shared" si="9"/>
        <v>0.15682129978089243</v>
      </c>
    </row>
    <row r="328" spans="1:14">
      <c r="A328" s="3">
        <f>prices!A329</f>
        <v>43959</v>
      </c>
      <c r="B328" s="5">
        <f>prices!B329/prices!B328-1</f>
        <v>3.639127324749647E-2</v>
      </c>
      <c r="C328" s="5">
        <f>prices!C329/prices!C328-1</f>
        <v>9.2355562718116069E-4</v>
      </c>
      <c r="D328" s="5">
        <f>prices!D329/prices!D328-1</f>
        <v>4.3857613588897948E-3</v>
      </c>
      <c r="E328" s="5">
        <f>prices!E329/prices!E328-1</f>
        <v>1.3910991113415649E-2</v>
      </c>
      <c r="F328" s="5">
        <f>prices!F329/prices!F328-1</f>
        <v>-1.7084282460136713E-2</v>
      </c>
      <c r="G328" s="5">
        <f>prices!G329/prices!G328-1</f>
        <v>-2.0033717902504744E-2</v>
      </c>
      <c r="H328" s="5">
        <f>prices!H329/prices!H328-1</f>
        <v>3.7151265450264814E-2</v>
      </c>
      <c r="I328" s="5">
        <f>prices!I329/prices!I328-1</f>
        <v>-8.3773253726578956E-3</v>
      </c>
      <c r="J328" s="5">
        <f>prices!J329/prices!J328-1</f>
        <v>5.701675716514254E-3</v>
      </c>
      <c r="K328" s="8">
        <f>SUMPRODUCT(B328:I328,weights!$B$5:$I$5)</f>
        <v>4.8490480639820036E-3</v>
      </c>
      <c r="L328" s="4">
        <f t="shared" si="10"/>
        <v>87.182139528155034</v>
      </c>
      <c r="M328" s="4">
        <f>L328/MAX(L$2:L328)-1</f>
        <v>-0.21493516681617353</v>
      </c>
      <c r="N328" s="4">
        <f t="shared" si="9"/>
        <v>6.8102767980625867E-2</v>
      </c>
    </row>
    <row r="329" spans="1:14">
      <c r="A329" s="3">
        <f>prices!A330</f>
        <v>43962</v>
      </c>
      <c r="B329" s="5">
        <f>prices!B330/prices!B329-1</f>
        <v>9.605153423633217E-3</v>
      </c>
      <c r="C329" s="5">
        <f>prices!C330/prices!C329-1</f>
        <v>2.2132497739686174E-2</v>
      </c>
      <c r="D329" s="5">
        <f>prices!D330/prices!D329-1</f>
        <v>-1.4255019291638638E-2</v>
      </c>
      <c r="E329" s="5">
        <f>prices!E330/prices!E329-1</f>
        <v>1.2891279428622004E-2</v>
      </c>
      <c r="F329" s="5">
        <f>prices!F330/prices!F329-1</f>
        <v>1.2478830555306963E-3</v>
      </c>
      <c r="G329" s="5">
        <f>prices!G330/prices!G329-1</f>
        <v>6.094599256566724E-2</v>
      </c>
      <c r="H329" s="5">
        <f>prices!H330/prices!H329-1</f>
        <v>-1.0986765941025545E-2</v>
      </c>
      <c r="I329" s="5">
        <f>prices!I330/prices!I329-1</f>
        <v>6.9193944188914447E-3</v>
      </c>
      <c r="J329" s="5">
        <f>prices!J330/prices!J329-1</f>
        <v>-1.3295141328432125E-3</v>
      </c>
      <c r="K329" s="8">
        <f>SUMPRODUCT(B329:I329,weights!$B$5:$I$5)</f>
        <v>1.4855250676657035E-2</v>
      </c>
      <c r="L329" s="4">
        <f t="shared" si="10"/>
        <v>88.477252065373065</v>
      </c>
      <c r="M329" s="4">
        <f>L329/MAX(L$2:L329)-1</f>
        <v>-0.2032728319217999</v>
      </c>
      <c r="N329" s="4">
        <f t="shared" si="9"/>
        <v>7.6801043199172359E-2</v>
      </c>
    </row>
    <row r="330" spans="1:14">
      <c r="A330" s="3">
        <f>prices!A331</f>
        <v>43963</v>
      </c>
      <c r="B330" s="5">
        <f>prices!B331/prices!B330-1</f>
        <v>-6.1868003532059013E-2</v>
      </c>
      <c r="C330" s="5">
        <f>prices!C331/prices!C330-1</f>
        <v>7.3369038386972285E-3</v>
      </c>
      <c r="D330" s="5">
        <f>prices!D331/prices!D330-1</f>
        <v>-1.5562743167862103E-2</v>
      </c>
      <c r="E330" s="5">
        <f>prices!E331/prices!E330-1</f>
        <v>6.964273278083466E-3</v>
      </c>
      <c r="F330" s="5">
        <f>prices!F331/prices!F330-1</f>
        <v>4.1662957357785135E-2</v>
      </c>
      <c r="G330" s="5">
        <f>prices!G331/prices!G330-1</f>
        <v>2.7327052489904968E-3</v>
      </c>
      <c r="H330" s="5">
        <f>prices!H331/prices!H330-1</f>
        <v>1.147604948472658E-4</v>
      </c>
      <c r="I330" s="5">
        <f>prices!I331/prices!I330-1</f>
        <v>-8.283503575756801E-3</v>
      </c>
      <c r="J330" s="5">
        <f>prices!J331/prices!J330-1</f>
        <v>-4.6162005368431958E-3</v>
      </c>
      <c r="K330" s="8">
        <f>SUMPRODUCT(B330:I330,weights!$B$5:$I$5)</f>
        <v>-5.3973930888828459E-3</v>
      </c>
      <c r="L330" s="4">
        <f t="shared" si="10"/>
        <v>87.999705556552072</v>
      </c>
      <c r="M330" s="4">
        <f>L330/MAX(L$2:L330)-1</f>
        <v>-0.20757308163251043</v>
      </c>
      <c r="N330" s="4">
        <f t="shared" si="9"/>
        <v>2.3541124812540337E-2</v>
      </c>
    </row>
    <row r="331" spans="1:14">
      <c r="A331" s="3">
        <f>prices!A332</f>
        <v>43964</v>
      </c>
      <c r="B331" s="5">
        <f>prices!B332/prices!B331-1</f>
        <v>2.1223622286321353E-2</v>
      </c>
      <c r="C331" s="5">
        <f>prices!C332/prices!C331-1</f>
        <v>7.2173071024250746E-5</v>
      </c>
      <c r="D331" s="5">
        <f>prices!D332/prices!D331-1</f>
        <v>2.8951002333222231E-2</v>
      </c>
      <c r="E331" s="5">
        <f>prices!E332/prices!E331-1</f>
        <v>9.4577771630126595E-3</v>
      </c>
      <c r="F331" s="5">
        <f>prices!F332/prices!F331-1</f>
        <v>2.1365695239723426E-3</v>
      </c>
      <c r="G331" s="5">
        <f>prices!G332/prices!G331-1</f>
        <v>1.7126817912396675E-2</v>
      </c>
      <c r="H331" s="5">
        <f>prices!H332/prices!H331-1</f>
        <v>-2.490016982604315E-2</v>
      </c>
      <c r="I331" s="5">
        <f>prices!I332/prices!I331-1</f>
        <v>5.9032860193105829E-2</v>
      </c>
      <c r="J331" s="5">
        <f>prices!J332/prices!J331-1</f>
        <v>2.0333712098558721E-2</v>
      </c>
      <c r="K331" s="8">
        <f>SUMPRODUCT(B331:I331,weights!$B$5:$I$5)</f>
        <v>1.7043067265384255E-2</v>
      </c>
      <c r="L331" s="4">
        <f t="shared" si="10"/>
        <v>89.499490457686406</v>
      </c>
      <c r="M331" s="4">
        <f>L331/MAX(L$2:L331)-1</f>
        <v>-0.19406769635987209</v>
      </c>
      <c r="N331" s="4">
        <f t="shared" si="9"/>
        <v>3.44103423528479E-2</v>
      </c>
    </row>
    <row r="332" spans="1:14">
      <c r="A332" s="3">
        <f>prices!A333</f>
        <v>43965</v>
      </c>
      <c r="B332" s="5">
        <f>prices!B333/prices!B332-1</f>
        <v>-4.0435273830052854E-2</v>
      </c>
      <c r="C332" s="5">
        <f>prices!C333/prices!C332-1</f>
        <v>-2.4260429759620838E-2</v>
      </c>
      <c r="D332" s="5">
        <f>prices!D333/prices!D332-1</f>
        <v>-3.6605118237771239E-2</v>
      </c>
      <c r="E332" s="5">
        <f>prices!E333/prices!E332-1</f>
        <v>-5.1864412585855613E-2</v>
      </c>
      <c r="F332" s="5">
        <f>prices!F333/prices!F332-1</f>
        <v>-9.7219853317414007E-3</v>
      </c>
      <c r="G332" s="5">
        <f>prices!G333/prices!G332-1</f>
        <v>1.5478686454724278E-2</v>
      </c>
      <c r="H332" s="5">
        <f>prices!H333/prices!H332-1</f>
        <v>7.9550001176775798E-3</v>
      </c>
      <c r="I332" s="5">
        <f>prices!I333/prices!I332-1</f>
        <v>1.0144174074027124E-2</v>
      </c>
      <c r="J332" s="5">
        <f>prices!J333/prices!J332-1</f>
        <v>-2.5661929653489235E-2</v>
      </c>
      <c r="K332" s="8">
        <f>SUMPRODUCT(B332:I332,weights!$B$5:$I$5)</f>
        <v>-9.0002901701698827E-3</v>
      </c>
      <c r="L332" s="4">
        <f t="shared" si="10"/>
        <v>88.69396907348488</v>
      </c>
      <c r="M332" s="4">
        <f>L332/MAX(L$2:L332)-1</f>
        <v>-0.20132132095014665</v>
      </c>
      <c r="N332" s="4">
        <f t="shared" si="9"/>
        <v>3.7732686523787917E-2</v>
      </c>
    </row>
    <row r="333" spans="1:14">
      <c r="A333" s="3">
        <f>prices!A334</f>
        <v>43966</v>
      </c>
      <c r="B333" s="5">
        <f>prices!B334/prices!B333-1</f>
        <v>1.6328933506847498E-2</v>
      </c>
      <c r="C333" s="5">
        <f>prices!C334/prices!C333-1</f>
        <v>-4.9677956177385241E-3</v>
      </c>
      <c r="D333" s="5">
        <f>prices!D334/prices!D333-1</f>
        <v>-6.2205783456624753E-3</v>
      </c>
      <c r="E333" s="5">
        <f>prices!E334/prices!E333-1</f>
        <v>-8.8880859904253429E-3</v>
      </c>
      <c r="F333" s="5">
        <f>prices!F334/prices!F333-1</f>
        <v>5.2531863589391214E-3</v>
      </c>
      <c r="G333" s="5">
        <f>prices!G334/prices!G333-1</f>
        <v>-2.6697161867138552E-3</v>
      </c>
      <c r="H333" s="5">
        <f>prices!H334/prices!H333-1</f>
        <v>-1.6111331636584292E-2</v>
      </c>
      <c r="I333" s="5">
        <f>prices!I334/prices!I333-1</f>
        <v>-8.3100058998530901E-3</v>
      </c>
      <c r="J333" s="5">
        <f>prices!J334/prices!J333-1</f>
        <v>-6.4532006234441219E-4</v>
      </c>
      <c r="K333" s="8">
        <f>SUMPRODUCT(B333:I333,weights!$B$5:$I$5)</f>
        <v>-3.7202782870639287E-3</v>
      </c>
      <c r="L333" s="4">
        <f t="shared" si="10"/>
        <v>88.364002826147271</v>
      </c>
      <c r="M333" s="4">
        <f>L333/MAX(L$2:L333)-1</f>
        <v>-0.20429262789815672</v>
      </c>
      <c r="N333" s="4">
        <f t="shared" si="9"/>
        <v>2.1173309138845298E-2</v>
      </c>
    </row>
    <row r="334" spans="1:14">
      <c r="A334" s="3">
        <f>prices!A335</f>
        <v>43969</v>
      </c>
      <c r="B334" s="5">
        <f>prices!B335/prices!B334-1</f>
        <v>-1.277400079265878E-2</v>
      </c>
      <c r="C334" s="5">
        <f>prices!C335/prices!C334-1</f>
        <v>2.7843334014705068E-2</v>
      </c>
      <c r="D334" s="5">
        <f>prices!D335/prices!D334-1</f>
        <v>-5.7979070498102803E-2</v>
      </c>
      <c r="E334" s="5">
        <f>prices!E335/prices!E334-1</f>
        <v>1.777154001786263E-2</v>
      </c>
      <c r="F334" s="5">
        <f>prices!F335/prices!F334-1</f>
        <v>5.9967446243458511E-4</v>
      </c>
      <c r="G334" s="5">
        <f>prices!G335/prices!G334-1</f>
        <v>-7.4395516880495949E-2</v>
      </c>
      <c r="H334" s="5">
        <f>prices!H335/prices!H334-1</f>
        <v>-1.7609227045114806E-2</v>
      </c>
      <c r="I334" s="5">
        <f>prices!I335/prices!I334-1</f>
        <v>-5.9062543512107379E-2</v>
      </c>
      <c r="J334" s="5">
        <f>prices!J335/prices!J334-1</f>
        <v>-3.4322550988579281E-2</v>
      </c>
      <c r="K334" s="8">
        <f>SUMPRODUCT(B334:I334,weights!$B$5:$I$5)</f>
        <v>-3.0687842503651683E-2</v>
      </c>
      <c r="L334" s="4">
        <f t="shared" si="10"/>
        <v>85.652302224426236</v>
      </c>
      <c r="M334" s="4">
        <f>L334/MAX(L$2:L334)-1</f>
        <v>-0.22871117041221256</v>
      </c>
      <c r="N334" s="4">
        <f t="shared" si="9"/>
        <v>-4.0262401440506967E-2</v>
      </c>
    </row>
    <row r="335" spans="1:14">
      <c r="A335" s="3">
        <f>prices!A336</f>
        <v>43970</v>
      </c>
      <c r="B335" s="5">
        <f>prices!B336/prices!B335-1</f>
        <v>-2.2111049348403355E-2</v>
      </c>
      <c r="C335" s="5">
        <f>prices!C336/prices!C335-1</f>
        <v>1.5668880398231888E-3</v>
      </c>
      <c r="D335" s="5">
        <f>prices!D336/prices!D335-1</f>
        <v>-7.1578839345270984E-3</v>
      </c>
      <c r="E335" s="5">
        <f>prices!E336/prices!E335-1</f>
        <v>7.0919445538881742E-3</v>
      </c>
      <c r="F335" s="5">
        <f>prices!F336/prices!F335-1</f>
        <v>3.6386986301369939E-2</v>
      </c>
      <c r="G335" s="5">
        <f>prices!G336/prices!G335-1</f>
        <v>1.7867881733677704E-2</v>
      </c>
      <c r="H335" s="5">
        <f>prices!H336/prices!H335-1</f>
        <v>2.2708056528566445E-3</v>
      </c>
      <c r="I335" s="5">
        <f>prices!I336/prices!I335-1</f>
        <v>-2.0905360866348421E-2</v>
      </c>
      <c r="J335" s="5">
        <f>prices!J336/prices!J335-1</f>
        <v>6.3298671124585315E-3</v>
      </c>
      <c r="K335" s="8">
        <f>SUMPRODUCT(B335:I335,weights!$B$5:$I$5)</f>
        <v>1.3197706160882495E-4</v>
      </c>
      <c r="L335" s="4">
        <f t="shared" si="10"/>
        <v>85.663606363593843</v>
      </c>
      <c r="M335" s="4">
        <f>L335/MAX(L$2:L335)-1</f>
        <v>-0.22860937797883196</v>
      </c>
      <c r="N335" s="4">
        <f t="shared" si="9"/>
        <v>-4.1190009673152339E-2</v>
      </c>
    </row>
    <row r="336" spans="1:14">
      <c r="A336" s="3">
        <f>prices!A337</f>
        <v>43971</v>
      </c>
      <c r="B336" s="5">
        <f>prices!B337/prices!B336-1</f>
        <v>1.7605633802816767E-2</v>
      </c>
      <c r="C336" s="5">
        <f>prices!C337/prices!C336-1</f>
        <v>2.5392011745308807E-3</v>
      </c>
      <c r="D336" s="5">
        <f>prices!D337/prices!D336-1</f>
        <v>3.1835447944391415E-2</v>
      </c>
      <c r="E336" s="5">
        <f>prices!E337/prices!E336-1</f>
        <v>1.4226268805348496E-3</v>
      </c>
      <c r="F336" s="5">
        <f>prices!F337/prices!F336-1</f>
        <v>2.9244114002478394E-2</v>
      </c>
      <c r="G336" s="5">
        <f>prices!G337/prices!G336-1</f>
        <v>1.8032191965728028E-2</v>
      </c>
      <c r="H336" s="5">
        <f>prices!H337/prices!H336-1</f>
        <v>3.1791559208464992E-2</v>
      </c>
      <c r="I336" s="5">
        <f>prices!I337/prices!I336-1</f>
        <v>4.8542888940795059E-2</v>
      </c>
      <c r="J336" s="5">
        <f>prices!J337/prices!J336-1</f>
        <v>2.1111373900507768E-2</v>
      </c>
      <c r="K336" s="8">
        <f>SUMPRODUCT(B336:I336,weights!$B$5:$I$5)</f>
        <v>2.5259443813994212E-2</v>
      </c>
      <c r="L336" s="4">
        <f t="shared" si="10"/>
        <v>87.827421415439147</v>
      </c>
      <c r="M336" s="4">
        <f>L336/MAX(L$2:L336)-1</f>
        <v>-0.20912447990324634</v>
      </c>
      <c r="N336" s="4">
        <f t="shared" si="9"/>
        <v>1.4865742422547568E-2</v>
      </c>
    </row>
    <row r="337" spans="1:14">
      <c r="A337" s="3">
        <f>prices!A338</f>
        <v>43972</v>
      </c>
      <c r="B337" s="5">
        <f>prices!B338/prices!B337-1</f>
        <v>5.2601362359767645E-3</v>
      </c>
      <c r="C337" s="5">
        <f>prices!C338/prices!C337-1</f>
        <v>1.9247851346809286E-2</v>
      </c>
      <c r="D337" s="5">
        <f>prices!D338/prices!D337-1</f>
        <v>2.8549247451854498E-3</v>
      </c>
      <c r="E337" s="5">
        <f>prices!E338/prices!E337-1</f>
        <v>3.9599389139468588E-3</v>
      </c>
      <c r="F337" s="5">
        <f>prices!F338/prices!F337-1</f>
        <v>7.5126414640019235E-2</v>
      </c>
      <c r="G337" s="5">
        <f>prices!G338/prices!G337-1</f>
        <v>3.2328181140409029E-2</v>
      </c>
      <c r="H337" s="5">
        <f>prices!H338/prices!H337-1</f>
        <v>2.3476920201831453E-2</v>
      </c>
      <c r="I337" s="5">
        <f>prices!I338/prices!I337-1</f>
        <v>-1.7375579841182431E-2</v>
      </c>
      <c r="J337" s="5">
        <f>prices!J338/prices!J337-1</f>
        <v>4.3787328145767912E-3</v>
      </c>
      <c r="K337" s="8">
        <f>SUMPRODUCT(B337:I337,weights!$B$5:$I$5)</f>
        <v>1.5590894594466484E-2</v>
      </c>
      <c r="L337" s="4">
        <f t="shared" si="10"/>
        <v>89.196729485231046</v>
      </c>
      <c r="M337" s="4">
        <f>L337/MAX(L$2:L337)-1</f>
        <v>-0.19679402303207394</v>
      </c>
      <c r="N337" s="4">
        <f t="shared" si="9"/>
        <v>9.5842228192604129E-3</v>
      </c>
    </row>
    <row r="338" spans="1:14">
      <c r="A338" s="3">
        <f>prices!A339</f>
        <v>43973</v>
      </c>
      <c r="B338" s="5">
        <f>prices!B339/prices!B338-1</f>
        <v>-6.729849041459568E-3</v>
      </c>
      <c r="C338" s="5">
        <f>prices!C339/prices!C338-1</f>
        <v>1.4638770955641922E-2</v>
      </c>
      <c r="D338" s="5">
        <f>prices!D339/prices!D338-1</f>
        <v>-2.4072917967286722E-2</v>
      </c>
      <c r="E338" s="5">
        <f>prices!E339/prices!E338-1</f>
        <v>2.9962679307356188E-2</v>
      </c>
      <c r="F338" s="5">
        <f>prices!F339/prices!F338-1</f>
        <v>-1.373646883165347E-2</v>
      </c>
      <c r="G338" s="5">
        <f>prices!G339/prices!G338-1</f>
        <v>1.6671719979113098E-2</v>
      </c>
      <c r="H338" s="5">
        <f>prices!H339/prices!H338-1</f>
        <v>6.3451487001575657E-3</v>
      </c>
      <c r="I338" s="5">
        <f>prices!I339/prices!I338-1</f>
        <v>-5.840934549527943E-3</v>
      </c>
      <c r="J338" s="5">
        <f>prices!J339/prices!J338-1</f>
        <v>-7.3575840768702605E-3</v>
      </c>
      <c r="K338" s="8">
        <f>SUMPRODUCT(B338:I338,weights!$B$5:$I$5)</f>
        <v>3.0767954713832018E-3</v>
      </c>
      <c r="L338" s="4">
        <f t="shared" si="10"/>
        <v>89.471169578573409</v>
      </c>
      <c r="M338" s="4">
        <f>L338/MAX(L$2:L338)-1</f>
        <v>-0.19432272251955107</v>
      </c>
      <c r="N338" s="4">
        <f t="shared" si="9"/>
        <v>3.0143857870343904E-3</v>
      </c>
    </row>
    <row r="339" spans="1:14">
      <c r="A339" s="3">
        <f>prices!A340</f>
        <v>43977</v>
      </c>
      <c r="B339" s="5">
        <f>prices!B340/prices!B339-1</f>
        <v>-5.2369852369852365E-3</v>
      </c>
      <c r="C339" s="5">
        <f>prices!C340/prices!C339-1</f>
        <v>-3.8285870151878343E-2</v>
      </c>
      <c r="D339" s="5">
        <f>prices!D340/prices!D339-1</f>
        <v>1.6145953276528235E-2</v>
      </c>
      <c r="E339" s="5">
        <f>prices!E340/prices!E339-1</f>
        <v>-1.7035599594717565E-2</v>
      </c>
      <c r="F339" s="5">
        <f>prices!F340/prices!F339-1</f>
        <v>2.8688214366815457E-2</v>
      </c>
      <c r="G339" s="5">
        <f>prices!G340/prices!G339-1</f>
        <v>2.1785053038806623E-2</v>
      </c>
      <c r="H339" s="5">
        <f>prices!H340/prices!H339-1</f>
        <v>-2.1841192080016447E-2</v>
      </c>
      <c r="I339" s="5">
        <f>prices!I340/prices!I339-1</f>
        <v>1.2072434607645954E-2</v>
      </c>
      <c r="J339" s="5">
        <f>prices!J340/prices!J339-1</f>
        <v>-1.1284122023398346E-3</v>
      </c>
      <c r="K339" s="8">
        <f>SUMPRODUCT(B339:I339,weights!$B$5:$I$5)</f>
        <v>1.4461676293655726E-3</v>
      </c>
      <c r="L339" s="4">
        <f t="shared" si="10"/>
        <v>89.600559887779426</v>
      </c>
      <c r="M339" s="4">
        <f>L339/MAX(L$2:L339)-1</f>
        <v>-0.19315757812114343</v>
      </c>
      <c r="N339" s="4">
        <f t="shared" si="9"/>
        <v>6.324264199497609E-3</v>
      </c>
    </row>
    <row r="340" spans="1:14">
      <c r="A340" s="3">
        <f>prices!A341</f>
        <v>43978</v>
      </c>
      <c r="B340" s="5">
        <f>prices!B341/prices!B340-1</f>
        <v>1.5106306531485814E-2</v>
      </c>
      <c r="C340" s="5">
        <f>prices!C341/prices!C340-1</f>
        <v>3.2067683692188931E-2</v>
      </c>
      <c r="D340" s="5">
        <f>prices!D341/prices!D340-1</f>
        <v>6.0107775987107148E-2</v>
      </c>
      <c r="E340" s="5">
        <f>prices!E341/prices!E340-1</f>
        <v>3.6583448348154413E-2</v>
      </c>
      <c r="F340" s="5">
        <f>prices!F341/prices!F340-1</f>
        <v>2.3546725533480917E-3</v>
      </c>
      <c r="G340" s="5">
        <f>prices!G341/prices!G340-1</f>
        <v>-3.3240570521686497E-4</v>
      </c>
      <c r="H340" s="5">
        <f>prices!H341/prices!H340-1</f>
        <v>-1.7969764422185119E-2</v>
      </c>
      <c r="I340" s="5">
        <f>prices!I341/prices!I340-1</f>
        <v>3.0642809807819749E-2</v>
      </c>
      <c r="J340" s="5">
        <f>prices!J341/prices!J340-1</f>
        <v>3.1664460823674911E-2</v>
      </c>
      <c r="K340" s="8">
        <f>SUMPRODUCT(B340:I340,weights!$B$5:$I$5)</f>
        <v>1.5766070530473814E-2</v>
      </c>
      <c r="L340" s="4">
        <f t="shared" si="10"/>
        <v>91.013208634540106</v>
      </c>
      <c r="M340" s="4">
        <f>L340/MAX(L$2:L340)-1</f>
        <v>-0.1804368435908229</v>
      </c>
      <c r="N340" s="4">
        <f t="shared" si="9"/>
        <v>1.7294112965804853E-2</v>
      </c>
    </row>
    <row r="341" spans="1:14">
      <c r="A341" s="3">
        <f>prices!A342</f>
        <v>43979</v>
      </c>
      <c r="B341" s="5">
        <f>prices!B342/prices!B341-1</f>
        <v>1.8467220683287211E-2</v>
      </c>
      <c r="C341" s="5">
        <f>prices!C342/prices!C341-1</f>
        <v>-5.028475202599747E-4</v>
      </c>
      <c r="D341" s="5">
        <f>prices!D342/prices!D341-1</f>
        <v>4.6058101142544938E-2</v>
      </c>
      <c r="E341" s="5">
        <f>prices!E342/prices!E341-1</f>
        <v>2.764060472249863E-3</v>
      </c>
      <c r="F341" s="5">
        <f>prices!F342/prices!F341-1</f>
        <v>-7.7815298781382936E-3</v>
      </c>
      <c r="G341" s="5">
        <f>prices!G342/prices!G341-1</f>
        <v>4.2701978268847363E-2</v>
      </c>
      <c r="H341" s="5">
        <f>prices!H342/prices!H341-1</f>
        <v>1.8180530304819031E-2</v>
      </c>
      <c r="I341" s="5">
        <f>prices!I342/prices!I341-1</f>
        <v>6.4234458990252374E-2</v>
      </c>
      <c r="J341" s="5">
        <f>prices!J342/prices!J341-1</f>
        <v>1.8803106833638283E-2</v>
      </c>
      <c r="K341" s="8">
        <f>SUMPRODUCT(B341:I341,weights!$B$5:$I$5)</f>
        <v>2.9010809130866948E-2</v>
      </c>
      <c r="L341" s="4">
        <f t="shared" si="10"/>
        <v>93.653575458624516</v>
      </c>
      <c r="M341" s="4">
        <f>L341/MAX(L$2:L341)-1</f>
        <v>-0.15666065328954548</v>
      </c>
      <c r="N341" s="4">
        <f t="shared" si="9"/>
        <v>5.1250153398130438E-2</v>
      </c>
    </row>
    <row r="342" spans="1:14">
      <c r="A342" s="3">
        <f>prices!A343</f>
        <v>43980</v>
      </c>
      <c r="B342" s="5">
        <f>prices!B343/prices!B342-1</f>
        <v>-5.3339377455424719E-3</v>
      </c>
      <c r="C342" s="5">
        <f>prices!C343/prices!C342-1</f>
        <v>-1.5941265941265992E-2</v>
      </c>
      <c r="D342" s="5">
        <f>prices!D343/prices!D342-1</f>
        <v>6.7668831463736367E-3</v>
      </c>
      <c r="E342" s="5">
        <f>prices!E343/prices!E342-1</f>
        <v>-9.8828512361968102E-3</v>
      </c>
      <c r="F342" s="5">
        <f>prices!F343/prices!F342-1</f>
        <v>3.5143533589819365E-2</v>
      </c>
      <c r="G342" s="5">
        <f>prices!G343/prices!G342-1</f>
        <v>2.6050518210278595E-2</v>
      </c>
      <c r="H342" s="5">
        <f>prices!H343/prices!H342-1</f>
        <v>3.2998631820606139E-2</v>
      </c>
      <c r="I342" s="5">
        <f>prices!I343/prices!I342-1</f>
        <v>2.954432857643452E-2</v>
      </c>
      <c r="J342" s="5">
        <f>prices!J343/prices!J342-1</f>
        <v>9.5046416792234911E-3</v>
      </c>
      <c r="K342" s="8">
        <f>SUMPRODUCT(B342:I342,weights!$B$5:$I$5)</f>
        <v>1.638647936557612E-2</v>
      </c>
      <c r="L342" s="4">
        <f t="shared" si="10"/>
        <v>95.1882278403897</v>
      </c>
      <c r="M342" s="4">
        <f>L342/MAX(L$2:L342)-1</f>
        <v>-0.14284129048649608</v>
      </c>
      <c r="N342" s="4">
        <f t="shared" si="9"/>
        <v>5.2693371254283861E-2</v>
      </c>
    </row>
    <row r="343" spans="1:14">
      <c r="A343" s="3">
        <f>prices!A344</f>
        <v>43983</v>
      </c>
      <c r="B343" s="5">
        <f>prices!B344/prices!B343-1</f>
        <v>3.8206207179424911E-2</v>
      </c>
      <c r="C343" s="5">
        <f>prices!C344/prices!C343-1</f>
        <v>3.6964598876437771E-2</v>
      </c>
      <c r="D343" s="5">
        <f>prices!D344/prices!D343-1</f>
        <v>3.7824792493684534E-2</v>
      </c>
      <c r="E343" s="5">
        <f>prices!E344/prices!E343-1</f>
        <v>1.2375019097251583E-2</v>
      </c>
      <c r="F343" s="5">
        <f>prices!F344/prices!F343-1</f>
        <v>1.6224715888785823E-2</v>
      </c>
      <c r="G343" s="5">
        <f>prices!G344/prices!G343-1</f>
        <v>3.2579259267682126E-2</v>
      </c>
      <c r="H343" s="5">
        <f>prices!H344/prices!H343-1</f>
        <v>-1.8654873613792478E-2</v>
      </c>
      <c r="I343" s="5">
        <f>prices!I344/prices!I343-1</f>
        <v>-4.4013051336823095E-3</v>
      </c>
      <c r="J343" s="5">
        <f>prices!J344/prices!J343-1</f>
        <v>2.5662035635627412E-2</v>
      </c>
      <c r="K343" s="8">
        <f>SUMPRODUCT(B343:I343,weights!$B$5:$I$5)</f>
        <v>1.5977906967876036E-2</v>
      </c>
      <c r="L343" s="4">
        <f t="shared" si="10"/>
        <v>96.70913648926043</v>
      </c>
      <c r="M343" s="4">
        <f>L343/MAX(L$2:L343)-1</f>
        <v>-0.12914568836918472</v>
      </c>
      <c r="N343" s="4">
        <f t="shared" ref="N343:N406" si="11">L343/L323-1</f>
        <v>4.1217510790889866E-2</v>
      </c>
    </row>
    <row r="344" spans="1:14">
      <c r="A344" s="3">
        <f>prices!A345</f>
        <v>43984</v>
      </c>
      <c r="B344" s="5">
        <f>prices!B345/prices!B344-1</f>
        <v>1.0096280471745267E-2</v>
      </c>
      <c r="C344" s="5">
        <f>prices!C345/prices!C344-1</f>
        <v>9.2872334936622281E-4</v>
      </c>
      <c r="D344" s="5">
        <f>prices!D345/prices!D344-1</f>
        <v>1.3517918849021093E-2</v>
      </c>
      <c r="E344" s="5">
        <f>prices!E345/prices!E344-1</f>
        <v>1.2223749958080399E-2</v>
      </c>
      <c r="F344" s="5">
        <f>prices!F345/prices!F344-1</f>
        <v>-1.6458010972007386E-2</v>
      </c>
      <c r="G344" s="5">
        <f>prices!G345/prices!G344-1</f>
        <v>-1.7863369905553372E-2</v>
      </c>
      <c r="H344" s="5">
        <f>prices!H345/prices!H344-1</f>
        <v>1.6538945442067909E-2</v>
      </c>
      <c r="I344" s="5">
        <f>prices!I345/prices!I344-1</f>
        <v>1.8637933676777463E-2</v>
      </c>
      <c r="J344" s="5">
        <f>prices!J345/prices!J344-1</f>
        <v>1.5565608096762329E-2</v>
      </c>
      <c r="K344" s="8">
        <f>SUMPRODUCT(B344:I344,weights!$B$5:$I$5)</f>
        <v>4.7255195486748409E-3</v>
      </c>
      <c r="L344" s="4">
        <f t="shared" si="10"/>
        <v>97.166137404275901</v>
      </c>
      <c r="M344" s="4">
        <f>L344/MAX(L$2:L344)-1</f>
        <v>-0.12503044929552543</v>
      </c>
      <c r="N344" s="4">
        <f t="shared" si="11"/>
        <v>9.8783537814976841E-2</v>
      </c>
    </row>
    <row r="345" spans="1:14">
      <c r="A345" s="3">
        <f>prices!A346</f>
        <v>43985</v>
      </c>
      <c r="B345" s="5">
        <f>prices!B346/prices!B345-1</f>
        <v>3.882257503766251E-3</v>
      </c>
      <c r="C345" s="5">
        <f>prices!C346/prices!C345-1</f>
        <v>2.4513874967782012E-3</v>
      </c>
      <c r="D345" s="5">
        <f>prices!D346/prices!D345-1</f>
        <v>2.1228690897394653E-2</v>
      </c>
      <c r="E345" s="5">
        <f>prices!E346/prices!E345-1</f>
        <v>-9.2600261732401767E-3</v>
      </c>
      <c r="F345" s="5">
        <f>prices!F346/prices!F345-1</f>
        <v>-2.7889016018307622E-3</v>
      </c>
      <c r="G345" s="5">
        <f>prices!G346/prices!G345-1</f>
        <v>-1.1617846297593992E-2</v>
      </c>
      <c r="H345" s="5">
        <f>prices!H346/prices!H345-1</f>
        <v>6.4584364732886979E-3</v>
      </c>
      <c r="I345" s="5">
        <f>prices!I346/prices!I345-1</f>
        <v>1.6769280622164651E-2</v>
      </c>
      <c r="J345" s="5">
        <f>prices!J346/prices!J345-1</f>
        <v>8.2622681404134202E-3</v>
      </c>
      <c r="K345" s="8">
        <f>SUMPRODUCT(B345:I345,weights!$B$5:$I$5)</f>
        <v>3.2888925831719212E-3</v>
      </c>
      <c r="L345" s="4">
        <f t="shared" si="10"/>
        <v>97.485706392920292</v>
      </c>
      <c r="M345" s="4">
        <f>L345/MAX(L$2:L345)-1</f>
        <v>-0.12215276842971223</v>
      </c>
      <c r="N345" s="4">
        <f t="shared" si="11"/>
        <v>0.11021423502384731</v>
      </c>
    </row>
    <row r="346" spans="1:14">
      <c r="A346" s="3">
        <f>prices!A347</f>
        <v>43986</v>
      </c>
      <c r="B346" s="5">
        <f>prices!B347/prices!B346-1</f>
        <v>2.4733044733044718E-2</v>
      </c>
      <c r="C346" s="5">
        <f>prices!C347/prices!C346-1</f>
        <v>2.2185655599549658E-2</v>
      </c>
      <c r="D346" s="5">
        <f>prices!D347/prices!D346-1</f>
        <v>-2.0115485564304425E-2</v>
      </c>
      <c r="E346" s="5">
        <f>prices!E347/prices!E346-1</f>
        <v>8.8449705724986671E-3</v>
      </c>
      <c r="F346" s="5">
        <f>prices!F347/prices!F346-1</f>
        <v>1.7497310864108995E-2</v>
      </c>
      <c r="G346" s="5">
        <f>prices!G347/prices!G346-1</f>
        <v>1.1771423385541491E-2</v>
      </c>
      <c r="H346" s="5">
        <f>prices!H347/prices!H346-1</f>
        <v>3.926215762996077E-2</v>
      </c>
      <c r="I346" s="5">
        <f>prices!I347/prices!I346-1</f>
        <v>-3.1835824123291334E-2</v>
      </c>
      <c r="J346" s="5">
        <f>prices!J347/prices!J346-1</f>
        <v>-3.2251492066330822E-3</v>
      </c>
      <c r="K346" s="8">
        <f>SUMPRODUCT(B346:I346,weights!$B$5:$I$5)</f>
        <v>7.7515432820388528E-3</v>
      </c>
      <c r="L346" s="4">
        <f t="shared" si="10"/>
        <v>98.241371065405133</v>
      </c>
      <c r="M346" s="4">
        <f>L346/MAX(L$2:L346)-1</f>
        <v>-0.1153480976191773</v>
      </c>
      <c r="N346" s="4">
        <f t="shared" si="11"/>
        <v>0.12359263857364189</v>
      </c>
    </row>
    <row r="347" spans="1:14">
      <c r="A347" s="3">
        <f>prices!A348</f>
        <v>43987</v>
      </c>
      <c r="B347" s="5">
        <f>prices!B348/prices!B347-1</f>
        <v>1.2110288112203715E-3</v>
      </c>
      <c r="C347" s="5">
        <f>prices!C348/prices!C347-1</f>
        <v>-2.0703609716834492E-2</v>
      </c>
      <c r="D347" s="5">
        <f>prices!D348/prices!D347-1</f>
        <v>3.1606917093449427E-2</v>
      </c>
      <c r="E347" s="5">
        <f>prices!E348/prices!E347-1</f>
        <v>-5.9333410676699616E-3</v>
      </c>
      <c r="F347" s="5">
        <f>prices!F348/prices!F347-1</f>
        <v>-7.0477130171253677E-4</v>
      </c>
      <c r="G347" s="5">
        <f>prices!G348/prices!G347-1</f>
        <v>9.8405259243479204E-3</v>
      </c>
      <c r="H347" s="5">
        <f>prices!H348/prices!H347-1</f>
        <v>-1.2047933564252045E-3</v>
      </c>
      <c r="I347" s="5">
        <f>prices!I348/prices!I347-1</f>
        <v>2.6381377850928756E-2</v>
      </c>
      <c r="J347" s="5">
        <f>prices!J348/prices!J347-1</f>
        <v>1.1272197904099057E-2</v>
      </c>
      <c r="K347" s="8">
        <f>SUMPRODUCT(B347:I347,weights!$B$5:$I$5)</f>
        <v>7.0528264574774499E-3</v>
      </c>
      <c r="L347" s="4">
        <f t="shared" si="10"/>
        <v>98.934250406474078</v>
      </c>
      <c r="M347" s="4">
        <f>L347/MAX(L$2:L347)-1</f>
        <v>-0.1091088012764081</v>
      </c>
      <c r="N347" s="4">
        <f t="shared" si="11"/>
        <v>0.14030222107320323</v>
      </c>
    </row>
    <row r="348" spans="1:14">
      <c r="A348" s="3">
        <f>prices!A349</f>
        <v>43990</v>
      </c>
      <c r="B348" s="5">
        <f>prices!B349/prices!B348-1</f>
        <v>-7.7215189873417467E-3</v>
      </c>
      <c r="C348" s="5">
        <f>prices!C349/prices!C348-1</f>
        <v>1.1472471775436199E-2</v>
      </c>
      <c r="D348" s="5">
        <f>prices!D349/prices!D348-1</f>
        <v>-1.6887541024469321E-2</v>
      </c>
      <c r="E348" s="5">
        <f>prices!E349/prices!E348-1</f>
        <v>2.4591940512512789E-2</v>
      </c>
      <c r="F348" s="5">
        <f>prices!F349/prices!F348-1</f>
        <v>-1.1777981521969072E-2</v>
      </c>
      <c r="G348" s="5">
        <f>prices!G349/prices!G348-1</f>
        <v>-1.9837157660992366E-3</v>
      </c>
      <c r="H348" s="5">
        <f>prices!H349/prices!H348-1</f>
        <v>-1.0619278406031274E-2</v>
      </c>
      <c r="I348" s="5">
        <f>prices!I349/prices!I348-1</f>
        <v>6.3800054980298615E-3</v>
      </c>
      <c r="J348" s="5">
        <f>prices!J349/prices!J348-1</f>
        <v>2.4945401123037669E-3</v>
      </c>
      <c r="K348" s="8">
        <f>SUMPRODUCT(B348:I348,weights!$B$5:$I$5)</f>
        <v>-8.6217760444274477E-4</v>
      </c>
      <c r="L348" s="4">
        <f t="shared" si="10"/>
        <v>98.84895151146128</v>
      </c>
      <c r="M348" s="4">
        <f>L348/MAX(L$2:L348)-1</f>
        <v>-0.10987690771594272</v>
      </c>
      <c r="N348" s="4">
        <f t="shared" si="11"/>
        <v>0.13382112490527387</v>
      </c>
    </row>
    <row r="349" spans="1:14">
      <c r="A349" s="3">
        <f>prices!A350</f>
        <v>43991</v>
      </c>
      <c r="B349" s="5">
        <f>prices!B350/prices!B349-1</f>
        <v>-2.060920468880667E-2</v>
      </c>
      <c r="C349" s="5">
        <f>prices!C350/prices!C349-1</f>
        <v>1.4671692661916147E-4</v>
      </c>
      <c r="D349" s="5">
        <f>prices!D350/prices!D349-1</f>
        <v>-2.8143421580848926E-2</v>
      </c>
      <c r="E349" s="5">
        <f>prices!E350/prices!E349-1</f>
        <v>-4.5074364565366176E-3</v>
      </c>
      <c r="F349" s="5">
        <f>prices!F350/prices!F349-1</f>
        <v>4.2820439623179052E-3</v>
      </c>
      <c r="G349" s="5">
        <f>prices!G350/prices!G349-1</f>
        <v>-1.2641657766702119E-2</v>
      </c>
      <c r="H349" s="5">
        <f>prices!H350/prices!H349-1</f>
        <v>2.4013759470521645E-2</v>
      </c>
      <c r="I349" s="5">
        <f>prices!I350/prices!I349-1</f>
        <v>-8.376868007420879E-3</v>
      </c>
      <c r="J349" s="5">
        <f>prices!J350/prices!J349-1</f>
        <v>-1.1881051787813179E-2</v>
      </c>
      <c r="K349" s="8">
        <f>SUMPRODUCT(B349:I349,weights!$B$5:$I$5)</f>
        <v>-5.2123528630385677E-3</v>
      </c>
      <c r="L349" s="4">
        <f t="shared" si="10"/>
        <v>98.33371589604215</v>
      </c>
      <c r="M349" s="4">
        <f>L349/MAX(L$2:L349)-1</f>
        <v>-0.11451654336446637</v>
      </c>
      <c r="N349" s="4">
        <f t="shared" si="11"/>
        <v>0.11140110707084849</v>
      </c>
    </row>
    <row r="350" spans="1:14">
      <c r="A350" s="3">
        <f>prices!A351</f>
        <v>43992</v>
      </c>
      <c r="B350" s="5">
        <f>prices!B351/prices!B350-1</f>
        <v>2.2779570748368227E-2</v>
      </c>
      <c r="C350" s="5">
        <f>prices!C351/prices!C350-1</f>
        <v>1.7710648957898423E-2</v>
      </c>
      <c r="D350" s="5">
        <f>prices!D351/prices!D350-1</f>
        <v>4.6089962388851102E-3</v>
      </c>
      <c r="E350" s="5">
        <f>prices!E351/prices!E350-1</f>
        <v>-2.4519018585416053E-3</v>
      </c>
      <c r="F350" s="5">
        <f>prices!F351/prices!F350-1</f>
        <v>2.7714610574189891E-3</v>
      </c>
      <c r="G350" s="5">
        <f>prices!G351/prices!G350-1</f>
        <v>2.3492516572456434E-3</v>
      </c>
      <c r="H350" s="5">
        <f>prices!H351/prices!H350-1</f>
        <v>-3.1891144892101098E-3</v>
      </c>
      <c r="I350" s="5">
        <f>prices!I351/prices!I350-1</f>
        <v>-7.0703012912481933E-3</v>
      </c>
      <c r="J350" s="5">
        <f>prices!J351/prices!J350-1</f>
        <v>6.9177287951704969E-3</v>
      </c>
      <c r="K350" s="8">
        <f>SUMPRODUCT(B350:I350,weights!$B$5:$I$5)</f>
        <v>3.4036891444693155E-3</v>
      </c>
      <c r="L350" s="4">
        <f t="shared" si="10"/>
        <v>98.668413297372837</v>
      </c>
      <c r="M350" s="4">
        <f>L350/MAX(L$2:L350)-1</f>
        <v>-0.11150263293550877</v>
      </c>
      <c r="N350" s="4">
        <f t="shared" si="11"/>
        <v>0.1212357208850503</v>
      </c>
    </row>
    <row r="351" spans="1:14">
      <c r="A351" s="3">
        <f>prices!A352</f>
        <v>43993</v>
      </c>
      <c r="B351" s="5">
        <f>prices!B352/prices!B351-1</f>
        <v>-2.1918467263799868E-2</v>
      </c>
      <c r="C351" s="5">
        <f>prices!C352/prices!C351-1</f>
        <v>-1.9486963415513148E-2</v>
      </c>
      <c r="D351" s="5">
        <f>prices!D352/prices!D351-1</f>
        <v>-2.3458633599515166E-2</v>
      </c>
      <c r="E351" s="5">
        <f>prices!E352/prices!E351-1</f>
        <v>-1.6615596375374797E-2</v>
      </c>
      <c r="F351" s="5">
        <f>prices!F352/prices!F351-1</f>
        <v>-2.4094677910849738E-2</v>
      </c>
      <c r="G351" s="5">
        <f>prices!G352/prices!G351-1</f>
        <v>-4.3952255784892369E-2</v>
      </c>
      <c r="H351" s="5">
        <f>prices!H352/prices!H351-1</f>
        <v>-5.1082435747040744E-2</v>
      </c>
      <c r="I351" s="5">
        <f>prices!I352/prices!I351-1</f>
        <v>-1.7015570634269284E-2</v>
      </c>
      <c r="J351" s="5">
        <f>prices!J352/prices!J351-1</f>
        <v>-2.1169120663493524E-2</v>
      </c>
      <c r="K351" s="8">
        <f>SUMPRODUCT(B351:I351,weights!$B$5:$I$5)</f>
        <v>-2.9267902116940234E-2</v>
      </c>
      <c r="L351" s="4">
        <f t="shared" si="10"/>
        <v>95.780595834951527</v>
      </c>
      <c r="M351" s="4">
        <f>L351/MAX(L$2:L351)-1</f>
        <v>-0.1375070869059114</v>
      </c>
      <c r="N351" s="4">
        <f t="shared" si="11"/>
        <v>7.0180347900804074E-2</v>
      </c>
    </row>
    <row r="352" spans="1:14">
      <c r="A352" s="3">
        <f>prices!A353</f>
        <v>43994</v>
      </c>
      <c r="B352" s="5">
        <f>prices!B353/prices!B352-1</f>
        <v>3.3231098637192202E-2</v>
      </c>
      <c r="C352" s="5">
        <f>prices!C353/prices!C352-1</f>
        <v>-1.3615134963983144E-2</v>
      </c>
      <c r="D352" s="5">
        <f>prices!D353/prices!D352-1</f>
        <v>1.462603878116342E-2</v>
      </c>
      <c r="E352" s="5">
        <f>prices!E353/prices!E352-1</f>
        <v>-1.6913002182860293E-2</v>
      </c>
      <c r="F352" s="5">
        <f>prices!F353/prices!F352-1</f>
        <v>-1.8154091932321981E-3</v>
      </c>
      <c r="G352" s="5">
        <f>prices!G353/prices!G352-1</f>
        <v>2.4991132684435202E-2</v>
      </c>
      <c r="H352" s="5">
        <f>prices!H353/prices!H352-1</f>
        <v>1.3621038435603472E-2</v>
      </c>
      <c r="I352" s="5">
        <f>prices!I353/prices!I352-1</f>
        <v>-4.3510471912227011E-3</v>
      </c>
      <c r="J352" s="5">
        <f>prices!J353/prices!J352-1</f>
        <v>7.1601696626943934E-3</v>
      </c>
      <c r="K352" s="8">
        <f>SUMPRODUCT(B352:I352,weights!$B$5:$I$5)</f>
        <v>8.5918781288742418E-3</v>
      </c>
      <c r="L352" s="4">
        <f t="shared" si="10"/>
        <v>96.603531041476401</v>
      </c>
      <c r="M352" s="4">
        <f>L352/MAX(L$2:L352)-1</f>
        <v>-0.13009665290958916</v>
      </c>
      <c r="N352" s="4">
        <f t="shared" si="11"/>
        <v>8.9178126208764752E-2</v>
      </c>
    </row>
    <row r="353" spans="1:14">
      <c r="A353" s="3">
        <f>prices!A354</f>
        <v>43997</v>
      </c>
      <c r="B353" s="5">
        <f>prices!B354/prices!B353-1</f>
        <v>1.620017082289027E-2</v>
      </c>
      <c r="C353" s="5">
        <f>prices!C354/prices!C353-1</f>
        <v>-4.7061116397445479E-3</v>
      </c>
      <c r="D353" s="5">
        <f>prices!D354/prices!D353-1</f>
        <v>-3.3482581631538832E-2</v>
      </c>
      <c r="E353" s="5">
        <f>prices!E354/prices!E353-1</f>
        <v>-6.4917454828977705E-3</v>
      </c>
      <c r="F353" s="5">
        <f>prices!F354/prices!F353-1</f>
        <v>-3.4555507056598267E-2</v>
      </c>
      <c r="G353" s="5">
        <f>prices!G354/prices!G353-1</f>
        <v>-1.5463030585752158E-2</v>
      </c>
      <c r="H353" s="5">
        <f>prices!H354/prices!H353-1</f>
        <v>1.1863579918396372E-2</v>
      </c>
      <c r="I353" s="5">
        <f>prices!I354/prices!I353-1</f>
        <v>-2.8606186589816507E-2</v>
      </c>
      <c r="J353" s="5">
        <f>prices!J354/prices!J353-1</f>
        <v>-1.596326043578089E-2</v>
      </c>
      <c r="K353" s="8">
        <f>SUMPRODUCT(B353:I353,weights!$B$5:$I$5)</f>
        <v>-1.1131584007561613E-2</v>
      </c>
      <c r="L353" s="4">
        <f t="shared" si="10"/>
        <v>95.528180720261119</v>
      </c>
      <c r="M353" s="4">
        <f>L353/MAX(L$2:L353)-1</f>
        <v>-0.13978005509618519</v>
      </c>
      <c r="N353" s="4">
        <f t="shared" si="11"/>
        <v>8.1075751040942334E-2</v>
      </c>
    </row>
    <row r="354" spans="1:14">
      <c r="A354" s="3">
        <f>prices!A355</f>
        <v>43998</v>
      </c>
      <c r="B354" s="5">
        <f>prices!B355/prices!B354-1</f>
        <v>1.9565696649028741E-3</v>
      </c>
      <c r="C354" s="5">
        <f>prices!C355/prices!C354-1</f>
        <v>7.8326124642205119E-3</v>
      </c>
      <c r="D354" s="5">
        <f>prices!D355/prices!D354-1</f>
        <v>4.2687336165597056E-2</v>
      </c>
      <c r="E354" s="5">
        <f>prices!E355/prices!E354-1</f>
        <v>1.9841337541584902E-2</v>
      </c>
      <c r="F354" s="5">
        <f>prices!F355/prices!F354-1</f>
        <v>-1.1754954411875573E-2</v>
      </c>
      <c r="G354" s="5">
        <f>prices!G355/prices!G354-1</f>
        <v>4.831386926515524E-3</v>
      </c>
      <c r="H354" s="5">
        <f>prices!H355/prices!H354-1</f>
        <v>-4.9308584076614981E-3</v>
      </c>
      <c r="I354" s="5">
        <f>prices!I355/prices!I354-1</f>
        <v>-5.3863456745091298E-3</v>
      </c>
      <c r="J354" s="5">
        <f>prices!J355/prices!J354-1</f>
        <v>1.0220406166889129E-2</v>
      </c>
      <c r="K354" s="8">
        <f>SUMPRODUCT(B354:I354,weights!$B$5:$I$5)</f>
        <v>3.9436762838565183E-3</v>
      </c>
      <c r="L354" s="4">
        <f t="shared" si="10"/>
        <v>95.904912941007566</v>
      </c>
      <c r="M354" s="4">
        <f>L354/MAX(L$2:L354)-1</f>
        <v>-0.13638762610056765</v>
      </c>
      <c r="N354" s="4">
        <f t="shared" si="11"/>
        <v>0.11970035189150474</v>
      </c>
    </row>
    <row r="355" spans="1:14">
      <c r="A355" s="3">
        <f>prices!A356</f>
        <v>43999</v>
      </c>
      <c r="B355" s="5">
        <f>prices!B356/prices!B355-1</f>
        <v>-1.4576858549464333E-3</v>
      </c>
      <c r="C355" s="5">
        <f>prices!C356/prices!C355-1</f>
        <v>9.7718194442064643E-4</v>
      </c>
      <c r="D355" s="5">
        <f>prices!D356/prices!D355-1</f>
        <v>-1.1248130729719752E-2</v>
      </c>
      <c r="E355" s="5">
        <f>prices!E356/prices!E355-1</f>
        <v>3.496269530596674E-3</v>
      </c>
      <c r="F355" s="5">
        <f>prices!F356/prices!F355-1</f>
        <v>-2.0510865421273339E-2</v>
      </c>
      <c r="G355" s="5">
        <f>prices!G356/prices!G355-1</f>
        <v>4.07089325814467E-2</v>
      </c>
      <c r="H355" s="5">
        <f>prices!H356/prices!H355-1</f>
        <v>4.646962956437406E-3</v>
      </c>
      <c r="I355" s="5">
        <f>prices!I356/prices!I355-1</f>
        <v>-1.1454487665338298E-2</v>
      </c>
      <c r="J355" s="5">
        <f>prices!J356/prices!J355-1</f>
        <v>-3.3134960661690416E-3</v>
      </c>
      <c r="K355" s="8">
        <f>SUMPRODUCT(B355:I355,weights!$B$5:$I$5)</f>
        <v>4.0027206619918237E-3</v>
      </c>
      <c r="L355" s="4">
        <f t="shared" si="10"/>
        <v>96.288793517623077</v>
      </c>
      <c r="M355" s="4">
        <f>L355/MAX(L$2:L355)-1</f>
        <v>-0.1329308270076085</v>
      </c>
      <c r="N355" s="4">
        <f t="shared" si="11"/>
        <v>0.12403385294020053</v>
      </c>
    </row>
    <row r="356" spans="1:14">
      <c r="A356" s="3">
        <f>prices!A357</f>
        <v>44000</v>
      </c>
      <c r="B356" s="5">
        <f>prices!B357/prices!B356-1</f>
        <v>2.5106043078279017E-2</v>
      </c>
      <c r="C356" s="5">
        <f>prices!C357/prices!C356-1</f>
        <v>-4.7384165696148228E-3</v>
      </c>
      <c r="D356" s="5">
        <f>prices!D357/prices!D356-1</f>
        <v>4.1558897023365793E-2</v>
      </c>
      <c r="E356" s="5">
        <f>prices!E357/prices!E356-1</f>
        <v>1.4569823461749953E-2</v>
      </c>
      <c r="F356" s="5">
        <f>prices!F357/prices!F356-1</f>
        <v>2.9814728320099571E-2</v>
      </c>
      <c r="G356" s="5">
        <f>prices!G357/prices!G356-1</f>
        <v>-2.0593516663292011E-3</v>
      </c>
      <c r="H356" s="5">
        <f>prices!H357/prices!H356-1</f>
        <v>-2.8936580660718914E-3</v>
      </c>
      <c r="I356" s="5">
        <f>prices!I357/prices!I356-1</f>
        <v>1.3392691522908562E-2</v>
      </c>
      <c r="J356" s="5">
        <f>prices!J357/prices!J356-1</f>
        <v>2.1303188394063532E-2</v>
      </c>
      <c r="K356" s="8">
        <f>SUMPRODUCT(B356:I356,weights!$B$5:$I$5)</f>
        <v>1.1399051196857208E-2</v>
      </c>
      <c r="L356" s="4">
        <f t="shared" si="10"/>
        <v>97.386394404614066</v>
      </c>
      <c r="M356" s="4">
        <f>L356/MAX(L$2:L356)-1</f>
        <v>-0.12304706111345165</v>
      </c>
      <c r="N356" s="4">
        <f t="shared" si="11"/>
        <v>0.10883813773786311</v>
      </c>
    </row>
    <row r="357" spans="1:14">
      <c r="A357" s="3">
        <f>prices!A358</f>
        <v>44001</v>
      </c>
      <c r="B357" s="5">
        <f>prices!B358/prices!B357-1</f>
        <v>6.2510915563914748E-2</v>
      </c>
      <c r="C357" s="5">
        <f>prices!C358/prices!C357-1</f>
        <v>3.1892803469204534E-3</v>
      </c>
      <c r="D357" s="5">
        <f>prices!D358/prices!D357-1</f>
        <v>1.3131865819268507E-2</v>
      </c>
      <c r="E357" s="5">
        <f>prices!E358/prices!E357-1</f>
        <v>-1.1698789043886881E-2</v>
      </c>
      <c r="F357" s="5">
        <f>prices!F358/prices!F357-1</f>
        <v>-1.3682062136215922E-2</v>
      </c>
      <c r="G357" s="5">
        <f>prices!G358/prices!G357-1</f>
        <v>3.2014662920302861E-2</v>
      </c>
      <c r="H357" s="5">
        <f>prices!H358/prices!H357-1</f>
        <v>7.958667692645971E-3</v>
      </c>
      <c r="I357" s="5">
        <f>prices!I358/prices!I357-1</f>
        <v>1.7328061697661212E-3</v>
      </c>
      <c r="J357" s="5">
        <f>prices!J358/prices!J357-1</f>
        <v>1.5136276030183415E-2</v>
      </c>
      <c r="K357" s="8">
        <f>SUMPRODUCT(B357:I357,weights!$B$5:$I$5)</f>
        <v>1.4842284379484426E-2</v>
      </c>
      <c r="L357" s="4">
        <f t="shared" si="10"/>
        <v>98.831830965059979</v>
      </c>
      <c r="M357" s="4">
        <f>L357/MAX(L$2:L357)-1</f>
        <v>-0.11003107620707286</v>
      </c>
      <c r="N357" s="4">
        <f t="shared" si="11"/>
        <v>0.10802079331198211</v>
      </c>
    </row>
    <row r="358" spans="1:14">
      <c r="A358" s="3">
        <f>prices!A359</f>
        <v>44004</v>
      </c>
      <c r="B358" s="5">
        <f>prices!B359/prices!B358-1</f>
        <v>-7.5359093667813903E-3</v>
      </c>
      <c r="C358" s="5">
        <f>prices!C359/prices!C358-1</f>
        <v>-8.1422608496769522E-3</v>
      </c>
      <c r="D358" s="5">
        <f>prices!D359/prices!D358-1</f>
        <v>-4.4451830002908421E-3</v>
      </c>
      <c r="E358" s="5">
        <f>prices!E359/prices!E358-1</f>
        <v>-2.6101847079752494E-3</v>
      </c>
      <c r="F358" s="5">
        <f>prices!F359/prices!F358-1</f>
        <v>5.1348865726550397E-3</v>
      </c>
      <c r="G358" s="5">
        <f>prices!G359/prices!G358-1</f>
        <v>-2.2898767613566129E-4</v>
      </c>
      <c r="H358" s="5">
        <f>prices!H359/prices!H358-1</f>
        <v>1.0447793748773027E-2</v>
      </c>
      <c r="I358" s="5">
        <f>prices!I359/prices!I358-1</f>
        <v>1.029358021683513E-2</v>
      </c>
      <c r="J358" s="5">
        <f>prices!J359/prices!J358-1</f>
        <v>6.5206356643630059E-3</v>
      </c>
      <c r="K358" s="8">
        <f>SUMPRODUCT(B358:I358,weights!$B$5:$I$5)</f>
        <v>1.7627049850675218E-3</v>
      </c>
      <c r="L358" s="4">
        <f t="shared" si="10"/>
        <v>99.006042326185437</v>
      </c>
      <c r="M358" s="4">
        <f>L358/MAX(L$2:L358)-1</f>
        <v>-0.1084623235485479</v>
      </c>
      <c r="N358" s="4">
        <f t="shared" si="11"/>
        <v>0.1065692199232795</v>
      </c>
    </row>
    <row r="359" spans="1:14">
      <c r="A359" s="3">
        <f>prices!A360</f>
        <v>44005</v>
      </c>
      <c r="B359" s="5">
        <f>prices!B360/prices!B359-1</f>
        <v>-1.4460072364062437E-2</v>
      </c>
      <c r="C359" s="5">
        <f>prices!C360/prices!C359-1</f>
        <v>3.6260708150299692E-3</v>
      </c>
      <c r="D359" s="5">
        <f>prices!D360/prices!D359-1</f>
        <v>1.3165581705892215E-2</v>
      </c>
      <c r="E359" s="5">
        <f>prices!E360/prices!E359-1</f>
        <v>2.4086544872649718E-2</v>
      </c>
      <c r="F359" s="5">
        <f>prices!F360/prices!F359-1</f>
        <v>4.5749142203583837E-3</v>
      </c>
      <c r="G359" s="5">
        <f>prices!G360/prices!G359-1</f>
        <v>-1.6104947266668557E-3</v>
      </c>
      <c r="H359" s="5">
        <f>prices!H360/prices!H359-1</f>
        <v>1.4700168371972522E-2</v>
      </c>
      <c r="I359" s="5">
        <f>prices!I360/prices!I359-1</f>
        <v>6.6280822330740952E-2</v>
      </c>
      <c r="J359" s="5">
        <f>prices!J360/prices!J359-1</f>
        <v>1.5497711226627242E-2</v>
      </c>
      <c r="K359" s="8">
        <f>SUMPRODUCT(B359:I359,weights!$B$5:$I$5)</f>
        <v>1.6841727745649029E-2</v>
      </c>
      <c r="L359" s="4">
        <f t="shared" si="10"/>
        <v>100.67347513621725</v>
      </c>
      <c r="M359" s="4">
        <f>L359/MAX(L$2:L359)-1</f>
        <v>-9.3447288726764111E-2</v>
      </c>
      <c r="N359" s="4">
        <f t="shared" si="11"/>
        <v>0.12358087117207894</v>
      </c>
    </row>
    <row r="360" spans="1:14">
      <c r="A360" s="3">
        <f>prices!A361</f>
        <v>44006</v>
      </c>
      <c r="B360" s="5">
        <f>prices!B361/prices!B360-1</f>
        <v>4.0332484455187778E-3</v>
      </c>
      <c r="C360" s="5">
        <f>prices!C361/prices!C360-1</f>
        <v>3.388954306556613E-3</v>
      </c>
      <c r="D360" s="5">
        <f>prices!D361/prices!D360-1</f>
        <v>-9.4112316975225596E-3</v>
      </c>
      <c r="E360" s="5">
        <f>prices!E361/prices!E360-1</f>
        <v>-9.0336442209091317E-3</v>
      </c>
      <c r="F360" s="5">
        <f>prices!F361/prices!F360-1</f>
        <v>3.2333965844402179E-2</v>
      </c>
      <c r="G360" s="5">
        <f>prices!G361/prices!G360-1</f>
        <v>-2.2279825504204376E-2</v>
      </c>
      <c r="H360" s="5">
        <f>prices!H361/prices!H360-1</f>
        <v>-3.2059055034356576E-2</v>
      </c>
      <c r="I360" s="5">
        <f>prices!I361/prices!I360-1</f>
        <v>-1.2450244255473253E-2</v>
      </c>
      <c r="J360" s="5">
        <f>prices!J361/prices!J360-1</f>
        <v>-1.5824658580842366E-2</v>
      </c>
      <c r="K360" s="8">
        <f>SUMPRODUCT(B360:I360,weights!$B$5:$I$5)</f>
        <v>-9.5697820816597889E-3</v>
      </c>
      <c r="L360" s="4">
        <f t="shared" si="10"/>
        <v>99.710051917760254</v>
      </c>
      <c r="M360" s="4">
        <f>L360/MAX(L$2:L360)-1</f>
        <v>-0.10212280061918688</v>
      </c>
      <c r="N360" s="4">
        <f t="shared" si="11"/>
        <v>9.5555836495579083E-2</v>
      </c>
    </row>
    <row r="361" spans="1:14">
      <c r="A361" s="3">
        <f>prices!A362</f>
        <v>44007</v>
      </c>
      <c r="B361" s="5">
        <f>prices!B362/prices!B361-1</f>
        <v>-5.7551919041058941E-3</v>
      </c>
      <c r="C361" s="5">
        <f>prices!C362/prices!C361-1</f>
        <v>-1.278300941695043E-2</v>
      </c>
      <c r="D361" s="5">
        <f>prices!D362/prices!D361-1</f>
        <v>-3.6173132094299287E-3</v>
      </c>
      <c r="E361" s="5">
        <f>prices!E362/prices!E361-1</f>
        <v>-1.9102526198219505E-2</v>
      </c>
      <c r="F361" s="5">
        <f>prices!F362/prices!F361-1</f>
        <v>5.3451952062348429E-2</v>
      </c>
      <c r="G361" s="5">
        <f>prices!G362/prices!G361-1</f>
        <v>1.2082895312981456E-3</v>
      </c>
      <c r="H361" s="5">
        <f>prices!H362/prices!H361-1</f>
        <v>6.7032967032967239E-3</v>
      </c>
      <c r="I361" s="5">
        <f>prices!I362/prices!I361-1</f>
        <v>-1.3030882504494357E-2</v>
      </c>
      <c r="J361" s="5">
        <f>prices!J362/prices!J361-1</f>
        <v>-1.5914141267114879E-3</v>
      </c>
      <c r="K361" s="8">
        <f>SUMPRODUCT(B361:I361,weights!$B$5:$I$5)</f>
        <v>-5.9452123208164577E-4</v>
      </c>
      <c r="L361" s="4">
        <f t="shared" si="10"/>
        <v>99.650772174843183</v>
      </c>
      <c r="M361" s="4">
        <f>L361/MAX(L$2:L361)-1</f>
        <v>-0.10265660767802076</v>
      </c>
      <c r="N361" s="4">
        <f t="shared" si="11"/>
        <v>6.4035961113606321E-2</v>
      </c>
    </row>
    <row r="362" spans="1:14">
      <c r="A362" s="3">
        <f>prices!A363</f>
        <v>44008</v>
      </c>
      <c r="B362" s="5">
        <f>prices!B363/prices!B362-1</f>
        <v>1.3830255626634758E-2</v>
      </c>
      <c r="C362" s="5">
        <f>prices!C363/prices!C362-1</f>
        <v>5.0964906176791391E-2</v>
      </c>
      <c r="D362" s="5">
        <f>prices!D363/prices!D362-1</f>
        <v>2.6915373059589465E-2</v>
      </c>
      <c r="E362" s="5">
        <f>prices!E363/prices!E362-1</f>
        <v>6.8085533917178642E-2</v>
      </c>
      <c r="F362" s="5">
        <f>prices!F363/prices!F362-1</f>
        <v>-3.4198771635957637E-2</v>
      </c>
      <c r="G362" s="5">
        <f>prices!G363/prices!G362-1</f>
        <v>-1.2843342590628248E-3</v>
      </c>
      <c r="H362" s="5">
        <f>prices!H363/prices!H362-1</f>
        <v>-1.5784303023687385E-2</v>
      </c>
      <c r="I362" s="5">
        <f>prices!I363/prices!I362-1</f>
        <v>2.0256865406703684E-2</v>
      </c>
      <c r="J362" s="5">
        <f>prices!J363/prices!J362-1</f>
        <v>9.1457784602824166E-3</v>
      </c>
      <c r="K362" s="8">
        <f>SUMPRODUCT(B362:I362,weights!$B$5:$I$5)</f>
        <v>1.2507093605265222E-2</v>
      </c>
      <c r="L362" s="4">
        <f t="shared" si="10"/>
        <v>100.8971137102709</v>
      </c>
      <c r="M362" s="4">
        <f>L362/MAX(L$2:L362)-1</f>
        <v>-9.1433449874183559E-2</v>
      </c>
      <c r="N362" s="4">
        <f t="shared" si="11"/>
        <v>5.9974704849572236E-2</v>
      </c>
    </row>
    <row r="363" spans="1:14">
      <c r="A363" s="3">
        <f>prices!A364</f>
        <v>44011</v>
      </c>
      <c r="B363" s="5">
        <f>prices!B364/prices!B363-1</f>
        <v>-1.0627155447694436E-2</v>
      </c>
      <c r="C363" s="5">
        <f>prices!C364/prices!C363-1</f>
        <v>-8.1162650835076011E-3</v>
      </c>
      <c r="D363" s="5">
        <f>prices!D364/prices!D363-1</f>
        <v>1.8550123938396501E-2</v>
      </c>
      <c r="E363" s="5">
        <f>prices!E364/prices!E363-1</f>
        <v>-2.1980089362702793E-2</v>
      </c>
      <c r="F363" s="5">
        <f>prices!F364/prices!F363-1</f>
        <v>1.0550657609481151E-2</v>
      </c>
      <c r="G363" s="5">
        <f>prices!G364/prices!G363-1</f>
        <v>-1.3242328890892496E-2</v>
      </c>
      <c r="H363" s="5">
        <f>prices!H364/prices!H363-1</f>
        <v>4.2589059935229656E-3</v>
      </c>
      <c r="I363" s="5">
        <f>prices!I364/prices!I363-1</f>
        <v>-2.6609354211441949E-2</v>
      </c>
      <c r="J363" s="5">
        <f>prices!J364/prices!J363-1</f>
        <v>-6.7995762303766361E-3</v>
      </c>
      <c r="K363" s="8">
        <f>SUMPRODUCT(B363:I363,weights!$B$5:$I$5)</f>
        <v>-8.840364538878244E-3</v>
      </c>
      <c r="L363" s="4">
        <f t="shared" si="10"/>
        <v>100.00514644415145</v>
      </c>
      <c r="M363" s="4">
        <f>L363/MAX(L$2:L363)-1</f>
        <v>-9.9465509385126882E-2</v>
      </c>
      <c r="N363" s="4">
        <f t="shared" si="11"/>
        <v>3.4081681157984933E-2</v>
      </c>
    </row>
    <row r="364" spans="1:14">
      <c r="A364" s="3">
        <f>prices!A365</f>
        <v>44012</v>
      </c>
      <c r="B364" s="5">
        <f>prices!B365/prices!B364-1</f>
        <v>-1.1051150300808277E-2</v>
      </c>
      <c r="C364" s="5">
        <f>prices!C365/prices!C364-1</f>
        <v>-9.2785225566001106E-3</v>
      </c>
      <c r="D364" s="5">
        <f>prices!D365/prices!D364-1</f>
        <v>-9.4751750413915037E-3</v>
      </c>
      <c r="E364" s="5">
        <f>prices!E365/prices!E364-1</f>
        <v>5.7387429267587997E-3</v>
      </c>
      <c r="F364" s="5">
        <f>prices!F365/prices!F364-1</f>
        <v>-1.3229405034324904E-2</v>
      </c>
      <c r="G364" s="5">
        <f>prices!G365/prices!G364-1</f>
        <v>2.8105877330297346E-2</v>
      </c>
      <c r="H364" s="5">
        <f>prices!H365/prices!H364-1</f>
        <v>-1.8774572602376693E-2</v>
      </c>
      <c r="I364" s="5">
        <f>prices!I365/prices!I364-1</f>
        <v>7.5351347562471194E-3</v>
      </c>
      <c r="J364" s="5">
        <f>prices!J365/prices!J364-1</f>
        <v>-9.9879756409748666E-4</v>
      </c>
      <c r="K364" s="8">
        <f>SUMPRODUCT(B364:I364,weights!$B$5:$I$5)</f>
        <v>5.7039464811209036E-4</v>
      </c>
      <c r="L364" s="4">
        <f t="shared" si="10"/>
        <v>100.06218884446686</v>
      </c>
      <c r="M364" s="4">
        <f>L364/MAX(L$2:L364)-1</f>
        <v>-9.8951849331239794E-2</v>
      </c>
      <c r="N364" s="4">
        <f t="shared" si="11"/>
        <v>2.9805151440171596E-2</v>
      </c>
    </row>
    <row r="365" spans="1:14">
      <c r="A365" s="3">
        <f>prices!A366</f>
        <v>44013</v>
      </c>
      <c r="B365" s="5">
        <f>prices!B366/prices!B365-1</f>
        <v>1.9660061095010617E-2</v>
      </c>
      <c r="C365" s="5">
        <f>prices!C366/prices!C365-1</f>
        <v>4.7557017888626429E-3</v>
      </c>
      <c r="D365" s="5">
        <f>prices!D366/prices!D365-1</f>
        <v>1.7601095537296718E-2</v>
      </c>
      <c r="E365" s="5">
        <f>prices!E366/prices!E365-1</f>
        <v>-5.4987966401554011E-3</v>
      </c>
      <c r="F365" s="5">
        <f>prices!F366/prices!F365-1</f>
        <v>4.2394376404087275E-2</v>
      </c>
      <c r="G365" s="5">
        <f>prices!G366/prices!G365-1</f>
        <v>-6.0284630879571255E-3</v>
      </c>
      <c r="H365" s="5">
        <f>prices!H366/prices!H365-1</f>
        <v>-1.0152169998199123E-2</v>
      </c>
      <c r="I365" s="5">
        <f>prices!I366/prices!I365-1</f>
        <v>-2.0511571819488927E-2</v>
      </c>
      <c r="J365" s="5">
        <f>prices!J366/prices!J365-1</f>
        <v>1.241979790528136E-2</v>
      </c>
      <c r="K365" s="8">
        <f>SUMPRODUCT(B365:I365,weights!$B$5:$I$5)</f>
        <v>5.6361087940555096E-4</v>
      </c>
      <c r="L365" s="4">
        <f t="shared" si="10"/>
        <v>100.11858498271674</v>
      </c>
      <c r="M365" s="4">
        <f>L365/MAX(L$2:L365)-1</f>
        <v>-9.8444008790654514E-2</v>
      </c>
      <c r="N365" s="4">
        <f t="shared" si="11"/>
        <v>2.7007842351621569E-2</v>
      </c>
    </row>
    <row r="366" spans="1:14">
      <c r="A366" s="3">
        <f>prices!A367</f>
        <v>44014</v>
      </c>
      <c r="B366" s="5">
        <f>prices!B367/prices!B366-1</f>
        <v>1.7206944231064503E-2</v>
      </c>
      <c r="C366" s="5">
        <f>prices!C367/prices!C366-1</f>
        <v>3.111501042196374E-2</v>
      </c>
      <c r="D366" s="5">
        <f>prices!D367/prices!D366-1</f>
        <v>4.4132198693844771E-3</v>
      </c>
      <c r="E366" s="5">
        <f>prices!E367/prices!E366-1</f>
        <v>3.373613693185451E-2</v>
      </c>
      <c r="F366" s="5">
        <f>prices!F367/prices!F366-1</f>
        <v>1.4530033370411699E-2</v>
      </c>
      <c r="G366" s="5">
        <f>prices!G367/prices!G366-1</f>
        <v>2.5046174819331801E-2</v>
      </c>
      <c r="H366" s="5">
        <f>prices!H367/prices!H366-1</f>
        <v>1.0369999772587679E-2</v>
      </c>
      <c r="I366" s="5">
        <f>prices!I367/prices!I366-1</f>
        <v>1.8395975140574006E-2</v>
      </c>
      <c r="J366" s="5">
        <f>prices!J367/prices!J366-1</f>
        <v>1.1663414844607756E-2</v>
      </c>
      <c r="K366" s="8">
        <f>SUMPRODUCT(B366:I366,weights!$B$5:$I$5)</f>
        <v>1.9380655615115424E-2</v>
      </c>
      <c r="L366" s="4">
        <f t="shared" si="10"/>
        <v>102.05894879893944</v>
      </c>
      <c r="M366" s="4">
        <f>L366/MAX(L$2:L366)-1</f>
        <v>-8.0971262607282157E-2</v>
      </c>
      <c r="N366" s="4">
        <f t="shared" si="11"/>
        <v>3.885916587007654E-2</v>
      </c>
    </row>
    <row r="367" spans="1:14">
      <c r="A367" s="3">
        <f>prices!A368</f>
        <v>44015</v>
      </c>
      <c r="B367" s="5">
        <f>prices!B368/prices!B367-1</f>
        <v>1.5657252177415426E-2</v>
      </c>
      <c r="C367" s="5">
        <f>prices!C368/prices!C367-1</f>
        <v>1.9705501390115732E-2</v>
      </c>
      <c r="D367" s="5">
        <f>prices!D368/prices!D367-1</f>
        <v>-1.4186353516048245E-2</v>
      </c>
      <c r="E367" s="5">
        <f>prices!E368/prices!E367-1</f>
        <v>8.0618905133253982E-3</v>
      </c>
      <c r="F367" s="5">
        <f>prices!F368/prices!F367-1</f>
        <v>8.291646679914777E-3</v>
      </c>
      <c r="G367" s="5">
        <f>prices!G368/prices!G367-1</f>
        <v>-2.749271121391561E-3</v>
      </c>
      <c r="H367" s="5">
        <f>prices!H368/prices!H367-1</f>
        <v>8.1253235499334497E-3</v>
      </c>
      <c r="I367" s="5">
        <f>prices!I368/prices!I367-1</f>
        <v>3.1268525729697405E-3</v>
      </c>
      <c r="J367" s="5">
        <f>prices!J368/prices!J367-1</f>
        <v>5.2740316726214154E-3</v>
      </c>
      <c r="K367" s="8">
        <f>SUMPRODUCT(B367:I367,weights!$B$5:$I$5)</f>
        <v>5.3517953000239375E-3</v>
      </c>
      <c r="L367" s="4">
        <f t="shared" si="10"/>
        <v>102.60514740144698</v>
      </c>
      <c r="M367" s="4">
        <f>L367/MAX(L$2:L367)-1</f>
        <v>-7.6052808929916949E-2</v>
      </c>
      <c r="N367" s="4">
        <f t="shared" si="11"/>
        <v>3.7104410049006553E-2</v>
      </c>
    </row>
    <row r="368" spans="1:14">
      <c r="A368" s="3">
        <f>prices!A369</f>
        <v>44018</v>
      </c>
      <c r="B368" s="5">
        <f>prices!B369/prices!B368-1</f>
        <v>3.5739070090214931E-2</v>
      </c>
      <c r="C368" s="5">
        <f>prices!C369/prices!C368-1</f>
        <v>2.8891380950609502E-2</v>
      </c>
      <c r="D368" s="5">
        <f>prices!D369/prices!D368-1</f>
        <v>2.7062138988267703E-2</v>
      </c>
      <c r="E368" s="5">
        <f>prices!E369/prices!E368-1</f>
        <v>1.707140769905191E-3</v>
      </c>
      <c r="F368" s="5">
        <f>prices!F369/prices!F368-1</f>
        <v>1.4136196819355851E-2</v>
      </c>
      <c r="G368" s="5">
        <f>prices!G369/prices!G368-1</f>
        <v>3.2282754627762422E-2</v>
      </c>
      <c r="H368" s="5">
        <f>prices!H369/prices!H368-1</f>
        <v>7.0328198258540198E-3</v>
      </c>
      <c r="I368" s="5">
        <f>prices!I369/prices!I368-1</f>
        <v>7.3698115831188904E-3</v>
      </c>
      <c r="J368" s="5">
        <f>prices!J369/prices!J368-1</f>
        <v>1.4735065779860168E-2</v>
      </c>
      <c r="K368" s="8">
        <f>SUMPRODUCT(B368:I368,weights!$B$5:$I$5)</f>
        <v>1.9211765143834977E-2</v>
      </c>
      <c r="L368" s="4">
        <f t="shared" si="10"/>
        <v>104.57637339587217</v>
      </c>
      <c r="M368" s="4">
        <f>L368/MAX(L$2:L368)-1</f>
        <v>-5.830215248977233E-2</v>
      </c>
      <c r="N368" s="4">
        <f t="shared" si="11"/>
        <v>5.7941149570481798E-2</v>
      </c>
    </row>
    <row r="369" spans="1:14">
      <c r="A369" s="3">
        <f>prices!A370</f>
        <v>44019</v>
      </c>
      <c r="B369" s="5">
        <f>prices!B370/prices!B369-1</f>
        <v>-1.5314668581000168E-2</v>
      </c>
      <c r="C369" s="5">
        <f>prices!C370/prices!C369-1</f>
        <v>2.9598789187401664E-3</v>
      </c>
      <c r="D369" s="5">
        <f>prices!D370/prices!D369-1</f>
        <v>1.9460174752370385E-3</v>
      </c>
      <c r="E369" s="5">
        <f>prices!E370/prices!E369-1</f>
        <v>3.9473684210526105E-2</v>
      </c>
      <c r="F369" s="5">
        <f>prices!F370/prices!F369-1</f>
        <v>-2.7744270205066202E-2</v>
      </c>
      <c r="G369" s="5">
        <f>prices!G370/prices!G369-1</f>
        <v>1.6845143108181526E-2</v>
      </c>
      <c r="H369" s="5">
        <f>prices!H370/prices!H369-1</f>
        <v>-1.9731737057975263E-3</v>
      </c>
      <c r="I369" s="5">
        <f>prices!I370/prices!I369-1</f>
        <v>-7.9945705937838341E-3</v>
      </c>
      <c r="J369" s="5">
        <f>prices!J370/prices!J369-1</f>
        <v>3.3445903573601221E-3</v>
      </c>
      <c r="K369" s="8">
        <f>SUMPRODUCT(B369:I369,weights!$B$5:$I$5)</f>
        <v>8.8306920611361511E-4</v>
      </c>
      <c r="L369" s="4">
        <f t="shared" si="10"/>
        <v>104.66872157090511</v>
      </c>
      <c r="M369" s="4">
        <f>L369/MAX(L$2:L369)-1</f>
        <v>-5.7470568119172505E-2</v>
      </c>
      <c r="N369" s="4">
        <f t="shared" si="11"/>
        <v>6.4423535886310779E-2</v>
      </c>
    </row>
    <row r="370" spans="1:14">
      <c r="A370" s="3">
        <f>prices!A371</f>
        <v>44020</v>
      </c>
      <c r="B370" s="5">
        <f>prices!B371/prices!B370-1</f>
        <v>-1.3948967193195605E-2</v>
      </c>
      <c r="C370" s="5">
        <f>prices!C371/prices!C370-1</f>
        <v>-2.2470926339860475E-2</v>
      </c>
      <c r="D370" s="5">
        <f>prices!D371/prices!D370-1</f>
        <v>4.7002155884008356E-3</v>
      </c>
      <c r="E370" s="5">
        <f>prices!E371/prices!E370-1</f>
        <v>-2.450408401400217E-2</v>
      </c>
      <c r="F370" s="5">
        <f>prices!F371/prices!F370-1</f>
        <v>1.0545905707195935E-2</v>
      </c>
      <c r="G370" s="5">
        <f>prices!G371/prices!G370-1</f>
        <v>-2.9284794584643947E-2</v>
      </c>
      <c r="H370" s="5">
        <f>prices!H371/prices!H370-1</f>
        <v>6.7753687577749577E-3</v>
      </c>
      <c r="I370" s="5">
        <f>prices!I371/prices!I370-1</f>
        <v>-2.4930715801435577E-3</v>
      </c>
      <c r="J370" s="5">
        <f>prices!J371/prices!J370-1</f>
        <v>-8.6947262179792872E-3</v>
      </c>
      <c r="K370" s="8">
        <f>SUMPRODUCT(B370:I370,weights!$B$5:$I$5)</f>
        <v>-9.7554317814112154E-3</v>
      </c>
      <c r="L370" s="4">
        <f t="shared" si="10"/>
        <v>103.64763299797261</v>
      </c>
      <c r="M370" s="4">
        <f>L370/MAX(L$2:L370)-1</f>
        <v>-6.6665349693858289E-2</v>
      </c>
      <c r="N370" s="4">
        <f t="shared" si="11"/>
        <v>5.0464171199278374E-2</v>
      </c>
    </row>
    <row r="371" spans="1:14">
      <c r="A371" s="3">
        <f>prices!A372</f>
        <v>44021</v>
      </c>
      <c r="B371" s="5">
        <f>prices!B372/prices!B371-1</f>
        <v>1.4602227917981159E-2</v>
      </c>
      <c r="C371" s="5">
        <f>prices!C372/prices!C371-1</f>
        <v>-6.5543021828355919E-3</v>
      </c>
      <c r="D371" s="5">
        <f>prices!D372/prices!D371-1</f>
        <v>1.3145430996153173E-2</v>
      </c>
      <c r="E371" s="5">
        <f>prices!E372/prices!E371-1</f>
        <v>9.039428259947746E-3</v>
      </c>
      <c r="F371" s="5">
        <f>prices!F372/prices!F371-1</f>
        <v>-4.365322965691365E-3</v>
      </c>
      <c r="G371" s="5">
        <f>prices!G372/prices!G371-1</f>
        <v>-6.957577250217728E-3</v>
      </c>
      <c r="H371" s="5">
        <f>prices!H372/prices!H371-1</f>
        <v>-1.1473709759272088E-3</v>
      </c>
      <c r="I371" s="5">
        <f>prices!I372/prices!I371-1</f>
        <v>3.9291360550544052E-3</v>
      </c>
      <c r="J371" s="5">
        <f>prices!J372/prices!J371-1</f>
        <v>1.006001447820104E-2</v>
      </c>
      <c r="K371" s="8">
        <f>SUMPRODUCT(B371:I371,weights!$B$5:$I$5)</f>
        <v>1.9104131418518355E-3</v>
      </c>
      <c r="L371" s="4">
        <f t="shared" si="10"/>
        <v>103.84564279817378</v>
      </c>
      <c r="M371" s="4">
        <f>L371/MAX(L$2:L371)-1</f>
        <v>-6.4882294912167682E-2</v>
      </c>
      <c r="N371" s="4">
        <f t="shared" si="11"/>
        <v>8.4203349257921722E-2</v>
      </c>
    </row>
    <row r="372" spans="1:14">
      <c r="A372" s="3">
        <f>prices!A373</f>
        <v>44022</v>
      </c>
      <c r="B372" s="5">
        <f>prices!B373/prices!B372-1</f>
        <v>2.9488565286566182E-2</v>
      </c>
      <c r="C372" s="5">
        <f>prices!C373/prices!C372-1</f>
        <v>8.1620747262072246E-3</v>
      </c>
      <c r="D372" s="5">
        <f>prices!D373/prices!D372-1</f>
        <v>-1.763055963670368E-2</v>
      </c>
      <c r="E372" s="5">
        <f>prices!E373/prices!E372-1</f>
        <v>1.9507510391503224E-4</v>
      </c>
      <c r="F372" s="5">
        <f>prices!F373/prices!F372-1</f>
        <v>-5.6175926560251277E-3</v>
      </c>
      <c r="G372" s="5">
        <f>prices!G373/prices!G372-1</f>
        <v>-7.7804744105298695E-3</v>
      </c>
      <c r="H372" s="5">
        <f>prices!H373/prices!H372-1</f>
        <v>2.4807263248580735E-2</v>
      </c>
      <c r="I372" s="5">
        <f>prices!I373/prices!I372-1</f>
        <v>-1.3547625112896977E-2</v>
      </c>
      <c r="J372" s="5">
        <f>prices!J373/prices!J372-1</f>
        <v>-4.1984750472792154E-3</v>
      </c>
      <c r="K372" s="8">
        <f>SUMPRODUCT(B372:I372,weights!$B$5:$I$5)</f>
        <v>2.2665497352082711E-3</v>
      </c>
      <c r="L372" s="4">
        <f t="shared" si="10"/>
        <v>104.08101411236052</v>
      </c>
      <c r="M372" s="4">
        <f>L372/MAX(L$2:L372)-1</f>
        <v>-6.276280412531221E-2</v>
      </c>
      <c r="N372" s="4">
        <f t="shared" si="11"/>
        <v>7.7403827689007443E-2</v>
      </c>
    </row>
    <row r="373" spans="1:14">
      <c r="A373" s="3">
        <f>prices!A374</f>
        <v>44025</v>
      </c>
      <c r="B373" s="5">
        <f>prices!B374/prices!B373-1</f>
        <v>3.0319117560313913E-2</v>
      </c>
      <c r="C373" s="5">
        <f>prices!C374/prices!C373-1</f>
        <v>-1.0573716161478286E-3</v>
      </c>
      <c r="D373" s="5">
        <f>prices!D374/prices!D373-1</f>
        <v>-2.2491987957657611E-2</v>
      </c>
      <c r="E373" s="5">
        <f>prices!E374/prices!E373-1</f>
        <v>1.9443694301917391E-2</v>
      </c>
      <c r="F373" s="5">
        <f>prices!F374/prices!F373-1</f>
        <v>1.64657251119531E-2</v>
      </c>
      <c r="G373" s="5">
        <f>prices!G374/prices!G373-1</f>
        <v>5.5740245457045479E-3</v>
      </c>
      <c r="H373" s="5">
        <f>prices!H374/prices!H373-1</f>
        <v>1.1747715123297198E-2</v>
      </c>
      <c r="I373" s="5">
        <f>prices!I374/prices!I373-1</f>
        <v>-4.2844398535073491E-3</v>
      </c>
      <c r="J373" s="5">
        <f>prices!J374/prices!J373-1</f>
        <v>3.2178528145765384E-3</v>
      </c>
      <c r="K373" s="8">
        <f>SUMPRODUCT(B373:I373,weights!$B$5:$I$5)</f>
        <v>7.130377989676669E-3</v>
      </c>
      <c r="L373" s="4">
        <f t="shared" si="10"/>
        <v>104.82315108453054</v>
      </c>
      <c r="M373" s="4">
        <f>L373/MAX(L$2:L373)-1</f>
        <v>-5.6079948652740907E-2</v>
      </c>
      <c r="N373" s="4">
        <f t="shared" si="11"/>
        <v>9.7300820492836948E-2</v>
      </c>
    </row>
    <row r="374" spans="1:14">
      <c r="A374" s="3">
        <f>prices!A375</f>
        <v>44026</v>
      </c>
      <c r="B374" s="5">
        <f>prices!B375/prices!B374-1</f>
        <v>-9.2975324898380007E-3</v>
      </c>
      <c r="C374" s="5">
        <f>prices!C375/prices!C374-1</f>
        <v>-2.164376780608035E-2</v>
      </c>
      <c r="D374" s="5">
        <f>prices!D375/prices!D374-1</f>
        <v>-1.9810439724203599E-2</v>
      </c>
      <c r="E374" s="5">
        <f>prices!E375/prices!E374-1</f>
        <v>-1.7321559970566613E-2</v>
      </c>
      <c r="F374" s="5">
        <f>prices!F375/prices!F374-1</f>
        <v>-8.3367222448148537E-3</v>
      </c>
      <c r="G374" s="5">
        <f>prices!G375/prices!G374-1</f>
        <v>-3.6250488263911085E-2</v>
      </c>
      <c r="H374" s="5">
        <f>prices!H375/prices!H374-1</f>
        <v>-1.521187975371241E-2</v>
      </c>
      <c r="I374" s="5">
        <f>prices!I375/prices!I374-1</f>
        <v>-1.6433446897803683E-2</v>
      </c>
      <c r="J374" s="5">
        <f>prices!J375/prices!J374-1</f>
        <v>-1.8083442102437397E-2</v>
      </c>
      <c r="K374" s="8">
        <f>SUMPRODUCT(B374:I374,weights!$B$5:$I$5)</f>
        <v>-1.9299652372599486E-2</v>
      </c>
      <c r="L374" s="4">
        <f t="shared" si="10"/>
        <v>102.80010070799862</v>
      </c>
      <c r="M374" s="4">
        <f>L374/MAX(L$2:L374)-1</f>
        <v>-7.4297277511269244E-2</v>
      </c>
      <c r="N374" s="4">
        <f t="shared" si="11"/>
        <v>7.1896084940219707E-2</v>
      </c>
    </row>
    <row r="375" spans="1:14">
      <c r="A375" s="3">
        <f>prices!A376</f>
        <v>44027</v>
      </c>
      <c r="B375" s="5">
        <f>prices!B376/prices!B375-1</f>
        <v>-3.8082359603804794E-2</v>
      </c>
      <c r="C375" s="5">
        <f>prices!C376/prices!C375-1</f>
        <v>2.8522523589348925E-2</v>
      </c>
      <c r="D375" s="5">
        <f>prices!D376/prices!D375-1</f>
        <v>-5.3922562335293467E-3</v>
      </c>
      <c r="E375" s="5">
        <f>prices!E376/prices!E375-1</f>
        <v>6.090785197609816E-2</v>
      </c>
      <c r="F375" s="5">
        <f>prices!F376/prices!F375-1</f>
        <v>1.4284737885311927E-2</v>
      </c>
      <c r="G375" s="5">
        <f>prices!G376/prices!G375-1</f>
        <v>5.1197211511357921E-3</v>
      </c>
      <c r="H375" s="5">
        <f>prices!H376/prices!H375-1</f>
        <v>6.1008588797784036E-3</v>
      </c>
      <c r="I375" s="5">
        <f>prices!I376/prices!I375-1</f>
        <v>-7.6708256924717944E-4</v>
      </c>
      <c r="J375" s="5">
        <f>prices!J376/prices!J375-1</f>
        <v>1.0228756475463285E-3</v>
      </c>
      <c r="K375" s="8">
        <f>SUMPRODUCT(B375:I375,weights!$B$5:$I$5)</f>
        <v>5.3768530360484516E-3</v>
      </c>
      <c r="L375" s="4">
        <f t="shared" si="10"/>
        <v>103.35284174159652</v>
      </c>
      <c r="M375" s="4">
        <f>L375/MAX(L$2:L375)-1</f>
        <v>-6.9319910017377362E-2</v>
      </c>
      <c r="N375" s="4">
        <f t="shared" si="11"/>
        <v>7.3363139841196245E-2</v>
      </c>
    </row>
    <row r="376" spans="1:14">
      <c r="A376" s="3">
        <f>prices!A377</f>
        <v>44028</v>
      </c>
      <c r="B376" s="5">
        <f>prices!B377/prices!B376-1</f>
        <v>-3.2441005430861036E-4</v>
      </c>
      <c r="C376" s="5">
        <f>prices!C377/prices!C376-1</f>
        <v>2.6271443673395733E-3</v>
      </c>
      <c r="D376" s="5">
        <f>prices!D377/prices!D376-1</f>
        <v>8.9271156041088595E-3</v>
      </c>
      <c r="E376" s="5">
        <f>prices!E377/prices!E376-1</f>
        <v>9.6329757199322463E-2</v>
      </c>
      <c r="F376" s="5">
        <f>prices!F377/prices!F376-1</f>
        <v>-2.4393530997304569E-2</v>
      </c>
      <c r="G376" s="5">
        <f>prices!G377/prices!G376-1</f>
        <v>1.2764350730046115E-2</v>
      </c>
      <c r="H376" s="5">
        <f>prices!H377/prices!H376-1</f>
        <v>9.2893237286313379E-3</v>
      </c>
      <c r="I376" s="5">
        <f>prices!I377/prices!I376-1</f>
        <v>9.8118005493648131E-3</v>
      </c>
      <c r="J376" s="5">
        <f>prices!J377/prices!J376-1</f>
        <v>1.1466161873010527E-2</v>
      </c>
      <c r="K376" s="8">
        <f>SUMPRODUCT(B376:I376,weights!$B$5:$I$5)</f>
        <v>1.2793596457876725E-2</v>
      </c>
      <c r="L376" s="4">
        <f t="shared" si="10"/>
        <v>104.6750962916133</v>
      </c>
      <c r="M376" s="4">
        <f>L376/MAX(L$2:L376)-1</f>
        <v>-5.7413164514759307E-2</v>
      </c>
      <c r="N376" s="4">
        <f t="shared" si="11"/>
        <v>7.4843122918347937E-2</v>
      </c>
    </row>
    <row r="377" spans="1:14">
      <c r="A377" s="3">
        <f>prices!A378</f>
        <v>44029</v>
      </c>
      <c r="B377" s="5">
        <f>prices!B378/prices!B377-1</f>
        <v>3.7054843090828182E-2</v>
      </c>
      <c r="C377" s="5">
        <f>prices!C378/prices!C377-1</f>
        <v>-1.5215258059128045E-2</v>
      </c>
      <c r="D377" s="5">
        <f>prices!D378/prices!D377-1</f>
        <v>3.3796614278211123E-2</v>
      </c>
      <c r="E377" s="5">
        <f>prices!E378/prices!E377-1</f>
        <v>-8.6140296662545746E-3</v>
      </c>
      <c r="F377" s="5">
        <f>prices!F378/prices!F377-1</f>
        <v>1.0360547036885048E-3</v>
      </c>
      <c r="G377" s="5">
        <f>prices!G378/prices!G377-1</f>
        <v>7.5143065011780141E-3</v>
      </c>
      <c r="H377" s="5">
        <f>prices!H378/prices!H377-1</f>
        <v>7.7976862603061914E-3</v>
      </c>
      <c r="I377" s="5">
        <f>prices!I378/prices!I377-1</f>
        <v>4.7750840391034277E-3</v>
      </c>
      <c r="J377" s="5">
        <f>prices!J378/prices!J377-1</f>
        <v>1.5060591529755696E-2</v>
      </c>
      <c r="K377" s="8">
        <f>SUMPRODUCT(B377:I377,weights!$B$5:$I$5)</f>
        <v>8.8276252636492209E-3</v>
      </c>
      <c r="L377" s="4">
        <f t="shared" si="10"/>
        <v>105.59912881611206</v>
      </c>
      <c r="M377" s="4">
        <f>L377/MAX(L$2:L377)-1</f>
        <v>-4.9092361152646702E-2</v>
      </c>
      <c r="N377" s="4">
        <f t="shared" si="11"/>
        <v>6.8472857225973183E-2</v>
      </c>
    </row>
    <row r="378" spans="1:14">
      <c r="A378" s="3">
        <f>prices!A379</f>
        <v>44032</v>
      </c>
      <c r="B378" s="5">
        <f>prices!B379/prices!B378-1</f>
        <v>4.2881646655230643E-3</v>
      </c>
      <c r="C378" s="5">
        <f>prices!C379/prices!C378-1</f>
        <v>3.2490764248498394E-3</v>
      </c>
      <c r="D378" s="5">
        <f>prices!D379/prices!D378-1</f>
        <v>3.1499755740107549E-2</v>
      </c>
      <c r="E378" s="5">
        <f>prices!E379/prices!E378-1</f>
        <v>3.4495746477043898E-2</v>
      </c>
      <c r="F378" s="5">
        <f>prices!F379/prices!F378-1</f>
        <v>-6.9688815290140926E-3</v>
      </c>
      <c r="G378" s="5">
        <f>prices!G379/prices!G378-1</f>
        <v>-8.7839367125442935E-3</v>
      </c>
      <c r="H378" s="5">
        <f>prices!H379/prices!H378-1</f>
        <v>-3.9320973299790674E-2</v>
      </c>
      <c r="I378" s="5">
        <f>prices!I379/prices!I378-1</f>
        <v>-6.4310962418280271E-3</v>
      </c>
      <c r="J378" s="5">
        <f>prices!J379/prices!J378-1</f>
        <v>1.1053321958960582E-2</v>
      </c>
      <c r="K378" s="8">
        <f>SUMPRODUCT(B378:I378,weights!$B$5:$I$5)</f>
        <v>-3.3907932171253615E-3</v>
      </c>
      <c r="L378" s="4">
        <f t="shared" si="10"/>
        <v>105.24106400638804</v>
      </c>
      <c r="M378" s="4">
        <f>L378/MAX(L$2:L378)-1</f>
        <v>-5.231669232456293E-2</v>
      </c>
      <c r="N378" s="4">
        <f t="shared" si="11"/>
        <v>6.2976173309308603E-2</v>
      </c>
    </row>
    <row r="379" spans="1:14">
      <c r="A379" s="3">
        <f>prices!A380</f>
        <v>44033</v>
      </c>
      <c r="B379" s="5">
        <f>prices!B380/prices!B379-1</f>
        <v>2.6900085397096651E-2</v>
      </c>
      <c r="C379" s="5">
        <f>prices!C380/prices!C379-1</f>
        <v>7.7661901290138058E-3</v>
      </c>
      <c r="D379" s="5">
        <f>prices!D380/prices!D379-1</f>
        <v>4.8496788982135275E-3</v>
      </c>
      <c r="E379" s="5">
        <f>prices!E380/prices!E379-1</f>
        <v>2.611392198465845E-3</v>
      </c>
      <c r="F379" s="5">
        <f>prices!F380/prices!F379-1</f>
        <v>-2.3624235686491302E-3</v>
      </c>
      <c r="G379" s="5">
        <f>prices!G380/prices!G379-1</f>
        <v>4.4883365228485239E-2</v>
      </c>
      <c r="H379" s="5">
        <f>prices!H380/prices!H379-1</f>
        <v>-1.3533437493123301E-2</v>
      </c>
      <c r="I379" s="5">
        <f>prices!I380/prices!I379-1</f>
        <v>2.0072580165387599E-2</v>
      </c>
      <c r="J379" s="5">
        <f>prices!J380/prices!J379-1</f>
        <v>1.2706174810836135E-2</v>
      </c>
      <c r="K379" s="8">
        <f>SUMPRODUCT(B379:I379,weights!$B$5:$I$5)</f>
        <v>1.5127471564983685E-2</v>
      </c>
      <c r="L379" s="4">
        <f t="shared" si="10"/>
        <v>106.8330952096133</v>
      </c>
      <c r="M379" s="4">
        <f>L379/MAX(L$2:L379)-1</f>
        <v>-3.798064003509305E-2</v>
      </c>
      <c r="N379" s="4">
        <f t="shared" si="11"/>
        <v>6.1184140758642869E-2</v>
      </c>
    </row>
    <row r="380" spans="1:14">
      <c r="A380" s="3">
        <f>prices!A381</f>
        <v>44034</v>
      </c>
      <c r="B380" s="5">
        <f>prices!B381/prices!B380-1</f>
        <v>1.645221104680572E-2</v>
      </c>
      <c r="C380" s="5">
        <f>prices!C381/prices!C380-1</f>
        <v>-1.5323561482972647E-2</v>
      </c>
      <c r="D380" s="5">
        <f>prices!D381/prices!D380-1</f>
        <v>-1.0708293271496583E-2</v>
      </c>
      <c r="E380" s="5">
        <f>prices!E381/prices!E380-1</f>
        <v>-2.0122966728859715E-2</v>
      </c>
      <c r="F380" s="5">
        <f>prices!F381/prices!F380-1</f>
        <v>2.2426521799693511E-2</v>
      </c>
      <c r="G380" s="5">
        <f>prices!G381/prices!G380-1</f>
        <v>-2.0788275592941052E-2</v>
      </c>
      <c r="H380" s="5">
        <f>prices!H381/prices!H380-1</f>
        <v>-6.1791737307039796E-3</v>
      </c>
      <c r="I380" s="5">
        <f>prices!I381/prices!I380-1</f>
        <v>-1.8289553492278343E-2</v>
      </c>
      <c r="J380" s="5">
        <f>prices!J381/prices!J380-1</f>
        <v>-2.6562744966291962E-3</v>
      </c>
      <c r="K380" s="8">
        <f>SUMPRODUCT(B380:I380,weights!$B$5:$I$5)</f>
        <v>-8.4533733099243415E-3</v>
      </c>
      <c r="L380" s="4">
        <f t="shared" si="10"/>
        <v>105.92999517395175</v>
      </c>
      <c r="M380" s="4">
        <f>L380/MAX(L$2:L380)-1</f>
        <v>-4.6112948816250943E-2</v>
      </c>
      <c r="N380" s="4">
        <f t="shared" si="11"/>
        <v>6.2380303054316411E-2</v>
      </c>
    </row>
    <row r="381" spans="1:14">
      <c r="A381" s="3">
        <f>prices!A382</f>
        <v>44035</v>
      </c>
      <c r="B381" s="5">
        <f>prices!B382/prices!B381-1</f>
        <v>2.6854912713241585E-2</v>
      </c>
      <c r="C381" s="5">
        <f>prices!C382/prices!C381-1</f>
        <v>-9.0135176144259255E-3</v>
      </c>
      <c r="D381" s="5">
        <f>prices!D382/prices!D381-1</f>
        <v>3.5826584087661484E-3</v>
      </c>
      <c r="E381" s="5">
        <f>prices!E382/prices!E381-1</f>
        <v>-1.0836783724377685E-2</v>
      </c>
      <c r="F381" s="5">
        <f>prices!F382/prices!F381-1</f>
        <v>2.1117166212534011E-2</v>
      </c>
      <c r="G381" s="5">
        <f>prices!G382/prices!G381-1</f>
        <v>1.0418198016610258E-2</v>
      </c>
      <c r="H381" s="5">
        <f>prices!H382/prices!H381-1</f>
        <v>3.5913896433301673E-3</v>
      </c>
      <c r="I381" s="5">
        <f>prices!I382/prices!I381-1</f>
        <v>-4.7169811320755262E-3</v>
      </c>
      <c r="J381" s="5">
        <f>prices!J382/prices!J381-1</f>
        <v>7.4421069651293692E-3</v>
      </c>
      <c r="K381" s="8">
        <f>SUMPRODUCT(B381:I381,weights!$B$5:$I$5)</f>
        <v>5.3781336723164527E-3</v>
      </c>
      <c r="L381" s="4">
        <f t="shared" si="10"/>
        <v>106.4997008479051</v>
      </c>
      <c r="M381" s="4">
        <f>L381/MAX(L$2:L381)-1</f>
        <v>-4.0982816746692907E-2</v>
      </c>
      <c r="N381" s="4">
        <f t="shared" si="11"/>
        <v>6.8729308600289363E-2</v>
      </c>
    </row>
    <row r="382" spans="1:14">
      <c r="A382" s="3">
        <f>prices!A383</f>
        <v>44036</v>
      </c>
      <c r="B382" s="5">
        <f>prices!B383/prices!B382-1</f>
        <v>4.2927280949202284E-2</v>
      </c>
      <c r="C382" s="5">
        <f>prices!C383/prices!C382-1</f>
        <v>-6.3555679718054758E-3</v>
      </c>
      <c r="D382" s="5">
        <f>prices!D383/prices!D382-1</f>
        <v>-9.9880371418262781E-3</v>
      </c>
      <c r="E382" s="5">
        <f>prices!E383/prices!E382-1</f>
        <v>1.640742080512636E-2</v>
      </c>
      <c r="F382" s="5">
        <f>prices!F383/prices!F382-1</f>
        <v>-5.5370246831221159E-3</v>
      </c>
      <c r="G382" s="5">
        <f>prices!G383/prices!G382-1</f>
        <v>-1.0756024407901466E-2</v>
      </c>
      <c r="H382" s="5">
        <f>prices!H383/prices!H382-1</f>
        <v>2.0151640535885917E-2</v>
      </c>
      <c r="I382" s="5">
        <f>prices!I383/prices!I382-1</f>
        <v>-1.3262979454916612E-2</v>
      </c>
      <c r="J382" s="5">
        <f>prices!J383/prices!J382-1</f>
        <v>-1.8991658827778313E-3</v>
      </c>
      <c r="K382" s="8">
        <f>SUMPRODUCT(B382:I382,weights!$B$5:$I$5)</f>
        <v>3.4273347303229152E-3</v>
      </c>
      <c r="L382" s="4">
        <f t="shared" si="10"/>
        <v>106.86471097139012</v>
      </c>
      <c r="M382" s="4">
        <f>L382/MAX(L$2:L382)-1</f>
        <v>-3.7695943847552482E-2</v>
      </c>
      <c r="N382" s="4">
        <f t="shared" si="11"/>
        <v>5.9145371375591171E-2</v>
      </c>
    </row>
    <row r="383" spans="1:14">
      <c r="A383" s="3">
        <f>prices!A384</f>
        <v>44039</v>
      </c>
      <c r="B383" s="5">
        <f>prices!B384/prices!B383-1</f>
        <v>4.6869354255925089E-3</v>
      </c>
      <c r="C383" s="5">
        <f>prices!C384/prices!C383-1</f>
        <v>2.2897709147729595E-2</v>
      </c>
      <c r="D383" s="5">
        <f>prices!D384/prices!D383-1</f>
        <v>-3.5387536682202625E-2</v>
      </c>
      <c r="E383" s="5">
        <f>prices!E384/prices!E383-1</f>
        <v>2.7747413376719265E-2</v>
      </c>
      <c r="F383" s="5">
        <f>prices!F384/prices!F383-1</f>
        <v>-1.6032736298383199E-2</v>
      </c>
      <c r="G383" s="5">
        <f>prices!G384/prices!G383-1</f>
        <v>7.098620500234798E-3</v>
      </c>
      <c r="H383" s="5">
        <f>prices!H384/prices!H383-1</f>
        <v>-2.0784004209418616E-2</v>
      </c>
      <c r="I383" s="5">
        <f>prices!I384/prices!I383-1</f>
        <v>-6.6540843979867592E-4</v>
      </c>
      <c r="J383" s="5">
        <f>prices!J384/prices!J383-1</f>
        <v>-5.5698735500239183E-3</v>
      </c>
      <c r="K383" s="8">
        <f>SUMPRODUCT(B383:I383,weights!$B$5:$I$5)</f>
        <v>-8.9917436623282421E-4</v>
      </c>
      <c r="L383" s="4">
        <f t="shared" si="10"/>
        <v>106.76862096262978</v>
      </c>
      <c r="M383" s="4">
        <f>L383/MAX(L$2:L383)-1</f>
        <v>-3.8561222987366528E-2</v>
      </c>
      <c r="N383" s="4">
        <f t="shared" si="11"/>
        <v>6.7631264579522732E-2</v>
      </c>
    </row>
    <row r="384" spans="1:14">
      <c r="A384" s="3">
        <f>prices!A385</f>
        <v>44040</v>
      </c>
      <c r="B384" s="5">
        <f>prices!B385/prices!B384-1</f>
        <v>9.9672212003820704E-3</v>
      </c>
      <c r="C384" s="5">
        <f>prices!C385/prices!C384-1</f>
        <v>4.6646721779393996E-2</v>
      </c>
      <c r="D384" s="5">
        <f>prices!D385/prices!D384-1</f>
        <v>6.6213314244809585E-3</v>
      </c>
      <c r="E384" s="5">
        <f>prices!E385/prices!E384-1</f>
        <v>1.5174938471622657E-2</v>
      </c>
      <c r="F384" s="5">
        <f>prices!F385/prices!F384-1</f>
        <v>-5.0449959094628349E-3</v>
      </c>
      <c r="G384" s="5">
        <f>prices!G385/prices!G384-1</f>
        <v>3.9631136940674772E-2</v>
      </c>
      <c r="H384" s="5">
        <f>prices!H385/prices!H384-1</f>
        <v>1.4911337990327844E-2</v>
      </c>
      <c r="I384" s="5">
        <f>prices!I385/prices!I384-1</f>
        <v>1.0738368784881436E-2</v>
      </c>
      <c r="J384" s="5">
        <f>prices!J385/prices!J384-1</f>
        <v>1.5159273432868048E-2</v>
      </c>
      <c r="K384" s="8">
        <f>SUMPRODUCT(B384:I384,weights!$B$5:$I$5)</f>
        <v>1.878820383836223E-2</v>
      </c>
      <c r="L384" s="4">
        <f t="shared" si="10"/>
        <v>108.7746115768165</v>
      </c>
      <c r="M384" s="4">
        <f>L384/MAX(L$2:L384)-1</f>
        <v>-2.049751526674759E-2</v>
      </c>
      <c r="N384" s="4">
        <f t="shared" si="11"/>
        <v>8.7070079447211679E-2</v>
      </c>
    </row>
    <row r="385" spans="1:14">
      <c r="A385" s="3">
        <f>prices!A386</f>
        <v>44041</v>
      </c>
      <c r="B385" s="5">
        <f>prices!B386/prices!B385-1</f>
        <v>-3.7216779090233909E-2</v>
      </c>
      <c r="C385" s="5">
        <f>prices!C386/prices!C385-1</f>
        <v>-1.4589951164822534E-2</v>
      </c>
      <c r="D385" s="5">
        <f>prices!D386/prices!D385-1</f>
        <v>-2.0286419753086427E-2</v>
      </c>
      <c r="E385" s="5">
        <f>prices!E386/prices!E385-1</f>
        <v>-9.0273378490327572E-3</v>
      </c>
      <c r="F385" s="5">
        <f>prices!F386/prices!F385-1</f>
        <v>6.6465670823625533E-3</v>
      </c>
      <c r="G385" s="5">
        <f>prices!G386/prices!G385-1</f>
        <v>-1.5543313616477428E-2</v>
      </c>
      <c r="H385" s="5">
        <f>prices!H386/prices!H385-1</f>
        <v>2.1553055371718477E-2</v>
      </c>
      <c r="I385" s="5">
        <f>prices!I386/prices!I385-1</f>
        <v>9.2468378689152253E-3</v>
      </c>
      <c r="J385" s="5">
        <f>prices!J386/prices!J385-1</f>
        <v>-8.6455968957261931E-3</v>
      </c>
      <c r="K385" s="8">
        <f>SUMPRODUCT(B385:I385,weights!$B$5:$I$5)</f>
        <v>-5.6846102942271735E-3</v>
      </c>
      <c r="L385" s="4">
        <f t="shared" si="10"/>
        <v>108.15627030009637</v>
      </c>
      <c r="M385" s="4">
        <f>L385/MAX(L$2:L385)-1</f>
        <v>-2.606560517468326E-2</v>
      </c>
      <c r="N385" s="4">
        <f t="shared" si="11"/>
        <v>8.0281651191606018E-2</v>
      </c>
    </row>
    <row r="386" spans="1:14">
      <c r="A386" s="3">
        <f>prices!A387</f>
        <v>44042</v>
      </c>
      <c r="B386" s="5">
        <f>prices!B387/prices!B386-1</f>
        <v>5.822616267396663E-3</v>
      </c>
      <c r="C386" s="5">
        <f>prices!C387/prices!C386-1</f>
        <v>1.5169840716673377E-3</v>
      </c>
      <c r="D386" s="5">
        <f>prices!D387/prices!D386-1</f>
        <v>-1.3105367151901248E-2</v>
      </c>
      <c r="E386" s="5">
        <f>prices!E387/prices!E386-1</f>
        <v>7.6466321625707767E-3</v>
      </c>
      <c r="F386" s="5">
        <f>prices!F387/prices!F386-1</f>
        <v>-1.7017221428085261E-2</v>
      </c>
      <c r="G386" s="5">
        <f>prices!G387/prices!G386-1</f>
        <v>1.2976184541011238E-2</v>
      </c>
      <c r="H386" s="5">
        <f>prices!H387/prices!H386-1</f>
        <v>3.4379251517049347E-2</v>
      </c>
      <c r="I386" s="5">
        <f>prices!I387/prices!I386-1</f>
        <v>-1.4858770472347516E-2</v>
      </c>
      <c r="J386" s="5">
        <f>prices!J387/prices!J386-1</f>
        <v>-8.9887841040450223E-3</v>
      </c>
      <c r="K386" s="8">
        <f>SUMPRODUCT(B386:I386,weights!$B$5:$I$5)</f>
        <v>3.905853264259906E-3</v>
      </c>
      <c r="L386" s="4">
        <f t="shared" si="10"/>
        <v>108.57871282149819</v>
      </c>
      <c r="M386" s="4">
        <f>L386/MAX(L$2:L386)-1</f>
        <v>-2.226156033947968E-2</v>
      </c>
      <c r="N386" s="4">
        <f t="shared" si="11"/>
        <v>6.388233564312884E-2</v>
      </c>
    </row>
    <row r="387" spans="1:14">
      <c r="A387" s="3">
        <f>prices!A388</f>
        <v>44043</v>
      </c>
      <c r="B387" s="5">
        <f>prices!B388/prices!B387-1</f>
        <v>-1.9804164652980627E-2</v>
      </c>
      <c r="C387" s="5">
        <f>prices!C388/prices!C387-1</f>
        <v>8.3410091085855953E-4</v>
      </c>
      <c r="D387" s="5">
        <f>prices!D388/prices!D387-1</f>
        <v>-1.6997630138105735E-2</v>
      </c>
      <c r="E387" s="5">
        <f>prices!E388/prices!E387-1</f>
        <v>4.7337278106509562E-3</v>
      </c>
      <c r="F387" s="5">
        <f>prices!F388/prices!F387-1</f>
        <v>4.0855896406066794E-3</v>
      </c>
      <c r="G387" s="5">
        <f>prices!G388/prices!G387-1</f>
        <v>-4.2428325829180213E-4</v>
      </c>
      <c r="H387" s="5">
        <f>prices!H388/prices!H387-1</f>
        <v>4.2652247437316104E-2</v>
      </c>
      <c r="I387" s="5">
        <f>prices!I388/prices!I387-1</f>
        <v>5.7223400154202686E-3</v>
      </c>
      <c r="J387" s="5">
        <f>prices!J388/prices!J387-1</f>
        <v>-2.5850848709483287E-3</v>
      </c>
      <c r="K387" s="8">
        <f>SUMPRODUCT(B387:I387,weights!$B$5:$I$5)</f>
        <v>4.5095105116592883E-3</v>
      </c>
      <c r="L387" s="4">
        <f t="shared" si="10"/>
        <v>109.06834966830917</v>
      </c>
      <c r="M387" s="4">
        <f>L387/MAX(L$2:L387)-1</f>
        <v>-1.7852438568177198E-2</v>
      </c>
      <c r="N387" s="4">
        <f t="shared" si="11"/>
        <v>6.299101390668671E-2</v>
      </c>
    </row>
    <row r="388" spans="1:14">
      <c r="A388" s="3">
        <f>prices!A389</f>
        <v>44046</v>
      </c>
      <c r="B388" s="5">
        <f>prices!B389/prices!B388-1</f>
        <v>-2.8103797549760445E-2</v>
      </c>
      <c r="C388" s="5">
        <f>prices!C389/prices!C388-1</f>
        <v>-1.1943778344743583E-2</v>
      </c>
      <c r="D388" s="5">
        <f>prices!D389/prices!D388-1</f>
        <v>-2.9823759248482906E-2</v>
      </c>
      <c r="E388" s="5">
        <f>prices!E389/prices!E388-1</f>
        <v>-9.4228504122496615E-3</v>
      </c>
      <c r="F388" s="5">
        <f>prices!F389/prices!F388-1</f>
        <v>-7.9310344827586698E-3</v>
      </c>
      <c r="G388" s="5">
        <f>prices!G389/prices!G388-1</f>
        <v>-1.5576107127758365E-2</v>
      </c>
      <c r="H388" s="5">
        <f>prices!H389/prices!H388-1</f>
        <v>-2.3126827119458571E-2</v>
      </c>
      <c r="I388" s="5">
        <f>prices!I389/prices!I388-1</f>
        <v>2.6831810069116724E-3</v>
      </c>
      <c r="J388" s="5">
        <f>prices!J389/prices!J388-1</f>
        <v>-1.6422162921221561E-2</v>
      </c>
      <c r="K388" s="8">
        <f>SUMPRODUCT(B388:I388,weights!$B$5:$I$5)</f>
        <v>-1.4292314281263265E-2</v>
      </c>
      <c r="L388" s="4">
        <f t="shared" ref="L388:L451" si="12">L387*(1+K388)</f>
        <v>107.50951053671098</v>
      </c>
      <c r="M388" s="4">
        <f>L388/MAX(L$2:L388)-1</f>
        <v>-3.1889600186737144E-2</v>
      </c>
      <c r="N388" s="4">
        <f t="shared" si="11"/>
        <v>2.8047799379459004E-2</v>
      </c>
    </row>
    <row r="389" spans="1:14">
      <c r="A389" s="3">
        <f>prices!A390</f>
        <v>44047</v>
      </c>
      <c r="B389" s="5">
        <f>prices!B390/prices!B389-1</f>
        <v>7.0482492417976328E-2</v>
      </c>
      <c r="C389" s="5">
        <f>prices!C390/prices!C389-1</f>
        <v>-1.9767447877586664E-3</v>
      </c>
      <c r="D389" s="5">
        <f>prices!D390/prices!D389-1</f>
        <v>3.9587840877444824E-2</v>
      </c>
      <c r="E389" s="5">
        <f>prices!E390/prices!E389-1</f>
        <v>-7.3672726381209808E-3</v>
      </c>
      <c r="F389" s="5">
        <f>prices!F390/prices!F389-1</f>
        <v>5.4223149113659108E-3</v>
      </c>
      <c r="G389" s="5">
        <f>prices!G390/prices!G389-1</f>
        <v>3.1426082907184405E-2</v>
      </c>
      <c r="H389" s="5">
        <f>prices!H390/prices!H389-1</f>
        <v>1.8386045462930545E-2</v>
      </c>
      <c r="I389" s="5">
        <f>prices!I390/prices!I389-1</f>
        <v>9.1151277670924458E-3</v>
      </c>
      <c r="J389" s="5">
        <f>prices!J390/prices!J389-1</f>
        <v>1.8697895625986893E-2</v>
      </c>
      <c r="K389" s="8">
        <f>SUMPRODUCT(B389:I389,weights!$B$5:$I$5)</f>
        <v>2.224764032151659E-2</v>
      </c>
      <c r="L389" s="4">
        <f t="shared" si="12"/>
        <v>109.90134345827403</v>
      </c>
      <c r="M389" s="4">
        <f>L389/MAX(L$2:L389)-1</f>
        <v>-1.0351428220171988E-2</v>
      </c>
      <c r="N389" s="4">
        <f t="shared" si="11"/>
        <v>4.9992221256129676E-2</v>
      </c>
    </row>
    <row r="390" spans="1:14">
      <c r="A390" s="3">
        <f>prices!A391</f>
        <v>44048</v>
      </c>
      <c r="B390" s="5">
        <f>prices!B391/prices!B390-1</f>
        <v>-1.1229472729895051E-2</v>
      </c>
      <c r="C390" s="5">
        <f>prices!C391/prices!C390-1</f>
        <v>4.3605630881704549E-3</v>
      </c>
      <c r="D390" s="5">
        <f>prices!D391/prices!D390-1</f>
        <v>-1.3538296688577978E-2</v>
      </c>
      <c r="E390" s="5">
        <f>prices!E391/prices!E390-1</f>
        <v>-5.4213594151353295E-3</v>
      </c>
      <c r="F390" s="5">
        <f>prices!F391/prices!F390-1</f>
        <v>-4.3559427504666903E-3</v>
      </c>
      <c r="G390" s="5">
        <f>prices!G391/prices!G390-1</f>
        <v>2.6309892880911567E-2</v>
      </c>
      <c r="H390" s="5">
        <f>prices!H391/prices!H390-1</f>
        <v>-1.8114483535947024E-4</v>
      </c>
      <c r="I390" s="5">
        <f>prices!I391/prices!I390-1</f>
        <v>1.0370545755889582E-2</v>
      </c>
      <c r="J390" s="5">
        <f>prices!J391/prices!J390-1</f>
        <v>5.7682341542553139E-4</v>
      </c>
      <c r="K390" s="8">
        <f>SUMPRODUCT(B390:I390,weights!$B$5:$I$5)</f>
        <v>4.2527983679703958E-3</v>
      </c>
      <c r="L390" s="4">
        <f t="shared" si="12"/>
        <v>110.36873171237112</v>
      </c>
      <c r="M390" s="4">
        <f>L390/MAX(L$2:L390)-1</f>
        <v>-6.1426523892426088E-3</v>
      </c>
      <c r="N390" s="4">
        <f t="shared" si="11"/>
        <v>6.4845655612125519E-2</v>
      </c>
    </row>
    <row r="391" spans="1:14">
      <c r="A391" s="3">
        <f>prices!A392</f>
        <v>44049</v>
      </c>
      <c r="B391" s="5">
        <f>prices!B392/prices!B391-1</f>
        <v>3.5946486621656337E-3</v>
      </c>
      <c r="C391" s="5">
        <f>prices!C392/prices!C391-1</f>
        <v>2.1506819613228423E-2</v>
      </c>
      <c r="D391" s="5">
        <f>prices!D392/prices!D391-1</f>
        <v>1.2784090909090828E-2</v>
      </c>
      <c r="E391" s="5">
        <f>prices!E392/prices!E391-1</f>
        <v>2.7689136670101977E-2</v>
      </c>
      <c r="F391" s="5">
        <f>prices!F392/prices!F391-1</f>
        <v>1.3194444444444509E-2</v>
      </c>
      <c r="G391" s="5">
        <f>prices!G392/prices!G391-1</f>
        <v>4.5196819603754435E-3</v>
      </c>
      <c r="H391" s="5">
        <f>prices!H392/prices!H391-1</f>
        <v>6.4217413185707617E-3</v>
      </c>
      <c r="I391" s="5">
        <f>prices!I392/prices!I391-1</f>
        <v>-3.8900475710637039E-3</v>
      </c>
      <c r="J391" s="5">
        <f>prices!J392/prices!J391-1</f>
        <v>8.8725549805659387E-3</v>
      </c>
      <c r="K391" s="8">
        <f>SUMPRODUCT(B391:I391,weights!$B$5:$I$5)</f>
        <v>7.8270640625106407E-3</v>
      </c>
      <c r="L391" s="4">
        <f t="shared" si="12"/>
        <v>111.23259484598189</v>
      </c>
      <c r="M391" s="4">
        <f>L391/MAX(L$2:L391)-1</f>
        <v>0</v>
      </c>
      <c r="N391" s="4">
        <f t="shared" si="11"/>
        <v>7.1133962376878968E-2</v>
      </c>
    </row>
    <row r="392" spans="1:14">
      <c r="A392" s="3">
        <f>prices!A393</f>
        <v>44050</v>
      </c>
      <c r="B392" s="5">
        <f>prices!B393/prices!B392-1</f>
        <v>5.7931292241566457E-3</v>
      </c>
      <c r="C392" s="5">
        <f>prices!C393/prices!C392-1</f>
        <v>-5.5237729441255379E-3</v>
      </c>
      <c r="D392" s="5">
        <f>prices!D393/prices!D392-1</f>
        <v>3.0319280587409736E-3</v>
      </c>
      <c r="E392" s="5">
        <f>prices!E393/prices!E392-1</f>
        <v>-2.0551669143499263E-2</v>
      </c>
      <c r="F392" s="5">
        <f>prices!F393/prices!F392-1</f>
        <v>3.5640849897189408E-3</v>
      </c>
      <c r="G392" s="5">
        <f>prices!G393/prices!G392-1</f>
        <v>1.8800260812866787E-2</v>
      </c>
      <c r="H392" s="5">
        <f>prices!H393/prices!H392-1</f>
        <v>-1.1841420970516547E-2</v>
      </c>
      <c r="I392" s="5">
        <f>prices!I393/prices!I392-1</f>
        <v>-7.0458983226292515E-3</v>
      </c>
      <c r="J392" s="5">
        <f>prices!J393/prices!J392-1</f>
        <v>1.2410548073016336E-3</v>
      </c>
      <c r="K392" s="8">
        <f>SUMPRODUCT(B392:I392,weights!$B$5:$I$5)</f>
        <v>-4.8572045863506811E-4</v>
      </c>
      <c r="L392" s="4">
        <f t="shared" si="12"/>
        <v>111.17856689899814</v>
      </c>
      <c r="M392" s="4">
        <f>L392/MAX(L$2:L392)-1</f>
        <v>-4.8572045863504165E-4</v>
      </c>
      <c r="N392" s="4">
        <f t="shared" si="11"/>
        <v>6.819257909012566E-2</v>
      </c>
    </row>
    <row r="393" spans="1:14">
      <c r="A393" s="3">
        <f>prices!A394</f>
        <v>44053</v>
      </c>
      <c r="B393" s="5">
        <f>prices!B394/prices!B393-1</f>
        <v>-1.2396907482529751E-2</v>
      </c>
      <c r="C393" s="5">
        <f>prices!C394/prices!C393-1</f>
        <v>-5.4680631571458749E-3</v>
      </c>
      <c r="D393" s="5">
        <f>prices!D394/prices!D393-1</f>
        <v>6.5184758693015432E-3</v>
      </c>
      <c r="E393" s="5">
        <f>prices!E394/prices!E393-1</f>
        <v>4.6875385488376331E-4</v>
      </c>
      <c r="F393" s="5">
        <f>prices!F394/prices!F393-1</f>
        <v>1.4274006283294671E-2</v>
      </c>
      <c r="G393" s="5">
        <f>prices!G394/prices!G393-1</f>
        <v>-1.049472636815918E-2</v>
      </c>
      <c r="H393" s="5">
        <f>prices!H394/prices!H393-1</f>
        <v>3.4047204566616696E-2</v>
      </c>
      <c r="I393" s="5">
        <f>prices!I394/prices!I393-1</f>
        <v>4.8486643369069604E-2</v>
      </c>
      <c r="J393" s="5">
        <f>prices!J394/prices!J393-1</f>
        <v>5.0026529220041915E-3</v>
      </c>
      <c r="K393" s="8">
        <f>SUMPRODUCT(B393:I393,weights!$B$5:$I$5)</f>
        <v>1.2306790816111832E-2</v>
      </c>
      <c r="L393" s="4">
        <f t="shared" si="12"/>
        <v>112.54681826505922</v>
      </c>
      <c r="M393" s="4">
        <f>L393/MAX(L$2:L393)-1</f>
        <v>0</v>
      </c>
      <c r="N393" s="4">
        <f t="shared" si="11"/>
        <v>7.3682837241748622E-2</v>
      </c>
    </row>
    <row r="394" spans="1:14">
      <c r="A394" s="3">
        <f>prices!A395</f>
        <v>44054</v>
      </c>
      <c r="B394" s="5">
        <f>prices!B395/prices!B394-1</f>
        <v>6.5845857981980949E-3</v>
      </c>
      <c r="C394" s="5">
        <f>prices!C395/prices!C394-1</f>
        <v>-1.2723361420111656E-3</v>
      </c>
      <c r="D394" s="5">
        <f>prices!D395/prices!D394-1</f>
        <v>1.5220233717414322E-2</v>
      </c>
      <c r="E394" s="5">
        <f>prices!E395/prices!E394-1</f>
        <v>-3.0454724797789323E-3</v>
      </c>
      <c r="F394" s="5">
        <f>prices!F395/prices!F394-1</f>
        <v>2.1143357349673542E-2</v>
      </c>
      <c r="G394" s="5">
        <f>prices!G395/prices!G394-1</f>
        <v>6.0978258596082746E-3</v>
      </c>
      <c r="H394" s="5">
        <f>prices!H395/prices!H394-1</f>
        <v>-5.1483830553598064E-3</v>
      </c>
      <c r="I394" s="5">
        <f>prices!I395/prices!I394-1</f>
        <v>1.9320287431643379E-3</v>
      </c>
      <c r="J394" s="5">
        <f>prices!J395/prices!J394-1</f>
        <v>4.6450135978670648E-3</v>
      </c>
      <c r="K394" s="8">
        <f>SUMPRODUCT(B394:I394,weights!$B$5:$I$5)</f>
        <v>4.1571766064621247E-3</v>
      </c>
      <c r="L394" s="4">
        <f t="shared" si="12"/>
        <v>113.01469526508247</v>
      </c>
      <c r="M394" s="4">
        <f>L394/MAX(L$2:L394)-1</f>
        <v>0</v>
      </c>
      <c r="N394" s="4">
        <f t="shared" si="11"/>
        <v>9.9363662941325037E-2</v>
      </c>
    </row>
    <row r="395" spans="1:14">
      <c r="A395" s="3">
        <f>prices!A396</f>
        <v>44055</v>
      </c>
      <c r="B395" s="5">
        <f>prices!B396/prices!B395-1</f>
        <v>-2.9073389541887096E-3</v>
      </c>
      <c r="C395" s="5">
        <f>prices!C396/prices!C395-1</f>
        <v>-9.8897950412883961E-3</v>
      </c>
      <c r="D395" s="5">
        <f>prices!D396/prices!D395-1</f>
        <v>-2.75692753506529E-3</v>
      </c>
      <c r="E395" s="5">
        <f>prices!E396/prices!E395-1</f>
        <v>6.851602211311203E-3</v>
      </c>
      <c r="F395" s="5">
        <f>prices!F396/prices!F395-1</f>
        <v>5.6709528519616192E-3</v>
      </c>
      <c r="G395" s="5">
        <f>prices!G396/prices!G395-1</f>
        <v>1.2196896643814625E-2</v>
      </c>
      <c r="H395" s="5">
        <f>prices!H396/prices!H395-1</f>
        <v>-1.6449892760866502E-2</v>
      </c>
      <c r="I395" s="5">
        <f>prices!I396/prices!I395-1</f>
        <v>-1.2629822167593119E-2</v>
      </c>
      <c r="J395" s="5">
        <f>prices!J396/prices!J395-1</f>
        <v>-1.2453080150144347E-3</v>
      </c>
      <c r="K395" s="8">
        <f>SUMPRODUCT(B395:I395,weights!$B$5:$I$5)</f>
        <v>-2.9865725698771071E-3</v>
      </c>
      <c r="L395" s="4">
        <f t="shared" si="12"/>
        <v>112.67716867621075</v>
      </c>
      <c r="M395" s="4">
        <f>L395/MAX(L$2:L395)-1</f>
        <v>-2.9865725698771106E-3</v>
      </c>
      <c r="N395" s="4">
        <f t="shared" si="11"/>
        <v>9.0218389523599063E-2</v>
      </c>
    </row>
    <row r="396" spans="1:14">
      <c r="A396" s="3">
        <f>prices!A397</f>
        <v>44056</v>
      </c>
      <c r="B396" s="5">
        <f>prices!B397/prices!B396-1</f>
        <v>-2.6034073395260204E-3</v>
      </c>
      <c r="C396" s="5">
        <f>prices!C397/prices!C396-1</f>
        <v>-1.2815146676588007E-3</v>
      </c>
      <c r="D396" s="5">
        <f>prices!D397/prices!D396-1</f>
        <v>-4.378884494309454E-3</v>
      </c>
      <c r="E396" s="5">
        <f>prices!E397/prices!E396-1</f>
        <v>-3.9306727592095525E-3</v>
      </c>
      <c r="F396" s="5">
        <f>prices!F397/prices!F396-1</f>
        <v>-1.3441741525145767E-2</v>
      </c>
      <c r="G396" s="5">
        <f>prices!G397/prices!G396-1</f>
        <v>9.1966190062406916E-3</v>
      </c>
      <c r="H396" s="5">
        <f>prices!H397/prices!H396-1</f>
        <v>-2.132639791937585E-2</v>
      </c>
      <c r="I396" s="5">
        <f>prices!I397/prices!I396-1</f>
        <v>4.3113786132779053E-2</v>
      </c>
      <c r="J396" s="5">
        <f>prices!J397/prices!J396-1</f>
        <v>-7.0301722613264062E-4</v>
      </c>
      <c r="K396" s="8">
        <f>SUMPRODUCT(B396:I396,weights!$B$5:$I$5)</f>
        <v>4.8375026343813526E-3</v>
      </c>
      <c r="L396" s="4">
        <f t="shared" si="12"/>
        <v>113.22224477651656</v>
      </c>
      <c r="M396" s="4">
        <f>L396/MAX(L$2:L396)-1</f>
        <v>0</v>
      </c>
      <c r="N396" s="4">
        <f t="shared" si="11"/>
        <v>8.1654078073086778E-2</v>
      </c>
    </row>
    <row r="397" spans="1:14">
      <c r="A397" s="3">
        <f>prices!A398</f>
        <v>44057</v>
      </c>
      <c r="B397" s="5">
        <f>prices!B398/prices!B397-1</f>
        <v>-3.8944225187412806E-3</v>
      </c>
      <c r="C397" s="5">
        <f>prices!C398/prices!C397-1</f>
        <v>-5.4586000113828748E-3</v>
      </c>
      <c r="D397" s="5">
        <f>prices!D398/prices!D397-1</f>
        <v>-2.3227061756419864E-2</v>
      </c>
      <c r="E397" s="5">
        <f>prices!E398/prices!E397-1</f>
        <v>2.5280240717220348E-3</v>
      </c>
      <c r="F397" s="5">
        <f>prices!F398/prices!F397-1</f>
        <v>-2.5122956267446539E-2</v>
      </c>
      <c r="G397" s="5">
        <f>prices!G398/prices!G397-1</f>
        <v>-2.1309671228030069E-2</v>
      </c>
      <c r="H397" s="5">
        <f>prices!H398/prices!H397-1</f>
        <v>2.0257977472965649E-2</v>
      </c>
      <c r="I397" s="5">
        <f>prices!I398/prices!I397-1</f>
        <v>-7.9707447390895414E-3</v>
      </c>
      <c r="J397" s="5">
        <f>prices!J398/prices!J397-1</f>
        <v>-1.0800454849143271E-2</v>
      </c>
      <c r="K397" s="8">
        <f>SUMPRODUCT(B397:I397,weights!$B$5:$I$5)</f>
        <v>-7.245013262704208E-3</v>
      </c>
      <c r="L397" s="4">
        <f t="shared" si="12"/>
        <v>112.40194811147755</v>
      </c>
      <c r="M397" s="4">
        <f>L397/MAX(L$2:L397)-1</f>
        <v>-7.2450132627042141E-3</v>
      </c>
      <c r="N397" s="4">
        <f t="shared" si="11"/>
        <v>6.4421168731531697E-2</v>
      </c>
    </row>
    <row r="398" spans="1:14">
      <c r="A398" s="3">
        <f>prices!A399</f>
        <v>44060</v>
      </c>
      <c r="B398" s="5">
        <f>prices!B399/prices!B398-1</f>
        <v>-1.0617892144017649E-2</v>
      </c>
      <c r="C398" s="5">
        <f>prices!C399/prices!C398-1</f>
        <v>5.0203414872695973E-3</v>
      </c>
      <c r="D398" s="5">
        <f>prices!D399/prices!D398-1</f>
        <v>-1.6392422135995677E-3</v>
      </c>
      <c r="E398" s="5">
        <f>prices!E399/prices!E398-1</f>
        <v>4.0838417634323498E-3</v>
      </c>
      <c r="F398" s="5">
        <f>prices!F399/prices!F398-1</f>
        <v>1.1998909190073626E-2</v>
      </c>
      <c r="G398" s="5">
        <f>prices!G399/prices!G398-1</f>
        <v>2.735304138627126E-2</v>
      </c>
      <c r="H398" s="5">
        <f>prices!H399/prices!H398-1</f>
        <v>-5.6501703065519049E-3</v>
      </c>
      <c r="I398" s="5">
        <f>prices!I399/prices!I398-1</f>
        <v>1.8310045692338184E-2</v>
      </c>
      <c r="J398" s="5">
        <f>prices!J399/prices!J398-1</f>
        <v>6.1457811493594861E-3</v>
      </c>
      <c r="K398" s="8">
        <f>SUMPRODUCT(B398:I398,weights!$B$5:$I$5)</f>
        <v>8.3883347501410247E-3</v>
      </c>
      <c r="L398" s="4">
        <f t="shared" si="12"/>
        <v>113.34481327880461</v>
      </c>
      <c r="M398" s="4">
        <f>L398/MAX(L$2:L398)-1</f>
        <v>0</v>
      </c>
      <c r="N398" s="4">
        <f t="shared" si="11"/>
        <v>7.7001780140921738E-2</v>
      </c>
    </row>
    <row r="399" spans="1:14">
      <c r="A399" s="3">
        <f>prices!A400</f>
        <v>44061</v>
      </c>
      <c r="B399" s="5">
        <f>prices!B400/prices!B399-1</f>
        <v>1.3009577082803814E-2</v>
      </c>
      <c r="C399" s="5">
        <f>prices!C400/prices!C399-1</f>
        <v>7.2521909277731833E-3</v>
      </c>
      <c r="D399" s="5">
        <f>prices!D400/prices!D399-1</f>
        <v>2.2987072369788475E-2</v>
      </c>
      <c r="E399" s="5">
        <f>prices!E400/prices!E399-1</f>
        <v>1.0498848434360886E-2</v>
      </c>
      <c r="F399" s="5">
        <f>prices!F400/prices!F399-1</f>
        <v>-1.0105092966855578E-3</v>
      </c>
      <c r="G399" s="5">
        <f>prices!G400/prices!G399-1</f>
        <v>1.8424031426574006E-2</v>
      </c>
      <c r="H399" s="5">
        <f>prices!H400/prices!H399-1</f>
        <v>-4.4531312968485448E-3</v>
      </c>
      <c r="I399" s="5">
        <f>prices!I400/prices!I399-1</f>
        <v>3.7500677396629101E-3</v>
      </c>
      <c r="J399" s="5">
        <f>prices!J400/prices!J399-1</f>
        <v>1.2292057508157761E-2</v>
      </c>
      <c r="K399" s="8">
        <f>SUMPRODUCT(B399:I399,weights!$B$5:$I$5)</f>
        <v>8.4554057053635705E-3</v>
      </c>
      <c r="L399" s="4">
        <f t="shared" si="12"/>
        <v>114.30318965967558</v>
      </c>
      <c r="M399" s="4">
        <f>L399/MAX(L$2:L399)-1</f>
        <v>0</v>
      </c>
      <c r="N399" s="4">
        <f t="shared" si="11"/>
        <v>6.992303682117873E-2</v>
      </c>
    </row>
    <row r="400" spans="1:14">
      <c r="A400" s="3">
        <f>prices!A401</f>
        <v>44062</v>
      </c>
      <c r="B400" s="5">
        <f>prices!B401/prices!B400-1</f>
        <v>6.1284250156870002E-3</v>
      </c>
      <c r="C400" s="5">
        <f>prices!C401/prices!C400-1</f>
        <v>-5.7918431114583058E-3</v>
      </c>
      <c r="D400" s="5">
        <f>prices!D401/prices!D400-1</f>
        <v>9.5692807801708302E-3</v>
      </c>
      <c r="E400" s="5">
        <f>prices!E401/prices!E400-1</f>
        <v>-8.522761714251037E-3</v>
      </c>
      <c r="F400" s="5">
        <f>prices!F401/prices!F400-1</f>
        <v>-5.3948344460164055E-4</v>
      </c>
      <c r="G400" s="5">
        <f>prices!G401/prices!G400-1</f>
        <v>1.410046293181999E-2</v>
      </c>
      <c r="H400" s="5">
        <f>prices!H401/prices!H400-1</f>
        <v>7.6912178436261414E-4</v>
      </c>
      <c r="I400" s="5">
        <f>prices!I401/prices!I400-1</f>
        <v>4.5243005690467353E-3</v>
      </c>
      <c r="J400" s="5">
        <f>prices!J401/prices!J400-1</f>
        <v>2.024531525161688E-3</v>
      </c>
      <c r="K400" s="8">
        <f>SUMPRODUCT(B400:I400,weights!$B$5:$I$5)</f>
        <v>3.9636992829995233E-3</v>
      </c>
      <c r="L400" s="4">
        <f t="shared" si="12"/>
        <v>114.75625313057418</v>
      </c>
      <c r="M400" s="4">
        <f>L400/MAX(L$2:L400)-1</f>
        <v>0</v>
      </c>
      <c r="N400" s="4">
        <f t="shared" si="11"/>
        <v>8.332161199600252E-2</v>
      </c>
    </row>
    <row r="401" spans="1:14">
      <c r="A401" s="3">
        <f>prices!A402</f>
        <v>44063</v>
      </c>
      <c r="B401" s="5">
        <f>prices!B402/prices!B401-1</f>
        <v>-1.6184021786582847E-2</v>
      </c>
      <c r="C401" s="5">
        <f>prices!C402/prices!C401-1</f>
        <v>-1.6644525656864806E-3</v>
      </c>
      <c r="D401" s="5">
        <f>prices!D402/prices!D401-1</f>
        <v>-7.1240264836691658E-3</v>
      </c>
      <c r="E401" s="5">
        <f>prices!E402/prices!E401-1</f>
        <v>-4.3285808613142684E-3</v>
      </c>
      <c r="F401" s="5">
        <f>prices!F402/prices!F401-1</f>
        <v>-1.3291950610620051E-2</v>
      </c>
      <c r="G401" s="5">
        <f>prices!G402/prices!G401-1</f>
        <v>-2.2312174457082001E-3</v>
      </c>
      <c r="H401" s="5">
        <f>prices!H402/prices!H401-1</f>
        <v>-5.9055516230155369E-3</v>
      </c>
      <c r="I401" s="5">
        <f>prices!I402/prices!I401-1</f>
        <v>-1.3221541438245721E-2</v>
      </c>
      <c r="J401" s="5">
        <f>prices!J402/prices!J401-1</f>
        <v>-8.4323831562707063E-3</v>
      </c>
      <c r="K401" s="8">
        <f>SUMPRODUCT(B401:I401,weights!$B$5:$I$5)</f>
        <v>-8.1430818126797255E-3</v>
      </c>
      <c r="L401" s="4">
        <f t="shared" si="12"/>
        <v>113.82178357281532</v>
      </c>
      <c r="M401" s="4">
        <f>L401/MAX(L$2:L401)-1</f>
        <v>-8.1430818126798643E-3</v>
      </c>
      <c r="N401" s="4">
        <f t="shared" si="11"/>
        <v>6.8752143589277059E-2</v>
      </c>
    </row>
    <row r="402" spans="1:14">
      <c r="A402" s="3">
        <f>prices!A403</f>
        <v>44064</v>
      </c>
      <c r="B402" s="5">
        <f>prices!B403/prices!B402-1</f>
        <v>-7.2478314615052053E-3</v>
      </c>
      <c r="C402" s="5">
        <f>prices!C403/prices!C402-1</f>
        <v>-1.884692054780257E-3</v>
      </c>
      <c r="D402" s="5">
        <f>prices!D403/prices!D402-1</f>
        <v>2.5173804649654352E-2</v>
      </c>
      <c r="E402" s="5">
        <f>prices!E403/prices!E402-1</f>
        <v>-6.6439062730264675E-3</v>
      </c>
      <c r="F402" s="5">
        <f>prices!F403/prices!F402-1</f>
        <v>5.0601750547043522E-3</v>
      </c>
      <c r="G402" s="5">
        <f>prices!G403/prices!G402-1</f>
        <v>-2.4477399956190915E-4</v>
      </c>
      <c r="H402" s="5">
        <f>prices!H403/prices!H402-1</f>
        <v>1.9246027709397318E-2</v>
      </c>
      <c r="I402" s="5">
        <f>prices!I403/prices!I402-1</f>
        <v>-1.6122004357298492E-3</v>
      </c>
      <c r="J402" s="5">
        <f>prices!J403/prices!J402-1</f>
        <v>5.2509679814713994E-3</v>
      </c>
      <c r="K402" s="8">
        <f>SUMPRODUCT(B402:I402,weights!$B$5:$I$5)</f>
        <v>3.1813382344586293E-3</v>
      </c>
      <c r="L402" s="4">
        <f t="shared" si="12"/>
        <v>114.18388916480978</v>
      </c>
      <c r="M402" s="4">
        <f>L402/MAX(L$2:L402)-1</f>
        <v>-4.987649475738265E-3</v>
      </c>
      <c r="N402" s="4">
        <f t="shared" si="11"/>
        <v>6.8490132307372775E-2</v>
      </c>
    </row>
    <row r="403" spans="1:14">
      <c r="A403" s="3">
        <f>prices!A404</f>
        <v>44067</v>
      </c>
      <c r="B403" s="5">
        <f>prices!B404/prices!B403-1</f>
        <v>6.6834817960259585E-3</v>
      </c>
      <c r="C403" s="5">
        <f>prices!C404/prices!C403-1</f>
        <v>-2.230625975899736E-4</v>
      </c>
      <c r="D403" s="5">
        <f>prices!D404/prices!D403-1</f>
        <v>2.8905276893572251E-2</v>
      </c>
      <c r="E403" s="5">
        <f>prices!E404/prices!E403-1</f>
        <v>-1.483551126880811E-3</v>
      </c>
      <c r="F403" s="5">
        <f>prices!F404/prices!F403-1</f>
        <v>-4.7625527282624258E-4</v>
      </c>
      <c r="G403" s="5">
        <f>prices!G404/prices!G403-1</f>
        <v>1.5704131799242349E-2</v>
      </c>
      <c r="H403" s="5">
        <f>prices!H404/prices!H403-1</f>
        <v>2.055929260065037E-3</v>
      </c>
      <c r="I403" s="5">
        <f>prices!I404/prices!I403-1</f>
        <v>-2.8149958538820075E-3</v>
      </c>
      <c r="J403" s="5">
        <f>prices!J404/prices!J403-1</f>
        <v>8.3409546589749972E-3</v>
      </c>
      <c r="K403" s="8">
        <f>SUMPRODUCT(B403:I403,weights!$B$5:$I$5)</f>
        <v>5.622807252260404E-3</v>
      </c>
      <c r="L403" s="4">
        <f t="shared" si="12"/>
        <v>114.82592316489698</v>
      </c>
      <c r="M403" s="4">
        <f>L403/MAX(L$2:L403)-1</f>
        <v>0</v>
      </c>
      <c r="N403" s="4">
        <f t="shared" si="11"/>
        <v>7.5465077001297454E-2</v>
      </c>
    </row>
    <row r="404" spans="1:14">
      <c r="A404" s="3">
        <f>prices!A405</f>
        <v>44068</v>
      </c>
      <c r="B404" s="5">
        <f>prices!B405/prices!B404-1</f>
        <v>-6.5228192957046405E-3</v>
      </c>
      <c r="C404" s="5">
        <f>prices!C405/prices!C404-1</f>
        <v>-2.4231040637583412E-3</v>
      </c>
      <c r="D404" s="5">
        <f>prices!D405/prices!D404-1</f>
        <v>2.3827366883804046E-3</v>
      </c>
      <c r="E404" s="5">
        <f>prices!E405/prices!E404-1</f>
        <v>-9.8059851176841573E-3</v>
      </c>
      <c r="F404" s="5">
        <f>prices!F405/prices!F404-1</f>
        <v>-6.6026819140970749E-3</v>
      </c>
      <c r="G404" s="5">
        <f>prices!G405/prices!G404-1</f>
        <v>3.8761189410532193E-3</v>
      </c>
      <c r="H404" s="5">
        <f>prices!H405/prices!H404-1</f>
        <v>-1.5656746743157535E-2</v>
      </c>
      <c r="I404" s="5">
        <f>prices!I405/prices!I404-1</f>
        <v>-1.1040112042366101E-2</v>
      </c>
      <c r="J404" s="5">
        <f>prices!J405/prices!J404-1</f>
        <v>5.0582351120009861E-4</v>
      </c>
      <c r="K404" s="8">
        <f>SUMPRODUCT(B404:I404,weights!$B$5:$I$5)</f>
        <v>-6.0319667461040888E-3</v>
      </c>
      <c r="L404" s="4">
        <f t="shared" si="12"/>
        <v>114.13329701477562</v>
      </c>
      <c r="M404" s="4">
        <f>L404/MAX(L$2:L404)-1</f>
        <v>-6.0319667461040671E-3</v>
      </c>
      <c r="N404" s="4">
        <f t="shared" si="11"/>
        <v>4.9264119267158568E-2</v>
      </c>
    </row>
    <row r="405" spans="1:14">
      <c r="A405" s="3">
        <f>prices!A406</f>
        <v>44069</v>
      </c>
      <c r="B405" s="5">
        <f>prices!B406/prices!B405-1</f>
        <v>2.6517973056377153E-2</v>
      </c>
      <c r="C405" s="5">
        <f>prices!C406/prices!C405-1</f>
        <v>4.8371744659603255E-3</v>
      </c>
      <c r="D405" s="5">
        <f>prices!D406/prices!D405-1</f>
        <v>-1.1118566088371695E-3</v>
      </c>
      <c r="E405" s="5">
        <f>prices!E406/prices!E405-1</f>
        <v>1.3529227883713801E-2</v>
      </c>
      <c r="F405" s="5">
        <f>prices!F406/prices!F405-1</f>
        <v>-2.3297245443333336E-3</v>
      </c>
      <c r="G405" s="5">
        <f>prices!G406/prices!G405-1</f>
        <v>-1.4248468508261003E-2</v>
      </c>
      <c r="H405" s="5">
        <f>prices!H406/prices!H405-1</f>
        <v>1.0118180346441186E-4</v>
      </c>
      <c r="I405" s="5">
        <f>prices!I406/prices!I405-1</f>
        <v>-1.168335453891689E-2</v>
      </c>
      <c r="J405" s="5">
        <f>prices!J406/prices!J405-1</f>
        <v>6.7423565560373877E-3</v>
      </c>
      <c r="K405" s="8">
        <f>SUMPRODUCT(B405:I405,weights!$B$5:$I$5)</f>
        <v>-3.8655188147880526E-4</v>
      </c>
      <c r="L405" s="4">
        <f t="shared" si="12"/>
        <v>114.08917857407518</v>
      </c>
      <c r="M405" s="4">
        <f>L405/MAX(L$2:L405)-1</f>
        <v>-6.4161869594882015E-3</v>
      </c>
      <c r="N405" s="4">
        <f t="shared" si="11"/>
        <v>5.4854963632871456E-2</v>
      </c>
    </row>
    <row r="406" spans="1:14">
      <c r="A406" s="3">
        <f>prices!A407</f>
        <v>44070</v>
      </c>
      <c r="B406" s="5">
        <f>prices!B407/prices!B406-1</f>
        <v>-1.2491447763978925E-2</v>
      </c>
      <c r="C406" s="5">
        <f>prices!C407/prices!C406-1</f>
        <v>-2.2620101350477873E-3</v>
      </c>
      <c r="D406" s="5">
        <f>prices!D407/prices!D406-1</f>
        <v>-5.6806187268505504E-3</v>
      </c>
      <c r="E406" s="5">
        <f>prices!E407/prices!E406-1</f>
        <v>-3.9355021774800658E-3</v>
      </c>
      <c r="F406" s="5">
        <f>prices!F407/prices!F406-1</f>
        <v>-3.5714285714284477E-3</v>
      </c>
      <c r="G406" s="5">
        <f>prices!G407/prices!G406-1</f>
        <v>1.2749302314391642E-2</v>
      </c>
      <c r="H406" s="5">
        <f>prices!H407/prices!H406-1</f>
        <v>1.3516521316849106E-2</v>
      </c>
      <c r="I406" s="5">
        <f>prices!I407/prices!I406-1</f>
        <v>6.8622731699672368E-3</v>
      </c>
      <c r="J406" s="5">
        <f>prices!J407/prices!J406-1</f>
        <v>8.3552677148990284E-4</v>
      </c>
      <c r="K406" s="8">
        <f>SUMPRODUCT(B406:I406,weights!$B$5:$I$5)</f>
        <v>3.0255856651430465E-3</v>
      </c>
      <c r="L406" s="4">
        <f t="shared" si="12"/>
        <v>114.43436515731685</v>
      </c>
      <c r="M406" s="4">
        <f>L406/MAX(L$2:L406)-1</f>
        <v>-3.4100140176346327E-3</v>
      </c>
      <c r="N406" s="4">
        <f t="shared" si="11"/>
        <v>5.3930021674186479E-2</v>
      </c>
    </row>
    <row r="407" spans="1:14">
      <c r="A407" s="3">
        <f>prices!A408</f>
        <v>44071</v>
      </c>
      <c r="B407" s="5">
        <f>prices!B408/prices!B407-1</f>
        <v>2.6243688392941777E-3</v>
      </c>
      <c r="C407" s="5">
        <f>prices!C408/prices!C407-1</f>
        <v>-4.3786380567978345E-3</v>
      </c>
      <c r="D407" s="5">
        <f>prices!D408/prices!D407-1</f>
        <v>2.1617031132386E-3</v>
      </c>
      <c r="E407" s="5">
        <f>prices!E408/prices!E407-1</f>
        <v>-1.246005598355171E-2</v>
      </c>
      <c r="F407" s="5">
        <f>prices!F408/prices!F407-1</f>
        <v>6.6859663633858091E-3</v>
      </c>
      <c r="G407" s="5">
        <f>prices!G408/prices!G407-1</f>
        <v>8.5964352260825549E-4</v>
      </c>
      <c r="H407" s="5">
        <f>prices!H408/prices!H407-1</f>
        <v>4.416139272095676E-2</v>
      </c>
      <c r="I407" s="5">
        <f>prices!I408/prices!I407-1</f>
        <v>6.4041271041337389E-3</v>
      </c>
      <c r="J407" s="5">
        <f>prices!J408/prices!J407-1</f>
        <v>7.6432294482773333E-3</v>
      </c>
      <c r="K407" s="8">
        <f>SUMPRODUCT(B407:I407,weights!$B$5:$I$5)</f>
        <v>7.702829253103595E-3</v>
      </c>
      <c r="L407" s="4">
        <f t="shared" si="12"/>
        <v>115.31583353281097</v>
      </c>
      <c r="M407" s="4">
        <f>L407/MAX(L$2:L407)-1</f>
        <v>0</v>
      </c>
      <c r="N407" s="4">
        <f t="shared" ref="N407:N470" si="13">L407/L387-1</f>
        <v>5.7280447384609801E-2</v>
      </c>
    </row>
    <row r="408" spans="1:14">
      <c r="A408" s="3">
        <f>prices!A409</f>
        <v>44074</v>
      </c>
      <c r="B408" s="5">
        <f>prices!B409/prices!B408-1</f>
        <v>-1.6751997152160469E-2</v>
      </c>
      <c r="C408" s="5">
        <f>prices!C409/prices!C408-1</f>
        <v>8.3528737429003908E-3</v>
      </c>
      <c r="D408" s="5">
        <f>prices!D409/prices!D408-1</f>
        <v>1.1940758430752929E-3</v>
      </c>
      <c r="E408" s="5">
        <f>prices!E409/prices!E408-1</f>
        <v>-7.1113229318217064E-3</v>
      </c>
      <c r="F408" s="5">
        <f>prices!F409/prices!F408-1</f>
        <v>-2.2731941116056253E-2</v>
      </c>
      <c r="G408" s="5">
        <f>prices!G409/prices!G408-1</f>
        <v>-3.718362176130463E-2</v>
      </c>
      <c r="H408" s="5">
        <f>prices!H409/prices!H408-1</f>
        <v>-6.3880231735530812E-2</v>
      </c>
      <c r="I408" s="5">
        <f>prices!I409/prices!I408-1</f>
        <v>-3.7583685012925638E-2</v>
      </c>
      <c r="J408" s="5">
        <f>prices!J409/prices!J408-1</f>
        <v>-2.2330780589992827E-2</v>
      </c>
      <c r="K408" s="8">
        <f>SUMPRODUCT(B408:I408,weights!$B$5:$I$5)</f>
        <v>-2.8080263562295614E-2</v>
      </c>
      <c r="L408" s="4">
        <f t="shared" si="12"/>
        <v>112.07773453430383</v>
      </c>
      <c r="M408" s="4">
        <f>L408/MAX(L$2:L408)-1</f>
        <v>-2.8080263562295649E-2</v>
      </c>
      <c r="N408" s="4">
        <f t="shared" si="13"/>
        <v>4.2491347740188479E-2</v>
      </c>
    </row>
    <row r="409" spans="1:14">
      <c r="A409" s="3">
        <f>prices!A410</f>
        <v>44075</v>
      </c>
      <c r="B409" s="5">
        <f>prices!B410/prices!B409-1</f>
        <v>3.1519204353058772E-3</v>
      </c>
      <c r="C409" s="5">
        <f>prices!C410/prices!C409-1</f>
        <v>-4.8317167322092791E-3</v>
      </c>
      <c r="D409" s="5">
        <f>prices!D410/prices!D409-1</f>
        <v>1.0272193902087112E-2</v>
      </c>
      <c r="E409" s="5">
        <f>prices!E410/prices!E409-1</f>
        <v>-1.5562432893324041E-2</v>
      </c>
      <c r="F409" s="5">
        <f>prices!F410/prices!F409-1</f>
        <v>-4.7642401737545415E-3</v>
      </c>
      <c r="G409" s="5">
        <f>prices!G410/prices!G409-1</f>
        <v>9.6048366222529769E-3</v>
      </c>
      <c r="H409" s="5">
        <f>prices!H410/prices!H409-1</f>
        <v>2.3080065359477597E-3</v>
      </c>
      <c r="I409" s="5">
        <f>prices!I410/prices!I409-1</f>
        <v>1.0847605491528522E-2</v>
      </c>
      <c r="J409" s="5">
        <f>prices!J410/prices!J409-1</f>
        <v>7.2667398463226451E-3</v>
      </c>
      <c r="K409" s="8">
        <f>SUMPRODUCT(B409:I409,weights!$B$5:$I$5)</f>
        <v>3.3753201665365075E-3</v>
      </c>
      <c r="L409" s="4">
        <f t="shared" si="12"/>
        <v>112.45603277189718</v>
      </c>
      <c r="M409" s="4">
        <f>L409/MAX(L$2:L409)-1</f>
        <v>-2.4799723275642616E-2</v>
      </c>
      <c r="N409" s="4">
        <f t="shared" si="13"/>
        <v>2.324529649260465E-2</v>
      </c>
    </row>
    <row r="410" spans="1:14">
      <c r="A410" s="3">
        <f>prices!A411</f>
        <v>44076</v>
      </c>
      <c r="B410" s="5">
        <f>prices!B411/prices!B410-1</f>
        <v>1.9616376702368044E-2</v>
      </c>
      <c r="C410" s="5">
        <f>prices!C411/prices!C410-1</f>
        <v>8.3706342365172937E-3</v>
      </c>
      <c r="D410" s="5">
        <f>prices!D411/prices!D410-1</f>
        <v>6.0739922694643678E-3</v>
      </c>
      <c r="E410" s="5">
        <f>prices!E411/prices!E410-1</f>
        <v>1.0765657680315233E-2</v>
      </c>
      <c r="F410" s="5">
        <f>prices!F411/prices!F410-1</f>
        <v>6.0542062653994311E-3</v>
      </c>
      <c r="G410" s="5">
        <f>prices!G411/prices!G410-1</f>
        <v>2.1868447477575437E-3</v>
      </c>
      <c r="H410" s="5">
        <f>prices!H411/prices!H410-1</f>
        <v>-1.3327084139954759E-2</v>
      </c>
      <c r="I410" s="5">
        <f>prices!I411/prices!I410-1</f>
        <v>3.7474023688122138E-4</v>
      </c>
      <c r="J410" s="5">
        <f>prices!J411/prices!J410-1</f>
        <v>5.6450382511279429E-3</v>
      </c>
      <c r="K410" s="8">
        <f>SUMPRODUCT(B410:I410,weights!$B$5:$I$5)</f>
        <v>3.5908378306830782E-3</v>
      </c>
      <c r="L410" s="4">
        <f t="shared" si="12"/>
        <v>112.85984414866304</v>
      </c>
      <c r="M410" s="4">
        <f>L410/MAX(L$2:L410)-1</f>
        <v>-2.1297937229488251E-2</v>
      </c>
      <c r="N410" s="4">
        <f t="shared" si="13"/>
        <v>2.2570816912021341E-2</v>
      </c>
    </row>
    <row r="411" spans="1:14">
      <c r="A411" s="3">
        <f>prices!A412</f>
        <v>44077</v>
      </c>
      <c r="B411" s="5">
        <f>prices!B412/prices!B411-1</f>
        <v>-7.5685805007547069E-3</v>
      </c>
      <c r="C411" s="5">
        <f>prices!C412/prices!C411-1</f>
        <v>1.5165559503578896E-2</v>
      </c>
      <c r="D411" s="5">
        <f>prices!D412/prices!D411-1</f>
        <v>-2.8577917407925923E-3</v>
      </c>
      <c r="E411" s="5">
        <f>prices!E412/prices!E411-1</f>
        <v>1.250444320316868E-2</v>
      </c>
      <c r="F411" s="5">
        <f>prices!F412/prices!F411-1</f>
        <v>1.3295080820097116E-3</v>
      </c>
      <c r="G411" s="5">
        <f>prices!G412/prices!G411-1</f>
        <v>2.1941024645394158E-2</v>
      </c>
      <c r="H411" s="5">
        <f>prices!H412/prices!H411-1</f>
        <v>1.7389867613953225E-2</v>
      </c>
      <c r="I411" s="5">
        <f>prices!I412/prices!I411-1</f>
        <v>5.8573796172269876E-3</v>
      </c>
      <c r="J411" s="5">
        <f>prices!J412/prices!J411-1</f>
        <v>-6.5452969224089053E-4</v>
      </c>
      <c r="K411" s="8">
        <f>SUMPRODUCT(B411:I411,weights!$B$5:$I$5)</f>
        <v>9.3681642692338609E-3</v>
      </c>
      <c r="L411" s="4">
        <f t="shared" si="12"/>
        <v>113.91713370804784</v>
      </c>
      <c r="M411" s="4">
        <f>L411/MAX(L$2:L411)-1</f>
        <v>-1.212929553481612E-2</v>
      </c>
      <c r="N411" s="4">
        <f t="shared" si="13"/>
        <v>2.4134462257066724E-2</v>
      </c>
    </row>
    <row r="412" spans="1:14">
      <c r="A412" s="3">
        <f>prices!A413</f>
        <v>44078</v>
      </c>
      <c r="B412" s="5">
        <f>prices!B413/prices!B412-1</f>
        <v>-1.6490433031218554E-2</v>
      </c>
      <c r="C412" s="5">
        <f>prices!C413/prices!C412-1</f>
        <v>-4.6567073325385344E-3</v>
      </c>
      <c r="D412" s="5">
        <f>prices!D413/prices!D412-1</f>
        <v>-1.0268187598458711E-2</v>
      </c>
      <c r="E412" s="5">
        <f>prices!E413/prices!E412-1</f>
        <v>-1.7528242035181885E-2</v>
      </c>
      <c r="F412" s="5">
        <f>prices!F413/prices!F412-1</f>
        <v>-2.5576519916142515E-2</v>
      </c>
      <c r="G412" s="5">
        <f>prices!G413/prices!G412-1</f>
        <v>1.6613919335324079E-2</v>
      </c>
      <c r="H412" s="5">
        <f>prices!H413/prices!H412-1</f>
        <v>-2.1010535717910783E-2</v>
      </c>
      <c r="I412" s="5">
        <f>prices!I413/prices!I412-1</f>
        <v>-1.9399616296129185E-2</v>
      </c>
      <c r="J412" s="5">
        <f>prices!J413/prices!J412-1</f>
        <v>-1.6794694403359012E-2</v>
      </c>
      <c r="K412" s="8">
        <f>SUMPRODUCT(B412:I412,weights!$B$5:$I$5)</f>
        <v>-1.0656734835893323E-2</v>
      </c>
      <c r="L412" s="4">
        <f t="shared" si="12"/>
        <v>112.70314902085617</v>
      </c>
      <c r="M412" s="4">
        <f>L412/MAX(L$2:L412)-1</f>
        <v>-2.2656771684448795E-2</v>
      </c>
      <c r="N412" s="4">
        <f t="shared" si="13"/>
        <v>1.3712913957985018E-2</v>
      </c>
    </row>
    <row r="413" spans="1:14">
      <c r="A413" s="3">
        <f>prices!A414</f>
        <v>44081</v>
      </c>
      <c r="B413" s="5">
        <f>prices!B414/prices!B413-1</f>
        <v>2.5918341226163211E-3</v>
      </c>
      <c r="C413" s="5">
        <f>prices!C414/prices!C413-1</f>
        <v>1.6716186670879596E-2</v>
      </c>
      <c r="D413" s="5">
        <f>prices!D414/prices!D413-1</f>
        <v>-7.8625397921221474E-3</v>
      </c>
      <c r="E413" s="5">
        <f>prices!E414/prices!E413-1</f>
        <v>6.4191732921552447E-3</v>
      </c>
      <c r="F413" s="5">
        <f>prices!F414/prices!F413-1</f>
        <v>1.2837062535857591E-2</v>
      </c>
      <c r="G413" s="5">
        <f>prices!G414/prices!G413-1</f>
        <v>2.649961745574414E-3</v>
      </c>
      <c r="H413" s="5">
        <f>prices!H414/prices!H413-1</f>
        <v>1.555177704972488E-3</v>
      </c>
      <c r="I413" s="5">
        <f>prices!I414/prices!I413-1</f>
        <v>-1.0990781553900764E-2</v>
      </c>
      <c r="J413" s="5">
        <f>prices!J414/prices!J413-1</f>
        <v>1.8705029623649061E-3</v>
      </c>
      <c r="K413" s="8">
        <f>SUMPRODUCT(B413:I413,weights!$B$5:$I$5)</f>
        <v>1.4147803808604465E-3</v>
      </c>
      <c r="L413" s="4">
        <f t="shared" si="12"/>
        <v>112.86259922495206</v>
      </c>
      <c r="M413" s="4">
        <f>L413/MAX(L$2:L413)-1</f>
        <v>-2.1274045659661178E-2</v>
      </c>
      <c r="N413" s="4">
        <f t="shared" si="13"/>
        <v>2.8057742081091241E-3</v>
      </c>
    </row>
    <row r="414" spans="1:14">
      <c r="A414" s="3">
        <f>prices!A415</f>
        <v>44082</v>
      </c>
      <c r="B414" s="5">
        <f>prices!B415/prices!B414-1</f>
        <v>1.1744805795806279E-2</v>
      </c>
      <c r="C414" s="5">
        <f>prices!C415/prices!C414-1</f>
        <v>9.0878559577336482E-3</v>
      </c>
      <c r="D414" s="5">
        <f>prices!D415/prices!D414-1</f>
        <v>1.7589299520641699E-3</v>
      </c>
      <c r="E414" s="5">
        <f>prices!E415/prices!E414-1</f>
        <v>1.5406659734726436E-2</v>
      </c>
      <c r="F414" s="5">
        <f>prices!F415/prices!F414-1</f>
        <v>-5.0272604970613699E-3</v>
      </c>
      <c r="G414" s="5">
        <f>prices!G415/prices!G414-1</f>
        <v>2.0596945980160264E-3</v>
      </c>
      <c r="H414" s="5">
        <f>prices!H415/prices!H414-1</f>
        <v>-2.2111343450446186E-2</v>
      </c>
      <c r="I414" s="5">
        <f>prices!I415/prices!I414-1</f>
        <v>-1.6570471048221957E-2</v>
      </c>
      <c r="J414" s="5">
        <f>prices!J415/prices!J414-1</f>
        <v>-3.3201086741140307E-3</v>
      </c>
      <c r="K414" s="8">
        <f>SUMPRODUCT(B414:I414,weights!$B$5:$I$5)</f>
        <v>-2.8898882021694285E-3</v>
      </c>
      <c r="L414" s="4">
        <f t="shared" si="12"/>
        <v>112.5364389309857</v>
      </c>
      <c r="M414" s="4">
        <f>L414/MAX(L$2:L414)-1</f>
        <v>-2.4102454248266292E-2</v>
      </c>
      <c r="N414" s="4">
        <f t="shared" si="13"/>
        <v>-4.2318066068752769E-3</v>
      </c>
    </row>
    <row r="415" spans="1:14">
      <c r="A415" s="3">
        <f>prices!A416</f>
        <v>44083</v>
      </c>
      <c r="B415" s="5">
        <f>prices!B416/prices!B415-1</f>
        <v>2.5740512917573621E-2</v>
      </c>
      <c r="C415" s="5">
        <f>prices!C416/prices!C415-1</f>
        <v>-8.752670011425101E-3</v>
      </c>
      <c r="D415" s="5">
        <f>prices!D416/prices!D415-1</f>
        <v>-1.4336156829451885E-2</v>
      </c>
      <c r="E415" s="5">
        <f>prices!E416/prices!E415-1</f>
        <v>-1.2300660614158909E-2</v>
      </c>
      <c r="F415" s="5">
        <f>prices!F416/prices!F415-1</f>
        <v>-2.3128380301736362E-2</v>
      </c>
      <c r="G415" s="5">
        <f>prices!G416/prices!G415-1</f>
        <v>-1.2108109369780573E-3</v>
      </c>
      <c r="H415" s="5">
        <f>prices!H416/prices!H415-1</f>
        <v>1.4735460377278686E-2</v>
      </c>
      <c r="I415" s="5">
        <f>prices!I416/prices!I415-1</f>
        <v>-7.8568723968194254E-3</v>
      </c>
      <c r="J415" s="5">
        <f>prices!J416/prices!J415-1</f>
        <v>-3.4769623630973578E-3</v>
      </c>
      <c r="K415" s="8">
        <f>SUMPRODUCT(B415:I415,weights!$B$5:$I$5)</f>
        <v>-1.0948489744518708E-3</v>
      </c>
      <c r="L415" s="4">
        <f t="shared" si="12"/>
        <v>112.41322852623364</v>
      </c>
      <c r="M415" s="4">
        <f>L415/MAX(L$2:L415)-1</f>
        <v>-2.5170914675402778E-2</v>
      </c>
      <c r="N415" s="4">
        <f t="shared" si="13"/>
        <v>-2.3424457064197268E-3</v>
      </c>
    </row>
    <row r="416" spans="1:14">
      <c r="A416" s="3">
        <f>prices!A417</f>
        <v>44084</v>
      </c>
      <c r="B416" s="5">
        <f>prices!B417/prices!B416-1</f>
        <v>7.0629721889063246E-2</v>
      </c>
      <c r="C416" s="5">
        <f>prices!C417/prices!C416-1</f>
        <v>1.5033976787539594E-3</v>
      </c>
      <c r="D416" s="5">
        <f>prices!D417/prices!D416-1</f>
        <v>-5.4224414689530986E-3</v>
      </c>
      <c r="E416" s="5">
        <f>prices!E417/prices!E416-1</f>
        <v>1.3263035452384608E-2</v>
      </c>
      <c r="F416" s="5">
        <f>prices!F417/prices!F416-1</f>
        <v>5.9736286151379492E-3</v>
      </c>
      <c r="G416" s="5">
        <f>prices!G417/prices!G416-1</f>
        <v>2.2726575633782442E-3</v>
      </c>
      <c r="H416" s="5">
        <f>prices!H417/prices!H416-1</f>
        <v>-2.6497527592899139E-3</v>
      </c>
      <c r="I416" s="5">
        <f>prices!I417/prices!I416-1</f>
        <v>1.259421810895911E-2</v>
      </c>
      <c r="J416" s="5">
        <f>prices!J417/prices!J416-1</f>
        <v>1.5184429863450921E-2</v>
      </c>
      <c r="K416" s="8">
        <f>SUMPRODUCT(B416:I416,weights!$B$5:$I$5)</f>
        <v>1.2865817676044727E-2</v>
      </c>
      <c r="L416" s="4">
        <f t="shared" si="12"/>
        <v>113.85951662882772</v>
      </c>
      <c r="M416" s="4">
        <f>L416/MAX(L$2:L416)-1</f>
        <v>-1.2628941398310944E-2</v>
      </c>
      <c r="N416" s="4">
        <f t="shared" si="13"/>
        <v>5.6285039531678294E-3</v>
      </c>
    </row>
    <row r="417" spans="1:14">
      <c r="A417" s="3">
        <f>prices!A418</f>
        <v>44085</v>
      </c>
      <c r="B417" s="5">
        <f>prices!B418/prices!B417-1</f>
        <v>2.4894438008060682E-3</v>
      </c>
      <c r="C417" s="5">
        <f>prices!C418/prices!C417-1</f>
        <v>1.8424002241703707E-2</v>
      </c>
      <c r="D417" s="5">
        <f>prices!D418/prices!D417-1</f>
        <v>-1.0923691617296893E-2</v>
      </c>
      <c r="E417" s="5">
        <f>prices!E418/prices!E417-1</f>
        <v>6.0019216131568243E-3</v>
      </c>
      <c r="F417" s="5">
        <f>prices!F418/prices!F417-1</f>
        <v>-5.0691577956406553E-3</v>
      </c>
      <c r="G417" s="5">
        <f>prices!G418/prices!G417-1</f>
        <v>-5.2621838281475819E-3</v>
      </c>
      <c r="H417" s="5">
        <f>prices!H418/prices!H417-1</f>
        <v>-4.7069160286180578E-3</v>
      </c>
      <c r="I417" s="5">
        <f>prices!I418/prices!I417-1</f>
        <v>-3.8631866578724416E-3</v>
      </c>
      <c r="J417" s="5">
        <f>prices!J418/prices!J417-1</f>
        <v>1.3275978775904029E-3</v>
      </c>
      <c r="K417" s="8">
        <f>SUMPRODUCT(B417:I417,weights!$B$5:$I$5)</f>
        <v>-1.2869090706500266E-3</v>
      </c>
      <c r="L417" s="4">
        <f t="shared" si="12"/>
        <v>113.71298978409826</v>
      </c>
      <c r="M417" s="4">
        <f>L417/MAX(L$2:L417)-1</f>
        <v>-1.3899598169722749E-2</v>
      </c>
      <c r="N417" s="4">
        <f t="shared" si="13"/>
        <v>1.1663869662832171E-2</v>
      </c>
    </row>
    <row r="418" spans="1:14">
      <c r="A418" s="3">
        <f>prices!A419</f>
        <v>44088</v>
      </c>
      <c r="B418" s="5">
        <f>prices!B419/prices!B418-1</f>
        <v>-7.421132558428245E-3</v>
      </c>
      <c r="C418" s="5">
        <f>prices!C419/prices!C418-1</f>
        <v>4.9407949688006658E-2</v>
      </c>
      <c r="D418" s="5">
        <f>prices!D419/prices!D418-1</f>
        <v>-1.918331608692192E-2</v>
      </c>
      <c r="E418" s="5">
        <f>prices!E419/prices!E418-1</f>
        <v>3.4581131701024503E-2</v>
      </c>
      <c r="F418" s="5">
        <f>prices!F419/prices!F418-1</f>
        <v>-3.2753475507678598E-3</v>
      </c>
      <c r="G418" s="5">
        <f>prices!G419/prices!G418-1</f>
        <v>-9.0007998757702934E-3</v>
      </c>
      <c r="H418" s="5">
        <f>prices!H419/prices!H418-1</f>
        <v>-1.9295037518128555E-2</v>
      </c>
      <c r="I418" s="5">
        <f>prices!I419/prices!I418-1</f>
        <v>-1.6671396140749195E-2</v>
      </c>
      <c r="J418" s="5">
        <f>prices!J419/prices!J418-1</f>
        <v>-2.1283184103905173E-3</v>
      </c>
      <c r="K418" s="8">
        <f>SUMPRODUCT(B418:I418,weights!$B$5:$I$5)</f>
        <v>-3.3203347577720524E-3</v>
      </c>
      <c r="L418" s="4">
        <f t="shared" si="12"/>
        <v>113.33542459170793</v>
      </c>
      <c r="M418" s="4">
        <f>L418/MAX(L$2:L418)-1</f>
        <v>-1.7173781608572858E-2</v>
      </c>
      <c r="N418" s="4">
        <f t="shared" si="13"/>
        <v>-8.2832966282975207E-5</v>
      </c>
    </row>
    <row r="419" spans="1:14">
      <c r="A419" s="3">
        <f>prices!A420</f>
        <v>44089</v>
      </c>
      <c r="B419" s="5">
        <f>prices!B420/prices!B419-1</f>
        <v>7.0820984565642675E-3</v>
      </c>
      <c r="C419" s="5">
        <f>prices!C420/prices!C419-1</f>
        <v>0</v>
      </c>
      <c r="D419" s="5">
        <f>prices!D420/prices!D419-1</f>
        <v>1.1869014770329533E-2</v>
      </c>
      <c r="E419" s="5">
        <f>prices!E420/prices!E419-1</f>
        <v>4.1361947008751176E-3</v>
      </c>
      <c r="F419" s="5">
        <f>prices!F420/prices!F419-1</f>
        <v>-8.4708631517452782E-3</v>
      </c>
      <c r="G419" s="5">
        <f>prices!G420/prices!G419-1</f>
        <v>-1.0667265862679631E-2</v>
      </c>
      <c r="H419" s="5">
        <f>prices!H420/prices!H419-1</f>
        <v>2.1389228230352275E-2</v>
      </c>
      <c r="I419" s="5">
        <f>prices!I420/prices!I419-1</f>
        <v>8.7054806050550493E-3</v>
      </c>
      <c r="J419" s="5">
        <f>prices!J420/prices!J419-1</f>
        <v>7.1459477886897105E-3</v>
      </c>
      <c r="K419" s="8">
        <f>SUMPRODUCT(B419:I419,weights!$B$5:$I$5)</f>
        <v>4.293782199327625E-3</v>
      </c>
      <c r="L419" s="4">
        <f t="shared" si="12"/>
        <v>113.82206222037306</v>
      </c>
      <c r="M419" s="4">
        <f>L419/MAX(L$2:L419)-1</f>
        <v>-1.2953739887011206E-2</v>
      </c>
      <c r="N419" s="4">
        <f t="shared" si="13"/>
        <v>-4.2092214638543846E-3</v>
      </c>
    </row>
    <row r="420" spans="1:14">
      <c r="A420" s="3">
        <f>prices!A421</f>
        <v>44090</v>
      </c>
      <c r="B420" s="5">
        <f>prices!B421/prices!B420-1</f>
        <v>2.4555704184980875E-3</v>
      </c>
      <c r="C420" s="5">
        <f>prices!C421/prices!C420-1</f>
        <v>4.6585450357232716E-3</v>
      </c>
      <c r="D420" s="5">
        <f>prices!D421/prices!D420-1</f>
        <v>2.1614901850700807E-2</v>
      </c>
      <c r="E420" s="5">
        <f>prices!E421/prices!E420-1</f>
        <v>1.9652558056235447E-2</v>
      </c>
      <c r="F420" s="5">
        <f>prices!F421/prices!F420-1</f>
        <v>-6.3337752246281909E-3</v>
      </c>
      <c r="G420" s="5">
        <f>prices!G421/prices!G420-1</f>
        <v>7.2917880719503003E-4</v>
      </c>
      <c r="H420" s="5">
        <f>prices!H421/prices!H420-1</f>
        <v>2.3878968462135663E-2</v>
      </c>
      <c r="I420" s="5">
        <f>prices!I421/prices!I420-1</f>
        <v>1.3017046131839294E-2</v>
      </c>
      <c r="J420" s="5">
        <f>prices!J421/prices!J420-1</f>
        <v>7.182037528858265E-3</v>
      </c>
      <c r="K420" s="8">
        <f>SUMPRODUCT(B420:I420,weights!$B$5:$I$5)</f>
        <v>9.7724369749926307E-3</v>
      </c>
      <c r="L420" s="4">
        <f t="shared" si="12"/>
        <v>114.93438114978532</v>
      </c>
      <c r="M420" s="4">
        <f>L420/MAX(L$2:L420)-1</f>
        <v>-3.3078925186549313E-3</v>
      </c>
      <c r="N420" s="4">
        <f t="shared" si="13"/>
        <v>1.5522293064802462E-3</v>
      </c>
    </row>
    <row r="421" spans="1:14">
      <c r="A421" s="3">
        <f>prices!A422</f>
        <v>44091</v>
      </c>
      <c r="B421" s="5">
        <f>prices!B422/prices!B421-1</f>
        <v>-1.1094484211329081E-2</v>
      </c>
      <c r="C421" s="5">
        <f>prices!C422/prices!C421-1</f>
        <v>-1.6800182681597997E-2</v>
      </c>
      <c r="D421" s="5">
        <f>prices!D422/prices!D421-1</f>
        <v>-9.1852956762379367E-3</v>
      </c>
      <c r="E421" s="5">
        <f>prices!E422/prices!E421-1</f>
        <v>9.2270582311682059E-3</v>
      </c>
      <c r="F421" s="5">
        <f>prices!F422/prices!F421-1</f>
        <v>-1.1340053364957026E-2</v>
      </c>
      <c r="G421" s="5">
        <f>prices!G422/prices!G421-1</f>
        <v>3.9538085269672507E-3</v>
      </c>
      <c r="H421" s="5">
        <f>prices!H422/prices!H421-1</f>
        <v>-1.2521774772005334E-2</v>
      </c>
      <c r="I421" s="5">
        <f>prices!I422/prices!I421-1</f>
        <v>-1.6815325598362074E-2</v>
      </c>
      <c r="J421" s="5">
        <f>prices!J422/prices!J421-1</f>
        <v>-7.6220103321541499E-3</v>
      </c>
      <c r="K421" s="8">
        <f>SUMPRODUCT(B421:I421,weights!$B$5:$I$5)</f>
        <v>-8.1686043785196127E-3</v>
      </c>
      <c r="L421" s="4">
        <f t="shared" si="12"/>
        <v>113.99552766068274</v>
      </c>
      <c r="M421" s="4">
        <f>L421/MAX(L$2:L421)-1</f>
        <v>-1.1449476031863082E-2</v>
      </c>
      <c r="N421" s="4">
        <f t="shared" si="13"/>
        <v>1.5264572598818749E-3</v>
      </c>
    </row>
    <row r="422" spans="1:14">
      <c r="A422" s="3">
        <f>prices!A423</f>
        <v>44092</v>
      </c>
      <c r="B422" s="5">
        <f>prices!B423/prices!B422-1</f>
        <v>3.016780237679928E-3</v>
      </c>
      <c r="C422" s="5">
        <f>prices!C423/prices!C422-1</f>
        <v>-4.4934020931290952E-3</v>
      </c>
      <c r="D422" s="5">
        <f>prices!D423/prices!D422-1</f>
        <v>-2.4265594358496956E-2</v>
      </c>
      <c r="E422" s="5">
        <f>prices!E423/prices!E422-1</f>
        <v>-8.7482161296684735E-3</v>
      </c>
      <c r="F422" s="5">
        <f>prices!F423/prices!F422-1</f>
        <v>2.7738211260215362E-3</v>
      </c>
      <c r="G422" s="5">
        <f>prices!G423/prices!G422-1</f>
        <v>-1.708998753684654E-2</v>
      </c>
      <c r="H422" s="5">
        <f>prices!H423/prices!H422-1</f>
        <v>2.216503403619452E-2</v>
      </c>
      <c r="I422" s="5">
        <f>prices!I423/prices!I422-1</f>
        <v>-6.1757207999711961E-3</v>
      </c>
      <c r="J422" s="5">
        <f>prices!J423/prices!J422-1</f>
        <v>-9.6820972377797965E-4</v>
      </c>
      <c r="K422" s="8">
        <f>SUMPRODUCT(B422:I422,weights!$B$5:$I$5)</f>
        <v>-3.5195446078320385E-3</v>
      </c>
      <c r="L422" s="4">
        <f t="shared" si="12"/>
        <v>113.59431531598761</v>
      </c>
      <c r="M422" s="4">
        <f>L422/MAX(L$2:L422)-1</f>
        <v>-1.4928723698064639E-2</v>
      </c>
      <c r="N422" s="4">
        <f t="shared" si="13"/>
        <v>-5.1633715853836026E-3</v>
      </c>
    </row>
    <row r="423" spans="1:14">
      <c r="A423" s="3">
        <f>prices!A424</f>
        <v>44095</v>
      </c>
      <c r="B423" s="5">
        <f>prices!B424/prices!B423-1</f>
        <v>-2.161128514596522E-2</v>
      </c>
      <c r="C423" s="5">
        <f>prices!C424/prices!C423-1</f>
        <v>6.2896375721330777E-3</v>
      </c>
      <c r="D423" s="5">
        <f>prices!D424/prices!D423-1</f>
        <v>-7.5723740306142817E-3</v>
      </c>
      <c r="E423" s="5">
        <f>prices!E424/prices!E423-1</f>
        <v>7.7368759875928728E-3</v>
      </c>
      <c r="F423" s="5">
        <f>prices!F424/prices!F423-1</f>
        <v>-1.8690191387559785E-2</v>
      </c>
      <c r="G423" s="5">
        <f>prices!G424/prices!G423-1</f>
        <v>-4.8502703168903816E-2</v>
      </c>
      <c r="H423" s="5">
        <f>prices!H424/prices!H423-1</f>
        <v>-3.764314139527325E-2</v>
      </c>
      <c r="I423" s="5">
        <f>prices!I424/prices!I423-1</f>
        <v>-2.0930428604116202E-2</v>
      </c>
      <c r="J423" s="5">
        <f>prices!J424/prices!J423-1</f>
        <v>-2.2112221261283316E-2</v>
      </c>
      <c r="K423" s="8">
        <f>SUMPRODUCT(B423:I423,weights!$B$5:$I$5)</f>
        <v>-2.2897476403303432E-2</v>
      </c>
      <c r="L423" s="4">
        <f t="shared" si="12"/>
        <v>110.99329216149037</v>
      </c>
      <c r="M423" s="4">
        <f>L423/MAX(L$2:L423)-1</f>
        <v>-3.7484370002760281E-2</v>
      </c>
      <c r="N423" s="4">
        <f t="shared" si="13"/>
        <v>-3.3377750404869011E-2</v>
      </c>
    </row>
    <row r="424" spans="1:14">
      <c r="A424" s="3">
        <f>prices!A425</f>
        <v>44096</v>
      </c>
      <c r="B424" s="5">
        <f>prices!B425/prices!B424-1</f>
        <v>-1.9819872909239034E-2</v>
      </c>
      <c r="C424" s="5">
        <f>prices!C425/prices!C424-1</f>
        <v>2.3383124594864357E-2</v>
      </c>
      <c r="D424" s="5">
        <f>prices!D425/prices!D424-1</f>
        <v>-1.3255599877262991E-2</v>
      </c>
      <c r="E424" s="5">
        <f>prices!E425/prices!E424-1</f>
        <v>-2.3810629994425181E-3</v>
      </c>
      <c r="F424" s="5">
        <f>prices!F425/prices!F424-1</f>
        <v>-8.8374219107115737E-3</v>
      </c>
      <c r="G424" s="5">
        <f>prices!G425/prices!G424-1</f>
        <v>-2.8126570361747705E-2</v>
      </c>
      <c r="H424" s="5">
        <f>prices!H425/prices!H424-1</f>
        <v>1.0316891008059326E-2</v>
      </c>
      <c r="I424" s="5">
        <f>prices!I425/prices!I424-1</f>
        <v>-2.8745741030025029E-2</v>
      </c>
      <c r="J424" s="5">
        <f>prices!J425/prices!J424-1</f>
        <v>-8.6129122576229511E-3</v>
      </c>
      <c r="K424" s="8">
        <f>SUMPRODUCT(B424:I424,weights!$B$5:$I$5)</f>
        <v>-1.1970277825283137E-2</v>
      </c>
      <c r="L424" s="4">
        <f t="shared" si="12"/>
        <v>109.66467161757451</v>
      </c>
      <c r="M424" s="4">
        <f>L424/MAX(L$2:L424)-1</f>
        <v>-4.9005949505004698E-2</v>
      </c>
      <c r="N424" s="4">
        <f t="shared" si="13"/>
        <v>-3.9152688252076073E-2</v>
      </c>
    </row>
    <row r="425" spans="1:14">
      <c r="A425" s="3">
        <f>prices!A426</f>
        <v>44097</v>
      </c>
      <c r="B425" s="5">
        <f>prices!B426/prices!B425-1</f>
        <v>8.8878646078618395E-3</v>
      </c>
      <c r="C425" s="5">
        <f>prices!C426/prices!C425-1</f>
        <v>-2.1998141392845727E-2</v>
      </c>
      <c r="D425" s="5">
        <f>prices!D426/prices!D425-1</f>
        <v>1.1464228704106683E-2</v>
      </c>
      <c r="E425" s="5">
        <f>prices!E426/prices!E425-1</f>
        <v>1.2154940564203631E-2</v>
      </c>
      <c r="F425" s="5">
        <f>prices!F426/prices!F425-1</f>
        <v>-9.7617217524978983E-3</v>
      </c>
      <c r="G425" s="5">
        <f>prices!G426/prices!G425-1</f>
        <v>9.4314152522543271E-3</v>
      </c>
      <c r="H425" s="5">
        <f>prices!H426/prices!H425-1</f>
        <v>-1.1694196754860497E-2</v>
      </c>
      <c r="I425" s="5">
        <f>prices!I426/prices!I425-1</f>
        <v>4.7871127884298037E-3</v>
      </c>
      <c r="J425" s="5">
        <f>prices!J426/prices!J425-1</f>
        <v>-1.9545171311632359E-3</v>
      </c>
      <c r="K425" s="8">
        <f>SUMPRODUCT(B425:I425,weights!$B$5:$I$5)</f>
        <v>1.279102963199664E-3</v>
      </c>
      <c r="L425" s="4">
        <f t="shared" si="12"/>
        <v>109.80494402399889</v>
      </c>
      <c r="M425" s="4">
        <f>L425/MAX(L$2:L425)-1</f>
        <v>-4.7789530197031138E-2</v>
      </c>
      <c r="N425" s="4">
        <f t="shared" si="13"/>
        <v>-3.7551629379947271E-2</v>
      </c>
    </row>
    <row r="426" spans="1:14">
      <c r="A426" s="3">
        <f>prices!A427</f>
        <v>44098</v>
      </c>
      <c r="B426" s="5">
        <f>prices!B427/prices!B426-1</f>
        <v>-2.2237451085553084E-2</v>
      </c>
      <c r="C426" s="5">
        <f>prices!C427/prices!C426-1</f>
        <v>-5.4795232895103796E-2</v>
      </c>
      <c r="D426" s="5">
        <f>prices!D427/prices!D426-1</f>
        <v>-1.6089362574297938E-2</v>
      </c>
      <c r="E426" s="5">
        <f>prices!E427/prices!E426-1</f>
        <v>-4.3492264335423081E-2</v>
      </c>
      <c r="F426" s="5">
        <f>prices!F427/prices!F426-1</f>
        <v>-3.4464022355041646E-2</v>
      </c>
      <c r="G426" s="5">
        <f>prices!G427/prices!G426-1</f>
        <v>-3.131559879594048E-2</v>
      </c>
      <c r="H426" s="5">
        <f>prices!H427/prices!H426-1</f>
        <v>-3.3997506708644099E-2</v>
      </c>
      <c r="I426" s="5">
        <f>prices!I427/prices!I426-1</f>
        <v>-1.1507436349886602E-2</v>
      </c>
      <c r="J426" s="5">
        <f>prices!J427/prices!J426-1</f>
        <v>-2.9312288613303372E-2</v>
      </c>
      <c r="K426" s="8">
        <f>SUMPRODUCT(B426:I426,weights!$B$5:$I$5)</f>
        <v>-2.8886969452472253E-2</v>
      </c>
      <c r="L426" s="4">
        <f t="shared" si="12"/>
        <v>106.6330119602472</v>
      </c>
      <c r="M426" s="4">
        <f>L426/MAX(L$2:L426)-1</f>
        <v>-7.5296004950553774E-2</v>
      </c>
      <c r="N426" s="4">
        <f t="shared" si="13"/>
        <v>-6.8173167967025106E-2</v>
      </c>
    </row>
    <row r="427" spans="1:14">
      <c r="A427" s="3">
        <f>prices!A428</f>
        <v>44099</v>
      </c>
      <c r="B427" s="5">
        <f>prices!B428/prices!B427-1</f>
        <v>9.4060763659633562E-3</v>
      </c>
      <c r="C427" s="5">
        <f>prices!C428/prices!C427-1</f>
        <v>3.8611197247201634E-2</v>
      </c>
      <c r="D427" s="5">
        <f>prices!D428/prices!D427-1</f>
        <v>1.3186126445162039E-2</v>
      </c>
      <c r="E427" s="5">
        <f>prices!E428/prices!E427-1</f>
        <v>3.6967554176587925E-2</v>
      </c>
      <c r="F427" s="5">
        <f>prices!F428/prices!F427-1</f>
        <v>2.5243186751346514E-2</v>
      </c>
      <c r="G427" s="5">
        <f>prices!G428/prices!G427-1</f>
        <v>3.1757346961315047E-2</v>
      </c>
      <c r="H427" s="5">
        <f>prices!H428/prices!H427-1</f>
        <v>7.9181066538343003E-3</v>
      </c>
      <c r="I427" s="5">
        <f>prices!I428/prices!I427-1</f>
        <v>4.5316026368469986E-2</v>
      </c>
      <c r="J427" s="5">
        <f>prices!J428/prices!J427-1</f>
        <v>2.2645769997825305E-2</v>
      </c>
      <c r="K427" s="8">
        <f>SUMPRODUCT(B427:I427,weights!$B$5:$I$5)</f>
        <v>2.7105429348385598E-2</v>
      </c>
      <c r="L427" s="4">
        <f t="shared" si="12"/>
        <v>109.52334553214125</v>
      </c>
      <c r="M427" s="4">
        <f>L427/MAX(L$2:L427)-1</f>
        <v>-5.0231506144570948E-2</v>
      </c>
      <c r="N427" s="4">
        <f t="shared" si="13"/>
        <v>-5.0231506144570948E-2</v>
      </c>
    </row>
    <row r="428" spans="1:14">
      <c r="A428" s="3">
        <f>prices!A429</f>
        <v>44102</v>
      </c>
      <c r="B428" s="5">
        <f>prices!B429/prices!B428-1</f>
        <v>6.6013907198132493E-3</v>
      </c>
      <c r="C428" s="5">
        <f>prices!C429/prices!C428-1</f>
        <v>1.651722510618292E-3</v>
      </c>
      <c r="D428" s="5">
        <f>prices!D429/prices!D428-1</f>
        <v>9.7660265635921562E-3</v>
      </c>
      <c r="E428" s="5">
        <f>prices!E429/prices!E428-1</f>
        <v>-1.043744491348475E-3</v>
      </c>
      <c r="F428" s="5">
        <f>prices!F429/prices!F428-1</f>
        <v>1.4898455265427879E-2</v>
      </c>
      <c r="G428" s="5">
        <f>prices!G429/prices!G428-1</f>
        <v>3.159566117176893E-2</v>
      </c>
      <c r="H428" s="5">
        <f>prices!H429/prices!H428-1</f>
        <v>4.177517361111116E-2</v>
      </c>
      <c r="I428" s="5">
        <f>prices!I429/prices!I428-1</f>
        <v>1.5296227174589339E-2</v>
      </c>
      <c r="J428" s="5">
        <f>prices!J429/prices!J428-1</f>
        <v>1.6044885862310787E-2</v>
      </c>
      <c r="K428" s="8">
        <f>SUMPRODUCT(B428:I428,weights!$B$5:$I$5)</f>
        <v>1.8324371820111287E-2</v>
      </c>
      <c r="L428" s="4">
        <f t="shared" si="12"/>
        <v>111.53029203865474</v>
      </c>
      <c r="M428" s="4">
        <f>L428/MAX(L$2:L428)-1</f>
        <v>-3.2827595120136999E-2</v>
      </c>
      <c r="N428" s="4">
        <f t="shared" si="13"/>
        <v>-4.8844893048898275E-3</v>
      </c>
    </row>
    <row r="429" spans="1:14">
      <c r="A429" s="3">
        <f>prices!A430</f>
        <v>44103</v>
      </c>
      <c r="B429" s="5">
        <f>prices!B430/prices!B429-1</f>
        <v>1.2996231092982979E-2</v>
      </c>
      <c r="C429" s="5">
        <f>prices!C430/prices!C429-1</f>
        <v>2.5595538568784271E-2</v>
      </c>
      <c r="D429" s="5">
        <f>prices!D430/prices!D429-1</f>
        <v>7.9205098446439859E-3</v>
      </c>
      <c r="E429" s="5">
        <f>prices!E430/prices!E429-1</f>
        <v>-1.381504098075137E-3</v>
      </c>
      <c r="F429" s="5">
        <f>prices!F430/prices!F429-1</f>
        <v>-2.2483195549718116E-2</v>
      </c>
      <c r="G429" s="5">
        <f>prices!G430/prices!G429-1</f>
        <v>5.9303234164449492E-3</v>
      </c>
      <c r="H429" s="5">
        <f>prices!H430/prices!H429-1</f>
        <v>-7.7491927924174808E-3</v>
      </c>
      <c r="I429" s="5">
        <f>prices!I430/prices!I429-1</f>
        <v>-8.193668528864162E-3</v>
      </c>
      <c r="J429" s="5">
        <f>prices!J430/prices!J429-1</f>
        <v>-4.5869312539237317E-4</v>
      </c>
      <c r="K429" s="8">
        <f>SUMPRODUCT(B429:I429,weights!$B$5:$I$5)</f>
        <v>8.6284382432754944E-4</v>
      </c>
      <c r="L429" s="4">
        <f t="shared" si="12"/>
        <v>111.62652526236573</v>
      </c>
      <c r="M429" s="4">
        <f>L429/MAX(L$2:L429)-1</f>
        <v>-3.1993076383526442E-2</v>
      </c>
      <c r="N429" s="4">
        <f t="shared" si="13"/>
        <v>-7.3762828821642978E-3</v>
      </c>
    </row>
    <row r="430" spans="1:14">
      <c r="A430" s="3">
        <f>prices!A431</f>
        <v>44104</v>
      </c>
      <c r="B430" s="5">
        <f>prices!B431/prices!B430-1</f>
        <v>-4.7666512054791443E-3</v>
      </c>
      <c r="C430" s="5">
        <f>prices!C431/prices!C430-1</f>
        <v>1.5656568024038364E-3</v>
      </c>
      <c r="D430" s="5">
        <f>prices!D431/prices!D430-1</f>
        <v>1.5110500585834963E-2</v>
      </c>
      <c r="E430" s="5">
        <f>prices!E431/prices!E430-1</f>
        <v>-7.4402166963127847E-4</v>
      </c>
      <c r="F430" s="5">
        <f>prices!F431/prices!F430-1</f>
        <v>1.3594688586784809E-2</v>
      </c>
      <c r="G430" s="5">
        <f>prices!G431/prices!G430-1</f>
        <v>1.0315320595477573E-4</v>
      </c>
      <c r="H430" s="5">
        <f>prices!H431/prices!H430-1</f>
        <v>-1.1252702958033156E-2</v>
      </c>
      <c r="I430" s="5">
        <f>prices!I431/prices!I430-1</f>
        <v>6.8683149007304767E-3</v>
      </c>
      <c r="J430" s="5">
        <f>prices!J431/prices!J430-1</f>
        <v>2.2410536070716081E-3</v>
      </c>
      <c r="K430" s="8">
        <f>SUMPRODUCT(B430:I430,weights!$B$5:$I$5)</f>
        <v>1.403631433016157E-3</v>
      </c>
      <c r="L430" s="4">
        <f t="shared" si="12"/>
        <v>111.78320776198235</v>
      </c>
      <c r="M430" s="4">
        <f>L430/MAX(L$2:L430)-1</f>
        <v>-3.0634351438161178E-2</v>
      </c>
      <c r="N430" s="4">
        <f t="shared" si="13"/>
        <v>-9.5395877497624904E-3</v>
      </c>
    </row>
    <row r="431" spans="1:14">
      <c r="A431" s="3">
        <f>prices!A432</f>
        <v>44105</v>
      </c>
      <c r="B431" s="5">
        <f>prices!B432/prices!B431-1</f>
        <v>-4.0755210915653928E-3</v>
      </c>
      <c r="C431" s="5">
        <f>prices!C432/prices!C431-1</f>
        <v>1.2500994556848832E-2</v>
      </c>
      <c r="D431" s="5">
        <f>prices!D432/prices!D431-1</f>
        <v>2.6288557213930419E-2</v>
      </c>
      <c r="E431" s="5">
        <f>prices!E432/prices!E431-1</f>
        <v>9.3188296201500709E-3</v>
      </c>
      <c r="F431" s="5">
        <f>prices!F432/prices!F431-1</f>
        <v>-4.9906425452278524E-3</v>
      </c>
      <c r="G431" s="5">
        <f>prices!G432/prices!G431-1</f>
        <v>7.837272285436292E-3</v>
      </c>
      <c r="H431" s="5">
        <f>prices!H432/prices!H431-1</f>
        <v>1.2888294371191433E-2</v>
      </c>
      <c r="I431" s="5">
        <f>prices!I432/prices!I431-1</f>
        <v>1.3233878729546067E-3</v>
      </c>
      <c r="J431" s="5">
        <f>prices!J432/prices!J431-1</f>
        <v>1.5061057741463824E-2</v>
      </c>
      <c r="K431" s="8">
        <f>SUMPRODUCT(B431:I431,weights!$B$5:$I$5)</f>
        <v>6.6338253873676088E-3</v>
      </c>
      <c r="L431" s="4">
        <f t="shared" si="12"/>
        <v>112.52475804351519</v>
      </c>
      <c r="M431" s="4">
        <f>L431/MAX(L$2:L431)-1</f>
        <v>-2.4203748989089391E-2</v>
      </c>
      <c r="N431" s="4">
        <f t="shared" si="13"/>
        <v>-1.2222706270867856E-2</v>
      </c>
    </row>
    <row r="432" spans="1:14">
      <c r="A432" s="3">
        <f>prices!A433</f>
        <v>44109</v>
      </c>
      <c r="B432" s="5">
        <f>prices!B433/prices!B432-1</f>
        <v>-5.8644894708019812E-3</v>
      </c>
      <c r="C432" s="5">
        <f>prices!C433/prices!C432-1</f>
        <v>7.2263259589338658E-2</v>
      </c>
      <c r="D432" s="5">
        <f>prices!D433/prices!D432-1</f>
        <v>6.689806286478639E-3</v>
      </c>
      <c r="E432" s="5">
        <f>prices!E433/prices!E432-1</f>
        <v>3.0510858038637068E-2</v>
      </c>
      <c r="F432" s="5">
        <f>prices!F433/prices!F432-1</f>
        <v>-9.3260188087773699E-3</v>
      </c>
      <c r="G432" s="5">
        <f>prices!G433/prices!G432-1</f>
        <v>3.3183130564764518E-3</v>
      </c>
      <c r="H432" s="5">
        <f>prices!H433/prices!H432-1</f>
        <v>3.1947006540332001E-2</v>
      </c>
      <c r="I432" s="5">
        <f>prices!I433/prices!I432-1</f>
        <v>-6.4760302775441758E-3</v>
      </c>
      <c r="J432" s="5">
        <f>prices!J433/prices!J432-1</f>
        <v>7.5676954002601438E-3</v>
      </c>
      <c r="K432" s="8">
        <f>SUMPRODUCT(B432:I432,weights!$B$5:$I$5)</f>
        <v>1.2088719871187382E-2</v>
      </c>
      <c r="L432" s="4">
        <f t="shared" si="12"/>
        <v>113.8850383220764</v>
      </c>
      <c r="M432" s="4">
        <f>L432/MAX(L$2:L432)-1</f>
        <v>-1.2407621459263551E-2</v>
      </c>
      <c r="N432" s="4">
        <f t="shared" si="13"/>
        <v>1.0486746035831773E-2</v>
      </c>
    </row>
    <row r="433" spans="1:14">
      <c r="A433" s="3">
        <f>prices!A434</f>
        <v>44110</v>
      </c>
      <c r="B433" s="5">
        <f>prices!B434/prices!B433-1</f>
        <v>-8.3128017146405497E-4</v>
      </c>
      <c r="C433" s="5">
        <f>prices!C434/prices!C433-1</f>
        <v>3.1383774416187116E-3</v>
      </c>
      <c r="D433" s="5">
        <f>prices!D434/prices!D433-1</f>
        <v>2.6696972031743593E-2</v>
      </c>
      <c r="E433" s="5">
        <f>prices!E434/prices!E433-1</f>
        <v>6.7223694954308133E-3</v>
      </c>
      <c r="F433" s="5">
        <f>prices!F434/prices!F433-1</f>
        <v>3.7971679455739427E-3</v>
      </c>
      <c r="G433" s="5">
        <f>prices!G434/prices!G433-1</f>
        <v>1.0785941030467594E-2</v>
      </c>
      <c r="H433" s="5">
        <f>prices!H434/prices!H433-1</f>
        <v>-3.9205330299828534E-3</v>
      </c>
      <c r="I433" s="5">
        <f>prices!I434/prices!I433-1</f>
        <v>-4.8493790134355175E-3</v>
      </c>
      <c r="J433" s="5">
        <f>prices!J434/prices!J433-1</f>
        <v>1.3826407090108406E-2</v>
      </c>
      <c r="K433" s="8">
        <f>SUMPRODUCT(B433:I433,weights!$B$5:$I$5)</f>
        <v>3.591854876107972E-3</v>
      </c>
      <c r="L433" s="4">
        <f t="shared" si="12"/>
        <v>114.2940968522893</v>
      </c>
      <c r="M433" s="4">
        <f>L433/MAX(L$2:L433)-1</f>
        <v>-8.8603329587948476E-3</v>
      </c>
      <c r="N433" s="4">
        <f t="shared" si="13"/>
        <v>1.2683542973204398E-2</v>
      </c>
    </row>
    <row r="434" spans="1:14">
      <c r="A434" s="3">
        <f>prices!A435</f>
        <v>44111</v>
      </c>
      <c r="B434" s="5">
        <f>prices!B435/prices!B434-1</f>
        <v>2.1330553411585518E-2</v>
      </c>
      <c r="C434" s="5">
        <f>prices!C435/prices!C434-1</f>
        <v>7.9761060615828328E-3</v>
      </c>
      <c r="D434" s="5">
        <f>prices!D435/prices!D434-1</f>
        <v>1.5853063674909018E-2</v>
      </c>
      <c r="E434" s="5">
        <f>prices!E435/prices!E434-1</f>
        <v>1.023287853873156E-2</v>
      </c>
      <c r="F434" s="5">
        <f>prices!F435/prices!F434-1</f>
        <v>-2.3642525021672078E-3</v>
      </c>
      <c r="G434" s="5">
        <f>prices!G435/prices!G434-1</f>
        <v>2.2416574289973568E-2</v>
      </c>
      <c r="H434" s="5">
        <f>prices!H435/prices!H434-1</f>
        <v>-1.7844396859386102E-2</v>
      </c>
      <c r="I434" s="5">
        <f>prices!I435/prices!I434-1</f>
        <v>-5.2618787215942264E-3</v>
      </c>
      <c r="J434" s="5">
        <f>prices!J435/prices!J434-1</f>
        <v>6.555254493071816E-3</v>
      </c>
      <c r="K434" s="8">
        <f>SUMPRODUCT(B434:I434,weights!$B$5:$I$5)</f>
        <v>5.8929361533023202E-3</v>
      </c>
      <c r="L434" s="4">
        <f t="shared" si="12"/>
        <v>114.96762466773919</v>
      </c>
      <c r="M434" s="4">
        <f>L434/MAX(L$2:L434)-1</f>
        <v>-3.0196101819157661E-3</v>
      </c>
      <c r="N434" s="4">
        <f t="shared" si="13"/>
        <v>2.1603542460095548E-2</v>
      </c>
    </row>
    <row r="435" spans="1:14">
      <c r="A435" s="3">
        <f>prices!A436</f>
        <v>44112</v>
      </c>
      <c r="B435" s="5">
        <f>prices!B436/prices!B435-1</f>
        <v>-8.0870734412263889E-3</v>
      </c>
      <c r="C435" s="5">
        <f>prices!C436/prices!C435-1</f>
        <v>3.2807363856901084E-2</v>
      </c>
      <c r="D435" s="5">
        <f>prices!D436/prices!D435-1</f>
        <v>2.5430771787910755E-2</v>
      </c>
      <c r="E435" s="5">
        <f>prices!E436/prices!E435-1</f>
        <v>2.5460544404729113E-2</v>
      </c>
      <c r="F435" s="5">
        <f>prices!F436/prices!F435-1</f>
        <v>-1.3824156726439663E-2</v>
      </c>
      <c r="G435" s="5">
        <f>prices!G436/prices!G435-1</f>
        <v>4.674839909912798E-3</v>
      </c>
      <c r="H435" s="5">
        <f>prices!H436/prices!H435-1</f>
        <v>2.4127906976744162E-2</v>
      </c>
      <c r="I435" s="5">
        <f>prices!I436/prices!I435-1</f>
        <v>-7.7207813626202215E-3</v>
      </c>
      <c r="J435" s="5">
        <f>prices!J436/prices!J435-1</f>
        <v>8.1566763354161687E-3</v>
      </c>
      <c r="K435" s="8">
        <f>SUMPRODUCT(B435:I435,weights!$B$5:$I$5)</f>
        <v>7.7705337683340722E-3</v>
      </c>
      <c r="L435" s="4">
        <f t="shared" si="12"/>
        <v>115.860984477485</v>
      </c>
      <c r="M435" s="4">
        <f>L435/MAX(L$2:L435)-1</f>
        <v>0</v>
      </c>
      <c r="N435" s="4">
        <f t="shared" si="13"/>
        <v>3.0670375688451657E-2</v>
      </c>
    </row>
    <row r="436" spans="1:14">
      <c r="A436" s="3">
        <f>prices!A437</f>
        <v>44113</v>
      </c>
      <c r="B436" s="5">
        <f>prices!B437/prices!B436-1</f>
        <v>-2.5824453085576682E-3</v>
      </c>
      <c r="C436" s="5">
        <f>prices!C437/prices!C436-1</f>
        <v>-4.5160704407916086E-3</v>
      </c>
      <c r="D436" s="5">
        <f>prices!D437/prices!D436-1</f>
        <v>3.5029896981485509E-2</v>
      </c>
      <c r="E436" s="5">
        <f>prices!E437/prices!E436-1</f>
        <v>1.1969111969111879E-2</v>
      </c>
      <c r="F436" s="5">
        <f>prices!F437/prices!F436-1</f>
        <v>4.165331624479407E-3</v>
      </c>
      <c r="G436" s="5">
        <f>prices!G437/prices!G436-1</f>
        <v>-2.4634868088095896E-3</v>
      </c>
      <c r="H436" s="5">
        <f>prices!H437/prices!H436-1</f>
        <v>-2.13697741373019E-2</v>
      </c>
      <c r="I436" s="5">
        <f>prices!I437/prices!I436-1</f>
        <v>3.1098799630655538E-2</v>
      </c>
      <c r="J436" s="5">
        <f>prices!J437/prices!J436-1</f>
        <v>6.7260405928379896E-3</v>
      </c>
      <c r="K436" s="8">
        <f>SUMPRODUCT(B436:I436,weights!$B$5:$I$5)</f>
        <v>5.6662959566510379E-3</v>
      </c>
      <c r="L436" s="4">
        <f t="shared" si="12"/>
        <v>116.5174871053634</v>
      </c>
      <c r="M436" s="4">
        <f>L436/MAX(L$2:L436)-1</f>
        <v>0</v>
      </c>
      <c r="N436" s="4">
        <f t="shared" si="13"/>
        <v>2.3344297914072776E-2</v>
      </c>
    </row>
    <row r="437" spans="1:14">
      <c r="A437" s="3">
        <f>prices!A438</f>
        <v>44116</v>
      </c>
      <c r="B437" s="5">
        <f>prices!B438/prices!B437-1</f>
        <v>1.6070471995714986E-3</v>
      </c>
      <c r="C437" s="5">
        <f>prices!C438/prices!C437-1</f>
        <v>6.0625663481952419E-3</v>
      </c>
      <c r="D437" s="5">
        <f>prices!D438/prices!D437-1</f>
        <v>-1.6130435539160382E-2</v>
      </c>
      <c r="E437" s="5">
        <f>prices!E438/prices!E437-1</f>
        <v>2.2860231463817993E-2</v>
      </c>
      <c r="F437" s="5">
        <f>prices!F438/prices!F437-1</f>
        <v>2.5925335035098973E-2</v>
      </c>
      <c r="G437" s="5">
        <f>prices!G438/prices!G437-1</f>
        <v>1.0512462005171974E-2</v>
      </c>
      <c r="H437" s="5">
        <f>prices!H438/prices!H437-1</f>
        <v>1.9474600149167465E-3</v>
      </c>
      <c r="I437" s="5">
        <f>prices!I438/prices!I437-1</f>
        <v>-2.973098828670695E-3</v>
      </c>
      <c r="J437" s="5">
        <f>prices!J438/prices!J437-1</f>
        <v>1.4058854140437393E-3</v>
      </c>
      <c r="K437" s="8">
        <f>SUMPRODUCT(B437:I437,weights!$B$5:$I$5)</f>
        <v>5.3943339505113201E-3</v>
      </c>
      <c r="L437" s="4">
        <f t="shared" si="12"/>
        <v>117.14602134188414</v>
      </c>
      <c r="M437" s="4">
        <f>L437/MAX(L$2:L437)-1</f>
        <v>0</v>
      </c>
      <c r="N437" s="4">
        <f t="shared" si="13"/>
        <v>3.0190320070767829E-2</v>
      </c>
    </row>
    <row r="438" spans="1:14">
      <c r="A438" s="3">
        <f>prices!A439</f>
        <v>44117</v>
      </c>
      <c r="B438" s="5">
        <f>prices!B439/prices!B438-1</f>
        <v>1.9511132239917739E-2</v>
      </c>
      <c r="C438" s="5">
        <f>prices!C439/prices!C438-1</f>
        <v>-1.2200450097685778E-3</v>
      </c>
      <c r="D438" s="5">
        <f>prices!D439/prices!D438-1</f>
        <v>-1.252166531074228E-2</v>
      </c>
      <c r="E438" s="5">
        <f>prices!E439/prices!E438-1</f>
        <v>2.2701604965134292E-2</v>
      </c>
      <c r="F438" s="5">
        <f>prices!F439/prices!F438-1</f>
        <v>-1.1896431070678948E-2</v>
      </c>
      <c r="G438" s="5">
        <f>prices!G439/prices!G438-1</f>
        <v>-1.453775978216254E-2</v>
      </c>
      <c r="H438" s="5">
        <f>prices!H439/prices!H438-1</f>
        <v>-2.090484264505188E-2</v>
      </c>
      <c r="I438" s="5">
        <f>prices!I439/prices!I438-1</f>
        <v>-1.0263227228090255E-2</v>
      </c>
      <c r="J438" s="5">
        <f>prices!J439/prices!J438-1</f>
        <v>2.9754545949822742E-4</v>
      </c>
      <c r="K438" s="8">
        <f>SUMPRODUCT(B438:I438,weights!$B$5:$I$5)</f>
        <v>-5.6257496498938152E-3</v>
      </c>
      <c r="L438" s="4">
        <f t="shared" si="12"/>
        <v>116.48698715333357</v>
      </c>
      <c r="M438" s="4">
        <f>L438/MAX(L$2:L438)-1</f>
        <v>-5.6257496498938186E-3</v>
      </c>
      <c r="N438" s="4">
        <f t="shared" si="13"/>
        <v>2.780739184574621E-2</v>
      </c>
    </row>
    <row r="439" spans="1:14">
      <c r="A439" s="3">
        <f>prices!A440</f>
        <v>44118</v>
      </c>
      <c r="B439" s="5">
        <f>prices!B440/prices!B439-1</f>
        <v>2.9823777419417663E-3</v>
      </c>
      <c r="C439" s="5">
        <f>prices!C440/prices!C439-1</f>
        <v>-1.7580204524632048E-3</v>
      </c>
      <c r="D439" s="5">
        <f>prices!D440/prices!D439-1</f>
        <v>1.0889422215853983E-2</v>
      </c>
      <c r="E439" s="5">
        <f>prices!E440/prices!E439-1</f>
        <v>-1.7962797860269109E-2</v>
      </c>
      <c r="F439" s="5">
        <f>prices!F440/prices!F439-1</f>
        <v>-1.3849543594586122E-2</v>
      </c>
      <c r="G439" s="5">
        <f>prices!G440/prices!G439-1</f>
        <v>-4.3440017861503533E-3</v>
      </c>
      <c r="H439" s="5">
        <f>prices!H440/prices!H439-1</f>
        <v>-1.9006990348672259E-3</v>
      </c>
      <c r="I439" s="5">
        <f>prices!I440/prices!I439-1</f>
        <v>2.0920805856373681E-2</v>
      </c>
      <c r="J439" s="5">
        <f>prices!J440/prices!J439-1</f>
        <v>3.0625497507226207E-3</v>
      </c>
      <c r="K439" s="8">
        <f>SUMPRODUCT(B439:I439,weights!$B$5:$I$5)</f>
        <v>1.344502899549837E-3</v>
      </c>
      <c r="L439" s="4">
        <f t="shared" si="12"/>
        <v>116.64360424532104</v>
      </c>
      <c r="M439" s="4">
        <f>L439/MAX(L$2:L439)-1</f>
        <v>-4.2888105870605431E-3</v>
      </c>
      <c r="N439" s="4">
        <f t="shared" si="13"/>
        <v>2.4789060836774679E-2</v>
      </c>
    </row>
    <row r="440" spans="1:14">
      <c r="A440" s="3">
        <f>prices!A441</f>
        <v>44119</v>
      </c>
      <c r="B440" s="5">
        <f>prices!B441/prices!B440-1</f>
        <v>-3.5410915782846719E-2</v>
      </c>
      <c r="C440" s="5">
        <f>prices!C441/prices!C440-1</f>
        <v>-2.4556413606072192E-2</v>
      </c>
      <c r="D440" s="5">
        <f>prices!D441/prices!D440-1</f>
        <v>-3.4885369051415482E-2</v>
      </c>
      <c r="E440" s="5">
        <f>prices!E441/prices!E440-1</f>
        <v>-2.5286028205630751E-2</v>
      </c>
      <c r="F440" s="5">
        <f>prices!F441/prices!F440-1</f>
        <v>-1.6358123204596176E-2</v>
      </c>
      <c r="G440" s="5">
        <f>prices!G441/prices!G440-1</f>
        <v>-1.5672924398532406E-2</v>
      </c>
      <c r="H440" s="5">
        <f>prices!H441/prices!H440-1</f>
        <v>-2.3698186665538135E-2</v>
      </c>
      <c r="I440" s="5">
        <f>prices!I441/prices!I440-1</f>
        <v>-2.8847749306658454E-2</v>
      </c>
      <c r="J440" s="5">
        <f>prices!J441/prices!J440-1</f>
        <v>-2.4283584146753912E-2</v>
      </c>
      <c r="K440" s="8">
        <f>SUMPRODUCT(B440:I440,weights!$B$5:$I$5)</f>
        <v>-2.5071504536276046E-2</v>
      </c>
      <c r="L440" s="4">
        <f t="shared" si="12"/>
        <v>113.7191735923569</v>
      </c>
      <c r="M440" s="4">
        <f>L440/MAX(L$2:L440)-1</f>
        <v>-2.9252788189247814E-2</v>
      </c>
      <c r="N440" s="4">
        <f t="shared" si="13"/>
        <v>-1.0573055210039706E-2</v>
      </c>
    </row>
    <row r="441" spans="1:14">
      <c r="A441" s="3">
        <f>prices!A442</f>
        <v>44120</v>
      </c>
      <c r="B441" s="5">
        <f>prices!B442/prices!B441-1</f>
        <v>-1.3907158421110788E-2</v>
      </c>
      <c r="C441" s="5">
        <f>prices!C442/prices!C441-1</f>
        <v>8.2813453583778784E-3</v>
      </c>
      <c r="D441" s="5">
        <f>prices!D442/prices!D441-1</f>
        <v>2.5755879059350395E-2</v>
      </c>
      <c r="E441" s="5">
        <f>prices!E442/prices!E441-1</f>
        <v>1.7368755292125337E-2</v>
      </c>
      <c r="F441" s="5">
        <f>prices!F442/prices!F441-1</f>
        <v>3.9750141964793873E-3</v>
      </c>
      <c r="G441" s="5">
        <f>prices!G442/prices!G441-1</f>
        <v>3.3331090874622049E-4</v>
      </c>
      <c r="H441" s="5">
        <f>prices!H442/prices!H441-1</f>
        <v>-6.9352636483822616E-3</v>
      </c>
      <c r="I441" s="5">
        <f>prices!I442/prices!I441-1</f>
        <v>5.9555772516475258E-3</v>
      </c>
      <c r="J441" s="5">
        <f>prices!J442/prices!J441-1</f>
        <v>7.0288989627880216E-3</v>
      </c>
      <c r="K441" s="8">
        <f>SUMPRODUCT(B441:I441,weights!$B$5:$I$5)</f>
        <v>2.8682456301737502E-3</v>
      </c>
      <c r="L441" s="4">
        <f t="shared" si="12"/>
        <v>114.04534811508016</v>
      </c>
      <c r="M441" s="4">
        <f>L441/MAX(L$2:L441)-1</f>
        <v>-2.6468446740968155E-2</v>
      </c>
      <c r="N441" s="4">
        <f t="shared" si="13"/>
        <v>4.370386752865496E-4</v>
      </c>
    </row>
    <row r="442" spans="1:14">
      <c r="A442" s="3">
        <f>prices!A443</f>
        <v>44123</v>
      </c>
      <c r="B442" s="5">
        <f>prices!B443/prices!B442-1</f>
        <v>1.8329192293609076E-4</v>
      </c>
      <c r="C442" s="5">
        <f>prices!C443/prices!C442-1</f>
        <v>-1.8725883332072257E-2</v>
      </c>
      <c r="D442" s="5">
        <f>prices!D443/prices!D442-1</f>
        <v>3.4898704273749193E-3</v>
      </c>
      <c r="E442" s="5">
        <f>prices!E443/prices!E442-1</f>
        <v>-1.4148833241435232E-3</v>
      </c>
      <c r="F442" s="5">
        <f>prices!F443/prices!F442-1</f>
        <v>1.5352294764059415E-2</v>
      </c>
      <c r="G442" s="5">
        <f>prices!G443/prices!G442-1</f>
        <v>-6.2283916840654152E-3</v>
      </c>
      <c r="H442" s="5">
        <f>prices!H443/prices!H442-1</f>
        <v>-6.6563366142160518E-3</v>
      </c>
      <c r="I442" s="5">
        <f>prices!I443/prices!I442-1</f>
        <v>9.8510214975493504E-3</v>
      </c>
      <c r="J442" s="5">
        <f>prices!J443/prices!J442-1</f>
        <v>9.4028029874726471E-3</v>
      </c>
      <c r="K442" s="8">
        <f>SUMPRODUCT(B442:I442,weights!$B$5:$I$5)</f>
        <v>-4.7136269074721476E-4</v>
      </c>
      <c r="L442" s="4">
        <f t="shared" si="12"/>
        <v>113.99159139292543</v>
      </c>
      <c r="M442" s="4">
        <f>L442/MAX(L$2:L442)-1</f>
        <v>-2.6927333193439651E-2</v>
      </c>
      <c r="N442" s="4">
        <f t="shared" si="13"/>
        <v>3.4973235749755638E-3</v>
      </c>
    </row>
    <row r="443" spans="1:14">
      <c r="A443" s="3">
        <f>prices!A444</f>
        <v>44124</v>
      </c>
      <c r="B443" s="5">
        <f>prices!B444/prices!B443-1</f>
        <v>-9.3359939728371311E-3</v>
      </c>
      <c r="C443" s="5">
        <f>prices!C444/prices!C443-1</f>
        <v>1.012203845774895E-2</v>
      </c>
      <c r="D443" s="5">
        <f>prices!D444/prices!D443-1</f>
        <v>1.6960639189598892E-2</v>
      </c>
      <c r="E443" s="5">
        <f>prices!E444/prices!E443-1</f>
        <v>1.0303693285409254E-2</v>
      </c>
      <c r="F443" s="5">
        <f>prices!F444/prices!F443-1</f>
        <v>-4.7747891134807263E-3</v>
      </c>
      <c r="G443" s="5">
        <f>prices!G444/prices!G443-1</f>
        <v>-1.0735373054212571E-3</v>
      </c>
      <c r="H443" s="5">
        <f>prices!H444/prices!H443-1</f>
        <v>5.5804552245364292E-3</v>
      </c>
      <c r="I443" s="5">
        <f>prices!I444/prices!I443-1</f>
        <v>1.5941854877462802E-2</v>
      </c>
      <c r="J443" s="5">
        <f>prices!J444/prices!J443-1</f>
        <v>2.0003284749916528E-3</v>
      </c>
      <c r="K443" s="8">
        <f>SUMPRODUCT(B443:I443,weights!$B$5:$I$5)</f>
        <v>5.2087965765871156E-3</v>
      </c>
      <c r="L443" s="4">
        <f t="shared" si="12"/>
        <v>114.58535040393261</v>
      </c>
      <c r="M443" s="4">
        <f>L443/MAX(L$2:L443)-1</f>
        <v>-2.1858795617807236E-2</v>
      </c>
      <c r="N443" s="4">
        <f t="shared" si="13"/>
        <v>3.2362840785152613E-2</v>
      </c>
    </row>
    <row r="444" spans="1:14">
      <c r="A444" s="3">
        <f>prices!A445</f>
        <v>44125</v>
      </c>
      <c r="B444" s="5">
        <f>prices!B445/prices!B444-1</f>
        <v>-1.4511073428909116E-2</v>
      </c>
      <c r="C444" s="5">
        <f>prices!C445/prices!C444-1</f>
        <v>-2.3221691672250078E-2</v>
      </c>
      <c r="D444" s="5">
        <f>prices!D445/prices!D444-1</f>
        <v>1.8589316404194811E-2</v>
      </c>
      <c r="E444" s="5">
        <f>prices!E445/prices!E444-1</f>
        <v>9.5386392228844485E-3</v>
      </c>
      <c r="F444" s="5">
        <f>prices!F445/prices!F444-1</f>
        <v>1.1994242763473384E-3</v>
      </c>
      <c r="G444" s="5">
        <f>prices!G445/prices!G444-1</f>
        <v>2.5204429944156725E-3</v>
      </c>
      <c r="H444" s="5">
        <f>prices!H445/prices!H444-1</f>
        <v>7.9091107712474518E-3</v>
      </c>
      <c r="I444" s="5">
        <f>prices!I445/prices!I444-1</f>
        <v>7.7926377901544885E-3</v>
      </c>
      <c r="J444" s="5">
        <f>prices!J445/prices!J444-1</f>
        <v>3.4336964561898498E-3</v>
      </c>
      <c r="K444" s="8">
        <f>SUMPRODUCT(B444:I444,weights!$B$5:$I$5)</f>
        <v>1.6232911770563251E-3</v>
      </c>
      <c r="L444" s="4">
        <f t="shared" si="12"/>
        <v>114.77135579226322</v>
      </c>
      <c r="M444" s="4">
        <f>L444/MAX(L$2:L444)-1</f>
        <v>-2.027098763081836E-2</v>
      </c>
      <c r="N444" s="4">
        <f t="shared" si="13"/>
        <v>4.6566356323911373E-2</v>
      </c>
    </row>
    <row r="445" spans="1:14">
      <c r="A445" s="3">
        <f>prices!A446</f>
        <v>44126</v>
      </c>
      <c r="B445" s="5">
        <f>prices!B446/prices!B445-1</f>
        <v>-8.3113470222017094E-3</v>
      </c>
      <c r="C445" s="5">
        <f>prices!C446/prices!C445-1</f>
        <v>-1.5889692538791911E-3</v>
      </c>
      <c r="D445" s="5">
        <f>prices!D446/prices!D445-1</f>
        <v>-1.0760648737991096E-2</v>
      </c>
      <c r="E445" s="5">
        <f>prices!E446/prices!E445-1</f>
        <v>-1.6813246304865248E-2</v>
      </c>
      <c r="F445" s="5">
        <f>prices!F446/prices!F445-1</f>
        <v>5.3510103026914724E-3</v>
      </c>
      <c r="G445" s="5">
        <f>prices!G446/prices!G445-1</f>
        <v>-7.3303784520969417E-3</v>
      </c>
      <c r="H445" s="5">
        <f>prices!H446/prices!H445-1</f>
        <v>-9.4944940605219408E-3</v>
      </c>
      <c r="I445" s="5">
        <f>prices!I446/prices!I445-1</f>
        <v>1.2824724849224589E-2</v>
      </c>
      <c r="J445" s="5">
        <f>prices!J446/prices!J445-1</f>
        <v>-3.4512655338361231E-3</v>
      </c>
      <c r="K445" s="8">
        <f>SUMPRODUCT(B445:I445,weights!$B$5:$I$5)</f>
        <v>-3.3057342820125486E-3</v>
      </c>
      <c r="L445" s="4">
        <f t="shared" si="12"/>
        <v>114.39195218682768</v>
      </c>
      <c r="M445" s="4">
        <f>L445/MAX(L$2:L445)-1</f>
        <v>-2.3509711414089418E-2</v>
      </c>
      <c r="N445" s="4">
        <f t="shared" si="13"/>
        <v>4.1774149639621561E-2</v>
      </c>
    </row>
    <row r="446" spans="1:14">
      <c r="A446" s="3">
        <f>prices!A447</f>
        <v>44127</v>
      </c>
      <c r="B446" s="5">
        <f>prices!B447/prices!B446-1</f>
        <v>2.8918145873644274E-3</v>
      </c>
      <c r="C446" s="5">
        <f>prices!C447/prices!C446-1</f>
        <v>5.8615831492530024E-3</v>
      </c>
      <c r="D446" s="5">
        <f>prices!D447/prices!D446-1</f>
        <v>2.0363054110028589E-3</v>
      </c>
      <c r="E446" s="5">
        <f>prices!E447/prices!E446-1</f>
        <v>4.8829646868149279E-3</v>
      </c>
      <c r="F446" s="5">
        <f>prices!F447/prices!F446-1</f>
        <v>1.31077216396569E-2</v>
      </c>
      <c r="G446" s="5">
        <f>prices!G447/prices!G446-1</f>
        <v>4.2824895993365919E-2</v>
      </c>
      <c r="H446" s="5">
        <f>prices!H447/prices!H446-1</f>
        <v>-2.144701711384478E-3</v>
      </c>
      <c r="I446" s="5">
        <f>prices!I447/prices!I446-1</f>
        <v>5.282730337469177E-3</v>
      </c>
      <c r="J446" s="5">
        <f>prices!J447/prices!J446-1</f>
        <v>2.8495895834470542E-3</v>
      </c>
      <c r="K446" s="8">
        <f>SUMPRODUCT(B446:I446,weights!$B$5:$I$5)</f>
        <v>1.1585384409226834E-2</v>
      </c>
      <c r="L446" s="4">
        <f t="shared" si="12"/>
        <v>115.71722692623398</v>
      </c>
      <c r="M446" s="4">
        <f>L446/MAX(L$2:L446)-1</f>
        <v>-1.21966960489448E-2</v>
      </c>
      <c r="N446" s="4">
        <f t="shared" si="13"/>
        <v>8.5191394287665645E-2</v>
      </c>
    </row>
    <row r="447" spans="1:14">
      <c r="A447" s="3">
        <f>prices!A448</f>
        <v>44130</v>
      </c>
      <c r="B447" s="5">
        <f>prices!B448/prices!B447-1</f>
        <v>-3.9729058099422287E-2</v>
      </c>
      <c r="C447" s="5">
        <f>prices!C448/prices!C447-1</f>
        <v>5.1876188829336201E-4</v>
      </c>
      <c r="D447" s="5">
        <f>prices!D448/prices!D447-1</f>
        <v>-2.0147983464758434E-2</v>
      </c>
      <c r="E447" s="5">
        <f>prices!E448/prices!E447-1</f>
        <v>-8.9534030168625378E-3</v>
      </c>
      <c r="F447" s="5">
        <f>prices!F448/prices!F447-1</f>
        <v>-1.2938132204187269E-2</v>
      </c>
      <c r="G447" s="5">
        <f>prices!G448/prices!G447-1</f>
        <v>-6.8216244605233678E-3</v>
      </c>
      <c r="H447" s="5">
        <f>prices!H448/prices!H447-1</f>
        <v>-2.0637775243442347E-2</v>
      </c>
      <c r="I447" s="5">
        <f>prices!I448/prices!I447-1</f>
        <v>1.1155286660904595E-2</v>
      </c>
      <c r="J447" s="5">
        <f>prices!J448/prices!J447-1</f>
        <v>-1.362910560042252E-2</v>
      </c>
      <c r="K447" s="8">
        <f>SUMPRODUCT(B447:I447,weights!$B$5:$I$5)</f>
        <v>-1.0591471307029032E-2</v>
      </c>
      <c r="L447" s="4">
        <f t="shared" si="12"/>
        <v>114.49161123751581</v>
      </c>
      <c r="M447" s="4">
        <f>L447/MAX(L$2:L447)-1</f>
        <v>-2.2658986399730741E-2</v>
      </c>
      <c r="N447" s="4">
        <f t="shared" si="13"/>
        <v>4.5362618181861158E-2</v>
      </c>
    </row>
    <row r="448" spans="1:14">
      <c r="A448" s="3">
        <f>prices!A449</f>
        <v>44131</v>
      </c>
      <c r="B448" s="5">
        <f>prices!B449/prices!B448-1</f>
        <v>2.66427900679167E-3</v>
      </c>
      <c r="C448" s="5">
        <f>prices!C449/prices!C448-1</f>
        <v>-2.1590909090909216E-2</v>
      </c>
      <c r="D448" s="5">
        <f>prices!D449/prices!D448-1</f>
        <v>1.8328783635267909E-2</v>
      </c>
      <c r="E448" s="5">
        <f>prices!E449/prices!E448-1</f>
        <v>-1.9414335937907534E-2</v>
      </c>
      <c r="F448" s="5">
        <f>prices!F449/prices!F448-1</f>
        <v>-7.9440737210041412E-3</v>
      </c>
      <c r="G448" s="5">
        <f>prices!G449/prices!G448-1</f>
        <v>1.4685518384906615E-2</v>
      </c>
      <c r="H448" s="5">
        <f>prices!H449/prices!H448-1</f>
        <v>-8.5544731832941645E-3</v>
      </c>
      <c r="I448" s="5">
        <f>prices!I449/prices!I448-1</f>
        <v>3.1729026816954109E-2</v>
      </c>
      <c r="J448" s="5">
        <f>prices!J449/prices!J448-1</f>
        <v>1.0337575152429279E-2</v>
      </c>
      <c r="K448" s="8">
        <f>SUMPRODUCT(B448:I448,weights!$B$5:$I$5)</f>
        <v>5.3113560504202051E-3</v>
      </c>
      <c r="L448" s="4">
        <f t="shared" si="12"/>
        <v>115.09971694958453</v>
      </c>
      <c r="M448" s="4">
        <f>L448/MAX(L$2:L448)-1</f>
        <v>-1.746798029382135E-2</v>
      </c>
      <c r="N448" s="4">
        <f t="shared" si="13"/>
        <v>3.2004084681251266E-2</v>
      </c>
    </row>
    <row r="449" spans="1:14">
      <c r="A449" s="3">
        <f>prices!A450</f>
        <v>44132</v>
      </c>
      <c r="B449" s="5">
        <f>prices!B450/prices!B449-1</f>
        <v>-1.1325768300916916E-2</v>
      </c>
      <c r="C449" s="5">
        <f>prices!C450/prices!C449-1</f>
        <v>-3.0250438300145621E-3</v>
      </c>
      <c r="D449" s="5">
        <f>prices!D450/prices!D449-1</f>
        <v>-1.9060715777746928E-2</v>
      </c>
      <c r="E449" s="5">
        <f>prices!E450/prices!E449-1</f>
        <v>-1.310694072088181E-2</v>
      </c>
      <c r="F449" s="5">
        <f>prices!F450/prices!F449-1</f>
        <v>-1.0169762972453533E-2</v>
      </c>
      <c r="G449" s="5">
        <f>prices!G450/prices!G449-1</f>
        <v>3.8629932898157637E-3</v>
      </c>
      <c r="H449" s="5">
        <f>prices!H450/prices!H449-1</f>
        <v>-1.4975267092810496E-2</v>
      </c>
      <c r="I449" s="5">
        <f>prices!I450/prices!I449-1</f>
        <v>9.1685353540937875E-4</v>
      </c>
      <c r="J449" s="5">
        <f>prices!J450/prices!J449-1</f>
        <v>-1.3440543677561423E-2</v>
      </c>
      <c r="K449" s="8">
        <f>SUMPRODUCT(B449:I449,weights!$B$5:$I$5)</f>
        <v>-6.4128767788982763E-3</v>
      </c>
      <c r="L449" s="4">
        <f t="shared" si="12"/>
        <v>114.36159664750079</v>
      </c>
      <c r="M449" s="4">
        <f>L449/MAX(L$2:L449)-1</f>
        <v>-2.3768837067518978E-2</v>
      </c>
      <c r="N449" s="4">
        <f t="shared" si="13"/>
        <v>2.4501984440584934E-2</v>
      </c>
    </row>
    <row r="450" spans="1:14">
      <c r="A450" s="3">
        <f>prices!A451</f>
        <v>44133</v>
      </c>
      <c r="B450" s="5">
        <f>prices!B451/prices!B450-1</f>
        <v>7.6773951930915185E-3</v>
      </c>
      <c r="C450" s="5">
        <f>prices!C451/prices!C450-1</f>
        <v>3.9865696896677072E-3</v>
      </c>
      <c r="D450" s="5">
        <f>prices!D451/prices!D450-1</f>
        <v>-1.8508331410927448E-2</v>
      </c>
      <c r="E450" s="5">
        <f>prices!E451/prices!E450-1</f>
        <v>-1.5846664654391995E-3</v>
      </c>
      <c r="F450" s="5">
        <f>prices!F451/prices!F450-1</f>
        <v>-1.0031550845400861E-2</v>
      </c>
      <c r="G450" s="5">
        <f>prices!G451/prices!G450-1</f>
        <v>-9.5117980906010979E-3</v>
      </c>
      <c r="H450" s="5">
        <f>prices!H451/prices!H450-1</f>
        <v>-1.5225865627149782E-2</v>
      </c>
      <c r="I450" s="5">
        <f>prices!I451/prices!I450-1</f>
        <v>-4.9188831254828425E-2</v>
      </c>
      <c r="J450" s="5">
        <f>prices!J451/prices!J450-1</f>
        <v>-5.0129586686673555E-3</v>
      </c>
      <c r="K450" s="8">
        <f>SUMPRODUCT(B450:I450,weights!$B$5:$I$5)</f>
        <v>-1.4857238735886742E-2</v>
      </c>
      <c r="L450" s="4">
        <f t="shared" si="12"/>
        <v>112.66249910389169</v>
      </c>
      <c r="M450" s="4">
        <f>L450/MAX(L$2:L450)-1</f>
        <v>-3.8272936516619116E-2</v>
      </c>
      <c r="N450" s="4">
        <f t="shared" si="13"/>
        <v>7.8660414163600478E-3</v>
      </c>
    </row>
    <row r="451" spans="1:14">
      <c r="A451" s="3">
        <f>prices!A452</f>
        <v>44134</v>
      </c>
      <c r="B451" s="5">
        <f>prices!B452/prices!B451-1</f>
        <v>1.3620016833728599E-2</v>
      </c>
      <c r="C451" s="5">
        <f>prices!C452/prices!C451-1</f>
        <v>1.2229879377741115E-2</v>
      </c>
      <c r="D451" s="5">
        <f>prices!D452/prices!D451-1</f>
        <v>-3.0735852467909108E-3</v>
      </c>
      <c r="E451" s="5">
        <f>prices!E452/prices!E451-1</f>
        <v>-1.3258904952654471E-2</v>
      </c>
      <c r="F451" s="5">
        <f>prices!F452/prices!F451-1</f>
        <v>8.5805344447167364E-3</v>
      </c>
      <c r="G451" s="5">
        <f>prices!G452/prices!G451-1</f>
        <v>-2.1433097819971492E-2</v>
      </c>
      <c r="H451" s="5">
        <f>prices!H452/prices!H451-1</f>
        <v>2.0607274251385421E-2</v>
      </c>
      <c r="I451" s="5">
        <f>prices!I452/prices!I451-1</f>
        <v>-5.3509454110710619E-3</v>
      </c>
      <c r="J451" s="5">
        <f>prices!J452/prices!J451-1</f>
        <v>-2.4334235870719922E-3</v>
      </c>
      <c r="K451" s="8">
        <f>SUMPRODUCT(B451:I451,weights!$B$5:$I$5)</f>
        <v>6.0278827337393887E-5</v>
      </c>
      <c r="L451" s="4">
        <f t="shared" si="12"/>
        <v>112.66929026722258</v>
      </c>
      <c r="M451" s="4">
        <f>L451/MAX(L$2:L451)-1</f>
        <v>-3.821496473701369E-2</v>
      </c>
      <c r="N451" s="4">
        <f t="shared" si="13"/>
        <v>1.2844482069580554E-3</v>
      </c>
    </row>
    <row r="452" spans="1:14">
      <c r="A452" s="3">
        <f>prices!A453</f>
        <v>44137</v>
      </c>
      <c r="B452" s="5">
        <f>prices!B453/prices!B452-1</f>
        <v>-8.6175845744049795E-2</v>
      </c>
      <c r="C452" s="5">
        <f>prices!C453/prices!C452-1</f>
        <v>-2.2608202937715371E-2</v>
      </c>
      <c r="D452" s="5">
        <f>prices!D453/prices!D452-1</f>
        <v>2.6768226332970713E-2</v>
      </c>
      <c r="E452" s="5">
        <f>prices!E453/prices!E452-1</f>
        <v>1.1029773823983291E-2</v>
      </c>
      <c r="F452" s="5">
        <f>prices!F453/prices!F452-1</f>
        <v>9.0747042618701812E-3</v>
      </c>
      <c r="G452" s="5">
        <f>prices!G453/prices!G452-1</f>
        <v>-1.3897126464607279E-2</v>
      </c>
      <c r="H452" s="5">
        <f>prices!H453/prices!H452-1</f>
        <v>7.8483265268873836E-3</v>
      </c>
      <c r="I452" s="5">
        <f>prices!I453/prices!I452-1</f>
        <v>-2.1005461419965066E-4</v>
      </c>
      <c r="J452" s="5">
        <f>prices!J453/prices!J452-1</f>
        <v>2.297636226207711E-3</v>
      </c>
      <c r="K452" s="8">
        <f>SUMPRODUCT(B452:I452,weights!$B$5:$I$5)</f>
        <v>-1.082875600130764E-2</v>
      </c>
      <c r="L452" s="4">
        <f t="shared" ref="L452:L515" si="14">L451*(1+K452)</f>
        <v>111.44922201407832</v>
      </c>
      <c r="M452" s="4">
        <f>L452/MAX(L$2:L452)-1</f>
        <v>-4.8629900209585686E-2</v>
      </c>
      <c r="N452" s="4">
        <f t="shared" si="13"/>
        <v>-2.1388378525275531E-2</v>
      </c>
    </row>
    <row r="453" spans="1:14">
      <c r="A453" s="3">
        <f>prices!A454</f>
        <v>44138</v>
      </c>
      <c r="B453" s="5">
        <f>prices!B454/prices!B453-1</f>
        <v>-1.4409119875380627E-2</v>
      </c>
      <c r="C453" s="5">
        <f>prices!C454/prices!C453-1</f>
        <v>1.1135241679784968E-2</v>
      </c>
      <c r="D453" s="5">
        <f>prices!D454/prices!D453-1</f>
        <v>2.6918185671894967E-2</v>
      </c>
      <c r="E453" s="5">
        <f>prices!E454/prices!E453-1</f>
        <v>-9.091204259878527E-3</v>
      </c>
      <c r="F453" s="5">
        <f>prices!F454/prices!F453-1</f>
        <v>2.0073871848402147E-2</v>
      </c>
      <c r="G453" s="5">
        <f>prices!G454/prices!G453-1</f>
        <v>6.5516622349606202E-3</v>
      </c>
      <c r="H453" s="5">
        <f>prices!H454/prices!H453-1</f>
        <v>3.4499151103565495E-2</v>
      </c>
      <c r="I453" s="5">
        <f>prices!I454/prices!I453-1</f>
        <v>1.9854331535821723E-2</v>
      </c>
      <c r="J453" s="5">
        <f>prices!J454/prices!J453-1</f>
        <v>1.237022405230892E-2</v>
      </c>
      <c r="K453" s="8">
        <f>SUMPRODUCT(B453:I453,weights!$B$5:$I$5)</f>
        <v>1.2440820388182608E-2</v>
      </c>
      <c r="L453" s="4">
        <f t="shared" si="14"/>
        <v>112.83574176755813</v>
      </c>
      <c r="M453" s="4">
        <f>L453/MAX(L$2:L453)-1</f>
        <v>-3.6794075675405935E-2</v>
      </c>
      <c r="N453" s="4">
        <f t="shared" si="13"/>
        <v>-1.275967110196341E-2</v>
      </c>
    </row>
    <row r="454" spans="1:14">
      <c r="A454" s="3">
        <f>prices!A455</f>
        <v>44139</v>
      </c>
      <c r="B454" s="5">
        <f>prices!B455/prices!B454-1</f>
        <v>3.3933211202509694E-2</v>
      </c>
      <c r="C454" s="5">
        <f>prices!C455/prices!C454-1</f>
        <v>7.4225985710505427E-3</v>
      </c>
      <c r="D454" s="5">
        <f>prices!D455/prices!D454-1</f>
        <v>7.5679394564842628E-3</v>
      </c>
      <c r="E454" s="5">
        <f>prices!E455/prices!E454-1</f>
        <v>2.9555358956715461E-2</v>
      </c>
      <c r="F454" s="5">
        <f>prices!F455/prices!F454-1</f>
        <v>-1.7317380352646072E-3</v>
      </c>
      <c r="G454" s="5">
        <f>prices!G455/prices!G454-1</f>
        <v>5.887078457286643E-3</v>
      </c>
      <c r="H454" s="5">
        <f>prices!H455/prices!H454-1</f>
        <v>3.9234994201186035E-2</v>
      </c>
      <c r="I454" s="5">
        <f>prices!I455/prices!I454-1</f>
        <v>1.0861230329041405E-2</v>
      </c>
      <c r="J454" s="5">
        <f>prices!J455/prices!J454-1</f>
        <v>8.0416472679560869E-3</v>
      </c>
      <c r="K454" s="8">
        <f>SUMPRODUCT(B454:I454,weights!$B$5:$I$5)</f>
        <v>1.7095626256568047E-2</v>
      </c>
      <c r="L454" s="4">
        <f t="shared" si="14"/>
        <v>114.76473943719893</v>
      </c>
      <c r="M454" s="4">
        <f>L454/MAX(L$2:L454)-1</f>
        <v>-2.0327467185040526E-2</v>
      </c>
      <c r="N454" s="4">
        <f t="shared" si="13"/>
        <v>-1.7647162070766331E-3</v>
      </c>
    </row>
    <row r="455" spans="1:14">
      <c r="A455" s="3">
        <f>prices!A456</f>
        <v>44140</v>
      </c>
      <c r="B455" s="5">
        <f>prices!B456/prices!B455-1</f>
        <v>2.1852671075031083E-2</v>
      </c>
      <c r="C455" s="5">
        <f>prices!C456/prices!C455-1</f>
        <v>1.2266715698506792E-2</v>
      </c>
      <c r="D455" s="5">
        <f>prices!D456/prices!D455-1</f>
        <v>9.3888699214748073E-3</v>
      </c>
      <c r="E455" s="5">
        <f>prices!E456/prices!E455-1</f>
        <v>9.1870617315383818E-3</v>
      </c>
      <c r="F455" s="5">
        <f>prices!F456/prices!F455-1</f>
        <v>2.9096357041476173E-2</v>
      </c>
      <c r="G455" s="5">
        <f>prices!G456/prices!G455-1</f>
        <v>1.9952263686304095E-2</v>
      </c>
      <c r="H455" s="5">
        <f>prices!H456/prices!H455-1</f>
        <v>1.5560515455234514E-2</v>
      </c>
      <c r="I455" s="5">
        <f>prices!I456/prices!I455-1</f>
        <v>1.9417145962592253E-2</v>
      </c>
      <c r="J455" s="5">
        <f>prices!J456/prices!J455-1</f>
        <v>1.7785615316790571E-2</v>
      </c>
      <c r="K455" s="8">
        <f>SUMPRODUCT(B455:I455,weights!$B$5:$I$5)</f>
        <v>1.7818377924142974E-2</v>
      </c>
      <c r="L455" s="4">
        <f t="shared" si="14"/>
        <v>116.80966093685673</v>
      </c>
      <c r="M455" s="4">
        <f>L455/MAX(L$2:L455)-1</f>
        <v>-2.8712917534412519E-3</v>
      </c>
      <c r="N455" s="4">
        <f t="shared" si="13"/>
        <v>8.1880579873381265E-3</v>
      </c>
    </row>
    <row r="456" spans="1:14">
      <c r="A456" s="3">
        <f>prices!A457</f>
        <v>44141</v>
      </c>
      <c r="B456" s="5">
        <f>prices!B457/prices!B456-1</f>
        <v>3.7931503433894731E-2</v>
      </c>
      <c r="C456" s="5">
        <f>prices!C457/prices!C456-1</f>
        <v>8.1003351713699878E-3</v>
      </c>
      <c r="D456" s="5">
        <f>prices!D457/prices!D456-1</f>
        <v>3.0289193302892148E-2</v>
      </c>
      <c r="E456" s="5">
        <f>prices!E457/prices!E456-1</f>
        <v>7.9260793238655758E-3</v>
      </c>
      <c r="F456" s="5">
        <f>prices!F457/prices!F456-1</f>
        <v>-4.5207263811202214E-3</v>
      </c>
      <c r="G456" s="5">
        <f>prices!G457/prices!G456-1</f>
        <v>-2.6109850662886736E-2</v>
      </c>
      <c r="H456" s="5">
        <f>prices!H457/prices!H456-1</f>
        <v>-6.5518027824428282E-3</v>
      </c>
      <c r="I456" s="5">
        <f>prices!I457/prices!I456-1</f>
        <v>2.7654682970712496E-3</v>
      </c>
      <c r="J456" s="5">
        <f>prices!J457/prices!J456-1</f>
        <v>1.1819014380832105E-2</v>
      </c>
      <c r="K456" s="8">
        <f>SUMPRODUCT(B456:I456,weights!$B$5:$I$5)</f>
        <v>2.5664626513792754E-3</v>
      </c>
      <c r="L456" s="4">
        <f t="shared" si="14"/>
        <v>117.10944856897144</v>
      </c>
      <c r="M456" s="4">
        <f>L456/MAX(L$2:L456)-1</f>
        <v>-3.121981651084127E-4</v>
      </c>
      <c r="N456" s="4">
        <f t="shared" si="13"/>
        <v>5.0804516842415381E-3</v>
      </c>
    </row>
    <row r="457" spans="1:14">
      <c r="A457" s="3">
        <f>prices!A458</f>
        <v>44144</v>
      </c>
      <c r="B457" s="5">
        <f>prices!B458/prices!B457-1</f>
        <v>1.0613091663482122E-2</v>
      </c>
      <c r="C457" s="5">
        <f>prices!C458/prices!C457-1</f>
        <v>7.0699877304825076E-3</v>
      </c>
      <c r="D457" s="5">
        <f>prices!D458/prices!D457-1</f>
        <v>2.5163736642537016E-2</v>
      </c>
      <c r="E457" s="5">
        <f>prices!E458/prices!E457-1</f>
        <v>2.1390653191911024E-2</v>
      </c>
      <c r="F457" s="5">
        <f>prices!F458/prices!F457-1</f>
        <v>-6.6194581280787368E-3</v>
      </c>
      <c r="G457" s="5">
        <f>prices!G458/prices!G457-1</f>
        <v>-5.1322108783342646E-3</v>
      </c>
      <c r="H457" s="5">
        <f>prices!H458/prices!H457-1</f>
        <v>1.9618073672127423E-3</v>
      </c>
      <c r="I457" s="5">
        <f>prices!I458/prices!I457-1</f>
        <v>5.3052454368243129E-3</v>
      </c>
      <c r="J457" s="5">
        <f>prices!J458/prices!J457-1</f>
        <v>1.6104635280974833E-2</v>
      </c>
      <c r="K457" s="8">
        <f>SUMPRODUCT(B457:I457,weights!$B$5:$I$5)</f>
        <v>5.4454991287766086E-3</v>
      </c>
      <c r="L457" s="4">
        <f t="shared" si="14"/>
        <v>117.7471679691253</v>
      </c>
      <c r="M457" s="4">
        <f>L457/MAX(L$2:L457)-1</f>
        <v>0</v>
      </c>
      <c r="N457" s="4">
        <f t="shared" si="13"/>
        <v>5.131600888832244E-3</v>
      </c>
    </row>
    <row r="458" spans="1:14">
      <c r="A458" s="3">
        <f>prices!A459</f>
        <v>44145</v>
      </c>
      <c r="B458" s="5">
        <f>prices!B459/prices!B458-1</f>
        <v>1.6508745961947735E-2</v>
      </c>
      <c r="C458" s="5">
        <f>prices!C459/prices!C458-1</f>
        <v>-2.8239032826970378E-2</v>
      </c>
      <c r="D458" s="5">
        <f>prices!D459/prices!D458-1</f>
        <v>3.9613155282287815E-2</v>
      </c>
      <c r="E458" s="5">
        <f>prices!E459/prices!E458-1</f>
        <v>-4.0037167888578029E-2</v>
      </c>
      <c r="F458" s="5">
        <f>prices!F459/prices!F458-1</f>
        <v>3.2078103207810127E-2</v>
      </c>
      <c r="G458" s="5">
        <f>prices!G459/prices!G458-1</f>
        <v>-1.1452161004993133E-2</v>
      </c>
      <c r="H458" s="5">
        <f>prices!H459/prices!H458-1</f>
        <v>-3.7722093774083976E-2</v>
      </c>
      <c r="I458" s="5">
        <f>prices!I459/prices!I458-1</f>
        <v>7.0245794176297505E-2</v>
      </c>
      <c r="J458" s="5">
        <f>prices!J459/prices!J458-1</f>
        <v>1.3646522564310537E-2</v>
      </c>
      <c r="K458" s="8">
        <f>SUMPRODUCT(B458:I458,weights!$B$5:$I$5)</f>
        <v>7.7783935295509688E-3</v>
      </c>
      <c r="L458" s="4">
        <f t="shared" si="14"/>
        <v>118.6630517785793</v>
      </c>
      <c r="M458" s="4">
        <f>L458/MAX(L$2:L458)-1</f>
        <v>0</v>
      </c>
      <c r="N458" s="4">
        <f t="shared" si="13"/>
        <v>1.8680752918618593E-2</v>
      </c>
    </row>
    <row r="459" spans="1:14">
      <c r="A459" s="3">
        <f>prices!A460</f>
        <v>44146</v>
      </c>
      <c r="B459" s="5">
        <f>prices!B460/prices!B459-1</f>
        <v>-4.189828346707769E-2</v>
      </c>
      <c r="C459" s="5">
        <f>prices!C460/prices!C459-1</f>
        <v>1.4418039865507604E-2</v>
      </c>
      <c r="D459" s="5">
        <f>prices!D460/prices!D459-1</f>
        <v>-2.6644898965008101E-3</v>
      </c>
      <c r="E459" s="5">
        <f>prices!E460/prices!E459-1</f>
        <v>2.8825800687139136E-2</v>
      </c>
      <c r="F459" s="5">
        <f>prices!F460/prices!F459-1</f>
        <v>3.8963963963963844E-2</v>
      </c>
      <c r="G459" s="5">
        <f>prices!G460/prices!G459-1</f>
        <v>9.4053078016120839E-3</v>
      </c>
      <c r="H459" s="5">
        <f>prices!H460/prices!H459-1</f>
        <v>3.0867137105502485E-2</v>
      </c>
      <c r="I459" s="5">
        <f>prices!I460/prices!I459-1</f>
        <v>2.4911728070988071E-2</v>
      </c>
      <c r="J459" s="5">
        <f>prices!J460/prices!J459-1</f>
        <v>9.3459793683843273E-3</v>
      </c>
      <c r="K459" s="8">
        <f>SUMPRODUCT(B459:I459,weights!$B$5:$I$5)</f>
        <v>1.2827050567158972E-2</v>
      </c>
      <c r="L459" s="4">
        <f t="shared" si="14"/>
        <v>120.18514874419655</v>
      </c>
      <c r="M459" s="4">
        <f>L459/MAX(L$2:L459)-1</f>
        <v>0</v>
      </c>
      <c r="N459" s="4">
        <f t="shared" si="13"/>
        <v>3.0362097620260764E-2</v>
      </c>
    </row>
    <row r="460" spans="1:14">
      <c r="A460" s="3">
        <f>prices!A461</f>
        <v>44147</v>
      </c>
      <c r="B460" s="5">
        <f>prices!B461/prices!B460-1</f>
        <v>-8.6196376867865299E-3</v>
      </c>
      <c r="C460" s="5">
        <f>prices!C461/prices!C460-1</f>
        <v>-6.2314719583762557E-3</v>
      </c>
      <c r="D460" s="5">
        <f>prices!D461/prices!D460-1</f>
        <v>-1.3126399505829611E-2</v>
      </c>
      <c r="E460" s="5">
        <f>prices!E461/prices!E460-1</f>
        <v>-4.2285702469940789E-3</v>
      </c>
      <c r="F460" s="5">
        <f>prices!F461/prices!F460-1</f>
        <v>1.459643037791758E-2</v>
      </c>
      <c r="G460" s="5">
        <f>prices!G461/prices!G460-1</f>
        <v>-2.9890932673939385E-3</v>
      </c>
      <c r="H460" s="5">
        <f>prices!H461/prices!H460-1</f>
        <v>6.3203426843607691E-3</v>
      </c>
      <c r="I460" s="5">
        <f>prices!I461/prices!I460-1</f>
        <v>1.2976708214899046E-2</v>
      </c>
      <c r="J460" s="5">
        <f>prices!J461/prices!J460-1</f>
        <v>-4.5767757066157433E-3</v>
      </c>
      <c r="K460" s="8">
        <f>SUMPRODUCT(B460:I460,weights!$B$5:$I$5)</f>
        <v>1.1704957838135754E-3</v>
      </c>
      <c r="L460" s="4">
        <f t="shared" si="14"/>
        <v>120.32582495407866</v>
      </c>
      <c r="M460" s="4">
        <f>L460/MAX(L$2:L460)-1</f>
        <v>0</v>
      </c>
      <c r="N460" s="4">
        <f t="shared" si="13"/>
        <v>5.8096195681163421E-2</v>
      </c>
    </row>
    <row r="461" spans="1:14">
      <c r="A461" s="3">
        <f>prices!A462</f>
        <v>44148</v>
      </c>
      <c r="B461" s="5">
        <f>prices!B462/prices!B461-1</f>
        <v>8.280554125730033E-3</v>
      </c>
      <c r="C461" s="5">
        <f>prices!C462/prices!C461-1</f>
        <v>-5.3182237219738804E-3</v>
      </c>
      <c r="D461" s="5">
        <f>prices!D462/prices!D461-1</f>
        <v>-9.4045849307565765E-3</v>
      </c>
      <c r="E461" s="5">
        <f>prices!E462/prices!E461-1</f>
        <v>5.7624021429907302E-3</v>
      </c>
      <c r="F461" s="5">
        <f>prices!F462/prices!F461-1</f>
        <v>-4.7717399045651421E-3</v>
      </c>
      <c r="G461" s="5">
        <f>prices!G462/prices!G461-1</f>
        <v>-4.0369693288980768E-3</v>
      </c>
      <c r="H461" s="5">
        <f>prices!H462/prices!H461-1</f>
        <v>-1.5649452269170805E-3</v>
      </c>
      <c r="I461" s="5">
        <f>prices!I462/prices!I461-1</f>
        <v>-2.0217143423727157E-2</v>
      </c>
      <c r="J461" s="5">
        <f>prices!J462/prices!J461-1</f>
        <v>2.2969395152394601E-3</v>
      </c>
      <c r="K461" s="8">
        <f>SUMPRODUCT(B461:I461,weights!$B$5:$I$5)</f>
        <v>-5.0259974616118546E-3</v>
      </c>
      <c r="L461" s="4">
        <f t="shared" si="14"/>
        <v>119.72106766329311</v>
      </c>
      <c r="M461" s="4">
        <f>L461/MAX(L$2:L461)-1</f>
        <v>-5.0259974616118086E-3</v>
      </c>
      <c r="N461" s="4">
        <f t="shared" si="13"/>
        <v>4.9767216655656421E-2</v>
      </c>
    </row>
    <row r="462" spans="1:14">
      <c r="A462" s="3">
        <f>prices!A463</f>
        <v>44149</v>
      </c>
      <c r="B462" s="5">
        <f>prices!B463/prices!B462-1</f>
        <v>2.9631767029942857E-3</v>
      </c>
      <c r="C462" s="5">
        <f>prices!C463/prices!C462-1</f>
        <v>5.079981288881541E-3</v>
      </c>
      <c r="D462" s="5">
        <f>prices!D463/prices!D462-1</f>
        <v>8.0247693668646924E-3</v>
      </c>
      <c r="E462" s="5">
        <f>prices!E463/prices!E462-1</f>
        <v>8.2276063549742151E-3</v>
      </c>
      <c r="F462" s="5">
        <f>prices!F463/prices!F462-1</f>
        <v>8.0148847860312955E-3</v>
      </c>
      <c r="G462" s="5">
        <f>prices!G463/prices!G462-1</f>
        <v>6.3144698863240034E-3</v>
      </c>
      <c r="H462" s="5">
        <f>prices!H463/prices!H462-1</f>
        <v>1.0909090909090979E-2</v>
      </c>
      <c r="I462" s="5">
        <f>prices!I463/prices!I462-1</f>
        <v>7.3267487046633217E-3</v>
      </c>
      <c r="J462" s="5">
        <f>prices!J463/prices!J462-1</f>
        <v>0</v>
      </c>
      <c r="K462" s="8">
        <f>SUMPRODUCT(B462:I462,weights!$B$5:$I$5)</f>
        <v>7.10344438152155E-3</v>
      </c>
      <c r="L462" s="4">
        <f t="shared" si="14"/>
        <v>120.57149960873568</v>
      </c>
      <c r="M462" s="4">
        <f>L462/MAX(L$2:L462)-1</f>
        <v>0</v>
      </c>
      <c r="N462" s="4">
        <f t="shared" si="13"/>
        <v>5.7722750734565231E-2</v>
      </c>
    </row>
    <row r="463" spans="1:14">
      <c r="A463" s="3">
        <f>prices!A464</f>
        <v>44152</v>
      </c>
      <c r="B463" s="5">
        <f>prices!B464/prices!B463-1</f>
        <v>-4.5256879820300133E-3</v>
      </c>
      <c r="C463" s="5">
        <f>prices!C464/prices!C463-1</f>
        <v>-1.6093743883290879E-3</v>
      </c>
      <c r="D463" s="5">
        <f>prices!D464/prices!D463-1</f>
        <v>2.8286215758791311E-2</v>
      </c>
      <c r="E463" s="5">
        <f>prices!E464/prices!E463-1</f>
        <v>-8.6007413019884016E-3</v>
      </c>
      <c r="F463" s="5">
        <f>prices!F464/prices!F463-1</f>
        <v>-6.6732926309812646E-3</v>
      </c>
      <c r="G463" s="5">
        <f>prices!G464/prices!G463-1</f>
        <v>1.8855301707896732E-2</v>
      </c>
      <c r="H463" s="5">
        <f>prices!H464/prices!H463-1</f>
        <v>8.5586703051352409E-3</v>
      </c>
      <c r="I463" s="5">
        <f>prices!I464/prices!I463-1</f>
        <v>2.0484227446252667E-2</v>
      </c>
      <c r="J463" s="5">
        <f>prices!J464/prices!J463-1</f>
        <v>1.2126619994575538E-2</v>
      </c>
      <c r="K463" s="8">
        <f>SUMPRODUCT(B463:I463,weights!$B$5:$I$5)</f>
        <v>9.0899655922030836E-3</v>
      </c>
      <c r="L463" s="4">
        <f t="shared" si="14"/>
        <v>121.66749039157941</v>
      </c>
      <c r="M463" s="4">
        <f>L463/MAX(L$2:L463)-1</f>
        <v>0</v>
      </c>
      <c r="N463" s="4">
        <f t="shared" si="13"/>
        <v>6.1806679149481791E-2</v>
      </c>
    </row>
    <row r="464" spans="1:14">
      <c r="A464" s="3">
        <f>prices!A465</f>
        <v>44153</v>
      </c>
      <c r="B464" s="5">
        <f>prices!B465/prices!B464-1</f>
        <v>-3.0345471521942002E-3</v>
      </c>
      <c r="C464" s="5">
        <f>prices!C465/prices!C464-1</f>
        <v>-1.4777831510066175E-2</v>
      </c>
      <c r="D464" s="5">
        <f>prices!D465/prices!D464-1</f>
        <v>1.8287943673134244E-4</v>
      </c>
      <c r="E464" s="5">
        <f>prices!E465/prices!E464-1</f>
        <v>-1.1701402515853276E-2</v>
      </c>
      <c r="F464" s="5">
        <f>prices!F465/prices!F464-1</f>
        <v>-1.758147512864483E-2</v>
      </c>
      <c r="G464" s="5">
        <f>prices!G465/prices!G464-1</f>
        <v>1.0435110758896471E-2</v>
      </c>
      <c r="H464" s="5">
        <f>prices!H465/prices!H464-1</f>
        <v>-1.0412823350961387E-2</v>
      </c>
      <c r="I464" s="5">
        <f>prices!I465/prices!I464-1</f>
        <v>6.2217584343220667E-2</v>
      </c>
      <c r="J464" s="5">
        <f>prices!J465/prices!J464-1</f>
        <v>4.9750664118934917E-3</v>
      </c>
      <c r="K464" s="8">
        <f>SUMPRODUCT(B464:I464,weights!$B$5:$I$5)</f>
        <v>8.582354070107278E-3</v>
      </c>
      <c r="L464" s="4">
        <f t="shared" si="14"/>
        <v>122.71168387294132</v>
      </c>
      <c r="M464" s="4">
        <f>L464/MAX(L$2:L464)-1</f>
        <v>0</v>
      </c>
      <c r="N464" s="4">
        <f t="shared" si="13"/>
        <v>6.9183883259601231E-2</v>
      </c>
    </row>
    <row r="465" spans="1:14">
      <c r="A465" s="3">
        <f>prices!A466</f>
        <v>44154</v>
      </c>
      <c r="B465" s="5">
        <f>prices!B466/prices!B465-1</f>
        <v>-7.0687136947964468E-3</v>
      </c>
      <c r="C465" s="5">
        <f>prices!C466/prices!C465-1</f>
        <v>3.9046435630867293E-3</v>
      </c>
      <c r="D465" s="5">
        <f>prices!D466/prices!D465-1</f>
        <v>-2.4379466394429339E-2</v>
      </c>
      <c r="E465" s="5">
        <f>prices!E466/prices!E465-1</f>
        <v>-1.2425151264982781E-2</v>
      </c>
      <c r="F465" s="5">
        <f>prices!F466/prices!F465-1</f>
        <v>2.0951549541684766E-2</v>
      </c>
      <c r="G465" s="5">
        <f>prices!G466/prices!G465-1</f>
        <v>-1.2899842841521014E-2</v>
      </c>
      <c r="H465" s="5">
        <f>prices!H466/prices!H465-1</f>
        <v>-1.1019511993040298E-2</v>
      </c>
      <c r="I465" s="5">
        <f>prices!I466/prices!I465-1</f>
        <v>-1.2103911991770078E-2</v>
      </c>
      <c r="J465" s="5">
        <f>prices!J466/prices!J465-1</f>
        <v>-1.2872683709156951E-2</v>
      </c>
      <c r="K465" s="8">
        <f>SUMPRODUCT(B465:I465,weights!$B$5:$I$5)</f>
        <v>-8.2248494355487839E-3</v>
      </c>
      <c r="L465" s="4">
        <f t="shared" si="14"/>
        <v>121.70239874910372</v>
      </c>
      <c r="M465" s="4">
        <f>L465/MAX(L$2:L465)-1</f>
        <v>-8.2248494355487978E-3</v>
      </c>
      <c r="N465" s="4">
        <f t="shared" si="13"/>
        <v>6.3907000645783585E-2</v>
      </c>
    </row>
    <row r="466" spans="1:14">
      <c r="A466" s="3">
        <f>prices!A467</f>
        <v>44155</v>
      </c>
      <c r="B466" s="5">
        <f>prices!B467/prices!B466-1</f>
        <v>-3.7324410209191861E-2</v>
      </c>
      <c r="C466" s="5">
        <f>prices!C467/prices!C466-1</f>
        <v>8.8536894777646591E-3</v>
      </c>
      <c r="D466" s="5">
        <f>prices!D467/prices!D466-1</f>
        <v>2.1318465070515158E-2</v>
      </c>
      <c r="E466" s="5">
        <f>prices!E467/prices!E466-1</f>
        <v>6.0209091678660176E-3</v>
      </c>
      <c r="F466" s="5">
        <f>prices!F467/prices!F466-1</f>
        <v>2.0165312811742719E-2</v>
      </c>
      <c r="G466" s="5">
        <f>prices!G467/prices!G466-1</f>
        <v>3.6624881006974697E-4</v>
      </c>
      <c r="H466" s="5">
        <f>prices!H467/prices!H466-1</f>
        <v>-8.0844468646587009E-3</v>
      </c>
      <c r="I466" s="5">
        <f>prices!I467/prices!I466-1</f>
        <v>-1.7261921514547529E-3</v>
      </c>
      <c r="J466" s="5">
        <f>prices!J467/prices!J466-1</f>
        <v>6.8393401035100609E-3</v>
      </c>
      <c r="K466" s="8">
        <f>SUMPRODUCT(B466:I466,weights!$B$5:$I$5)</f>
        <v>-1.6804499781160373E-3</v>
      </c>
      <c r="L466" s="4">
        <f t="shared" si="14"/>
        <v>121.49788395578912</v>
      </c>
      <c r="M466" s="4">
        <f>L466/MAX(L$2:L466)-1</f>
        <v>-9.8914779656108509E-3</v>
      </c>
      <c r="N466" s="4">
        <f t="shared" si="13"/>
        <v>4.9955025566246203E-2</v>
      </c>
    </row>
    <row r="467" spans="1:14">
      <c r="A467" s="3">
        <f>prices!A468</f>
        <v>44158</v>
      </c>
      <c r="B467" s="5">
        <f>prices!B468/prices!B467-1</f>
        <v>2.6955781321078343E-2</v>
      </c>
      <c r="C467" s="5">
        <f>prices!C468/prices!C467-1</f>
        <v>2.4057563505855084E-2</v>
      </c>
      <c r="D467" s="5">
        <f>prices!D468/prices!D467-1</f>
        <v>-6.4531914242896837E-3</v>
      </c>
      <c r="E467" s="5">
        <f>prices!E468/prices!E467-1</f>
        <v>3.3079843909416873E-2</v>
      </c>
      <c r="F467" s="5">
        <f>prices!F468/prices!F467-1</f>
        <v>-4.4003632045819252E-3</v>
      </c>
      <c r="G467" s="5">
        <f>prices!G468/prices!G467-1</f>
        <v>3.1437454141105547E-3</v>
      </c>
      <c r="H467" s="5">
        <f>prices!H468/prices!H467-1</f>
        <v>1.9087837837837851E-2</v>
      </c>
      <c r="I467" s="5">
        <f>prices!I468/prices!I467-1</f>
        <v>-5.6950070012874443E-3</v>
      </c>
      <c r="J467" s="5">
        <f>prices!J468/prices!J467-1</f>
        <v>5.2414447412523213E-3</v>
      </c>
      <c r="K467" s="8">
        <f>SUMPRODUCT(B467:I467,weights!$B$5:$I$5)</f>
        <v>9.8674158311299887E-3</v>
      </c>
      <c r="L467" s="4">
        <f t="shared" si="14"/>
        <v>122.69675409938327</v>
      </c>
      <c r="M467" s="4">
        <f>L467/MAX(L$2:L467)-1</f>
        <v>-1.2166546075198514E-4</v>
      </c>
      <c r="N467" s="4">
        <f t="shared" si="13"/>
        <v>7.1665886899308973E-2</v>
      </c>
    </row>
    <row r="468" spans="1:14">
      <c r="A468" s="3">
        <f>prices!A469</f>
        <v>44159</v>
      </c>
      <c r="B468" s="5">
        <f>prices!B469/prices!B468-1</f>
        <v>6.8374903457362191E-3</v>
      </c>
      <c r="C468" s="5">
        <f>prices!C469/prices!C468-1</f>
        <v>-8.0581895081510702E-4</v>
      </c>
      <c r="D468" s="5">
        <f>prices!D469/prices!D468-1</f>
        <v>3.1259619528412053E-2</v>
      </c>
      <c r="E468" s="5">
        <f>prices!E469/prices!E468-1</f>
        <v>1.730843633551693E-4</v>
      </c>
      <c r="F468" s="5">
        <f>prices!F469/prices!F468-1</f>
        <v>2.4624666760207692E-2</v>
      </c>
      <c r="G468" s="5">
        <f>prices!G469/prices!G468-1</f>
        <v>2.442114216685054E-2</v>
      </c>
      <c r="H468" s="5">
        <f>prices!H469/prices!H468-1</f>
        <v>1.4234211834907917E-2</v>
      </c>
      <c r="I468" s="5">
        <f>prices!I469/prices!I468-1</f>
        <v>8.5725357504040645E-3</v>
      </c>
      <c r="J468" s="5">
        <f>prices!J469/prices!J468-1</f>
        <v>9.956329850809631E-3</v>
      </c>
      <c r="K468" s="8">
        <f>SUMPRODUCT(B468:I468,weights!$B$5:$I$5)</f>
        <v>1.3780035589541819E-2</v>
      </c>
      <c r="L468" s="4">
        <f t="shared" si="14"/>
        <v>124.38751973759405</v>
      </c>
      <c r="M468" s="4">
        <f>L468/MAX(L$2:L468)-1</f>
        <v>0</v>
      </c>
      <c r="N468" s="4">
        <f t="shared" si="13"/>
        <v>8.0693532826650705E-2</v>
      </c>
    </row>
    <row r="469" spans="1:14">
      <c r="A469" s="3">
        <f>prices!A470</f>
        <v>44160</v>
      </c>
      <c r="B469" s="5">
        <f>prices!B470/prices!B469-1</f>
        <v>-8.2688446179185471E-3</v>
      </c>
      <c r="C469" s="5">
        <f>prices!C470/prices!C469-1</f>
        <v>-7.6251840157027795E-3</v>
      </c>
      <c r="D469" s="5">
        <f>prices!D470/prices!D469-1</f>
        <v>-2.4610838320672235E-2</v>
      </c>
      <c r="E469" s="5">
        <f>prices!E470/prices!E469-1</f>
        <v>-2.1397668855295926E-2</v>
      </c>
      <c r="F469" s="5">
        <f>prices!F470/prices!F469-1</f>
        <v>-8.6956521739131043E-3</v>
      </c>
      <c r="G469" s="5">
        <f>prices!G470/prices!G469-1</f>
        <v>-1.4346367991331821E-2</v>
      </c>
      <c r="H469" s="5">
        <f>prices!H470/prices!H469-1</f>
        <v>-2.6822741108455395E-2</v>
      </c>
      <c r="I469" s="5">
        <f>prices!I470/prices!I469-1</f>
        <v>-1.71680254896448E-2</v>
      </c>
      <c r="J469" s="5">
        <f>prices!J470/prices!J469-1</f>
        <v>-1.5070680919024304E-2</v>
      </c>
      <c r="K469" s="8">
        <f>SUMPRODUCT(B469:I469,weights!$B$5:$I$5)</f>
        <v>-1.6308785337037113E-2</v>
      </c>
      <c r="L469" s="4">
        <f t="shared" si="14"/>
        <v>122.35891037958716</v>
      </c>
      <c r="M469" s="4">
        <f>L469/MAX(L$2:L469)-1</f>
        <v>-1.6308785337037168E-2</v>
      </c>
      <c r="N469" s="4">
        <f t="shared" si="13"/>
        <v>6.9930063644849882E-2</v>
      </c>
    </row>
    <row r="470" spans="1:14">
      <c r="A470" s="3">
        <f>prices!A471</f>
        <v>44161</v>
      </c>
      <c r="B470" s="5">
        <f>prices!B471/prices!B470-1</f>
        <v>2.4683493908750354E-3</v>
      </c>
      <c r="C470" s="5">
        <f>prices!C471/prices!C470-1</f>
        <v>7.1462969970075285E-3</v>
      </c>
      <c r="D470" s="5">
        <f>prices!D471/prices!D470-1</f>
        <v>1.6999724576919562E-2</v>
      </c>
      <c r="E470" s="5">
        <f>prices!E471/prices!E470-1</f>
        <v>-2.1948758490840659E-3</v>
      </c>
      <c r="F470" s="5">
        <f>prices!F471/prices!F470-1</f>
        <v>4.9039922641249678E-3</v>
      </c>
      <c r="G470" s="5">
        <f>prices!G471/prices!G470-1</f>
        <v>-8.7092115109160817E-3</v>
      </c>
      <c r="H470" s="5">
        <f>prices!H471/prices!H470-1</f>
        <v>1.0852680633107958E-2</v>
      </c>
      <c r="I470" s="5">
        <f>prices!I471/prices!I470-1</f>
        <v>2.5458151375885585E-3</v>
      </c>
      <c r="J470" s="5">
        <f>prices!J471/prices!J470-1</f>
        <v>1.000124432277727E-2</v>
      </c>
      <c r="K470" s="8">
        <f>SUMPRODUCT(B470:I470,weights!$B$5:$I$5)</f>
        <v>2.8749818339680686E-3</v>
      </c>
      <c r="L470" s="4">
        <f t="shared" si="14"/>
        <v>122.71069002415261</v>
      </c>
      <c r="M470" s="4">
        <f>L470/MAX(L$2:L470)-1</f>
        <v>-1.3480690964646991E-2</v>
      </c>
      <c r="N470" s="4">
        <f t="shared" si="13"/>
        <v>8.9188425609083799E-2</v>
      </c>
    </row>
    <row r="471" spans="1:14">
      <c r="A471" s="3">
        <f>prices!A472</f>
        <v>44162</v>
      </c>
      <c r="B471" s="5">
        <f>prices!B472/prices!B471-1</f>
        <v>-1.1687280154317414E-2</v>
      </c>
      <c r="C471" s="5">
        <f>prices!C472/prices!C471-1</f>
        <v>-1.5053579814712115E-2</v>
      </c>
      <c r="D471" s="5">
        <f>prices!D472/prices!D471-1</f>
        <v>9.9601293914091116E-3</v>
      </c>
      <c r="E471" s="5">
        <f>prices!E472/prices!E471-1</f>
        <v>-1.1863806009049016E-2</v>
      </c>
      <c r="F471" s="5">
        <f>prices!F472/prices!F471-1</f>
        <v>-5.9110591793251066E-3</v>
      </c>
      <c r="G471" s="5">
        <f>prices!G472/prices!G471-1</f>
        <v>5.9395199566063539E-3</v>
      </c>
      <c r="H471" s="5">
        <f>prices!H472/prices!H471-1</f>
        <v>-8.3065102273960356E-5</v>
      </c>
      <c r="I471" s="5">
        <f>prices!I472/prices!I471-1</f>
        <v>3.1765656949924725E-3</v>
      </c>
      <c r="J471" s="5">
        <f>prices!J472/prices!J471-1</f>
        <v>-1.3898513898513709E-3</v>
      </c>
      <c r="K471" s="8">
        <f>SUMPRODUCT(B471:I471,weights!$B$5:$I$5)</f>
        <v>-1.8006718832612699E-3</v>
      </c>
      <c r="L471" s="4">
        <f t="shared" si="14"/>
        <v>122.48972833485053</v>
      </c>
      <c r="M471" s="4">
        <f>L471/MAX(L$2:L471)-1</f>
        <v>-1.5257088546721365E-2</v>
      </c>
      <c r="N471" s="4">
        <f t="shared" ref="N471:N534" si="15">L471/L451-1</f>
        <v>8.716162180782705E-2</v>
      </c>
    </row>
    <row r="472" spans="1:14">
      <c r="A472" s="3">
        <f>prices!A473</f>
        <v>44166</v>
      </c>
      <c r="B472" s="5">
        <f>prices!B473/prices!B472-1</f>
        <v>1.3008036739380113E-2</v>
      </c>
      <c r="C472" s="5">
        <f>prices!C473/prices!C472-1</f>
        <v>1.7598307788334822E-2</v>
      </c>
      <c r="D472" s="5">
        <f>prices!D473/prices!D472-1</f>
        <v>-5.2437916188716738E-3</v>
      </c>
      <c r="E472" s="5">
        <f>prices!E473/prices!E472-1</f>
        <v>3.4415091154625266E-2</v>
      </c>
      <c r="F472" s="5">
        <f>prices!F473/prices!F472-1</f>
        <v>3.8719491115259963E-3</v>
      </c>
      <c r="G472" s="5">
        <f>prices!G473/prices!G472-1</f>
        <v>9.3674359527404771E-3</v>
      </c>
      <c r="H472" s="5">
        <f>prices!H473/prices!H472-1</f>
        <v>5.4121409731885173E-2</v>
      </c>
      <c r="I472" s="5">
        <f>prices!I473/prices!I472-1</f>
        <v>-5.7452194275636748E-3</v>
      </c>
      <c r="J472" s="5">
        <f>prices!J473/prices!J472-1</f>
        <v>1.0802724970024435E-2</v>
      </c>
      <c r="K472" s="8">
        <f>SUMPRODUCT(B472:I472,weights!$B$5:$I$5)</f>
        <v>1.490379268383968E-2</v>
      </c>
      <c r="L472" s="4">
        <f t="shared" si="14"/>
        <v>124.315289851853</v>
      </c>
      <c r="M472" s="4">
        <f>L472/MAX(L$2:L472)-1</f>
        <v>-5.8068434754088294E-4</v>
      </c>
      <c r="N472" s="4">
        <f t="shared" si="15"/>
        <v>0.11544331674338149</v>
      </c>
    </row>
    <row r="473" spans="1:14">
      <c r="A473" s="3">
        <f>prices!A474</f>
        <v>44167</v>
      </c>
      <c r="B473" s="5">
        <f>prices!B474/prices!B473-1</f>
        <v>1.6660433171260536E-3</v>
      </c>
      <c r="C473" s="5">
        <f>prices!C474/prices!C473-1</f>
        <v>8.3402906748903938E-3</v>
      </c>
      <c r="D473" s="5">
        <f>prices!D474/prices!D473-1</f>
        <v>-1.8390116061400175E-2</v>
      </c>
      <c r="E473" s="5">
        <f>prices!E474/prices!E473-1</f>
        <v>2.6722150827163116E-3</v>
      </c>
      <c r="F473" s="5">
        <f>prices!F474/prices!F473-1</f>
        <v>7.9895309594324448E-3</v>
      </c>
      <c r="G473" s="5">
        <f>prices!G474/prices!G473-1</f>
        <v>1.4756205055454608E-2</v>
      </c>
      <c r="H473" s="5">
        <f>prices!H474/prices!H473-1</f>
        <v>9.8311562937130059E-3</v>
      </c>
      <c r="I473" s="5">
        <f>prices!I474/prices!I473-1</f>
        <v>-1.9738159488141838E-3</v>
      </c>
      <c r="J473" s="5">
        <f>prices!J474/prices!J473-1</f>
        <v>3.5853093855009455E-4</v>
      </c>
      <c r="K473" s="8">
        <f>SUMPRODUCT(B473:I473,weights!$B$5:$I$5)</f>
        <v>4.4337599977883266E-3</v>
      </c>
      <c r="L473" s="4">
        <f t="shared" si="14"/>
        <v>124.86647401111161</v>
      </c>
      <c r="M473" s="4">
        <f>L473/MAX(L$2:L473)-1</f>
        <v>0</v>
      </c>
      <c r="N473" s="4">
        <f t="shared" si="15"/>
        <v>0.10662164359531401</v>
      </c>
    </row>
    <row r="474" spans="1:14">
      <c r="A474" s="3">
        <f>prices!A475</f>
        <v>44168</v>
      </c>
      <c r="B474" s="5">
        <f>prices!B475/prices!B474-1</f>
        <v>3.009730708305236E-3</v>
      </c>
      <c r="C474" s="5">
        <f>prices!C475/prices!C474-1</f>
        <v>-1.4582506061962985E-2</v>
      </c>
      <c r="D474" s="5">
        <f>prices!D475/prices!D474-1</f>
        <v>-2.1145132500343333E-2</v>
      </c>
      <c r="E474" s="5">
        <f>prices!E475/prices!E474-1</f>
        <v>-1.2664279611018459E-2</v>
      </c>
      <c r="F474" s="5">
        <f>prices!F475/prices!F474-1</f>
        <v>1.2299282541852197E-3</v>
      </c>
      <c r="G474" s="5">
        <f>prices!G475/prices!G474-1</f>
        <v>7.3905795300001298E-2</v>
      </c>
      <c r="H474" s="5">
        <f>prices!H475/prices!H474-1</f>
        <v>6.6138598407994298E-3</v>
      </c>
      <c r="I474" s="5">
        <f>prices!I475/prices!I474-1</f>
        <v>1.0232549251905976E-2</v>
      </c>
      <c r="J474" s="5">
        <f>prices!J475/prices!J474-1</f>
        <v>1.5365551425030599E-3</v>
      </c>
      <c r="K474" s="8">
        <f>SUMPRODUCT(B474:I474,weights!$B$5:$I$5)</f>
        <v>1.3939304509232558E-2</v>
      </c>
      <c r="L474" s="4">
        <f t="shared" si="14"/>
        <v>126.60702581534667</v>
      </c>
      <c r="M474" s="4">
        <f>L474/MAX(L$2:L474)-1</f>
        <v>0</v>
      </c>
      <c r="N474" s="4">
        <f t="shared" si="15"/>
        <v>0.10318749849667919</v>
      </c>
    </row>
    <row r="475" spans="1:14">
      <c r="A475" s="3">
        <f>prices!A476</f>
        <v>44169</v>
      </c>
      <c r="B475" s="5">
        <f>prices!B476/prices!B475-1</f>
        <v>-8.8103242109063284E-3</v>
      </c>
      <c r="C475" s="5">
        <f>prices!C476/prices!C475-1</f>
        <v>6.6789557165518598E-3</v>
      </c>
      <c r="D475" s="5">
        <f>prices!D476/prices!D475-1</f>
        <v>6.1096304608718732E-3</v>
      </c>
      <c r="E475" s="5">
        <f>prices!E476/prices!E475-1</f>
        <v>7.2839289945705321E-3</v>
      </c>
      <c r="F475" s="5">
        <f>prices!F476/prices!F475-1</f>
        <v>1.0236811574421578E-2</v>
      </c>
      <c r="G475" s="5">
        <f>prices!G476/prices!G475-1</f>
        <v>8.2764931526249086E-3</v>
      </c>
      <c r="H475" s="5">
        <f>prices!H476/prices!H475-1</f>
        <v>3.7930031979842793E-2</v>
      </c>
      <c r="I475" s="5">
        <f>prices!I476/prices!I475-1</f>
        <v>2.1648051297086246E-2</v>
      </c>
      <c r="J475" s="5">
        <f>prices!J476/prices!J475-1</f>
        <v>9.4907072537480097E-3</v>
      </c>
      <c r="K475" s="8">
        <f>SUMPRODUCT(B475:I475,weights!$B$5:$I$5)</f>
        <v>1.2986732771943232E-2</v>
      </c>
      <c r="L475" s="4">
        <f t="shared" si="14"/>
        <v>128.25123742666111</v>
      </c>
      <c r="M475" s="4">
        <f>L475/MAX(L$2:L475)-1</f>
        <v>0</v>
      </c>
      <c r="N475" s="4">
        <f t="shared" si="15"/>
        <v>9.7950600986585368E-2</v>
      </c>
    </row>
    <row r="476" spans="1:14">
      <c r="A476" s="3">
        <f>prices!A477</f>
        <v>44172</v>
      </c>
      <c r="B476" s="5">
        <f>prices!B477/prices!B476-1</f>
        <v>5.8840266317647938E-3</v>
      </c>
      <c r="C476" s="5">
        <f>prices!C477/prices!C476-1</f>
        <v>3.7218730304733327E-3</v>
      </c>
      <c r="D476" s="5">
        <f>prices!D477/prices!D476-1</f>
        <v>-9.6354933155702316E-3</v>
      </c>
      <c r="E476" s="5">
        <f>prices!E477/prices!E476-1</f>
        <v>7.7938017796870263E-3</v>
      </c>
      <c r="F476" s="5">
        <f>prices!F477/prices!F476-1</f>
        <v>2.4994933459433932E-2</v>
      </c>
      <c r="G476" s="5">
        <f>prices!G477/prices!G476-1</f>
        <v>-7.6575365961372155E-3</v>
      </c>
      <c r="H476" s="5">
        <f>prices!H477/prices!H476-1</f>
        <v>2.3285778308933525E-2</v>
      </c>
      <c r="I476" s="5">
        <f>prices!I477/prices!I476-1</f>
        <v>1.7569844296743353E-2</v>
      </c>
      <c r="J476" s="5">
        <f>prices!J477/prices!J476-1</f>
        <v>7.331118410384363E-3</v>
      </c>
      <c r="K476" s="8">
        <f>SUMPRODUCT(B476:I476,weights!$B$5:$I$5)</f>
        <v>8.5946911006948429E-3</v>
      </c>
      <c r="L476" s="4">
        <f t="shared" si="14"/>
        <v>129.35351719562513</v>
      </c>
      <c r="M476" s="4">
        <f>L476/MAX(L$2:L476)-1</f>
        <v>0</v>
      </c>
      <c r="N476" s="4">
        <f t="shared" si="15"/>
        <v>0.10455235488059333</v>
      </c>
    </row>
    <row r="477" spans="1:14">
      <c r="A477" s="3">
        <f>prices!A478</f>
        <v>44173</v>
      </c>
      <c r="B477" s="5">
        <f>prices!B478/prices!B477-1</f>
        <v>1.8159806295399372E-2</v>
      </c>
      <c r="C477" s="5">
        <f>prices!C478/prices!C477-1</f>
        <v>2.176901341524462E-2</v>
      </c>
      <c r="D477" s="5">
        <f>prices!D478/prices!D477-1</f>
        <v>2.940670410286339E-3</v>
      </c>
      <c r="E477" s="5">
        <f>prices!E478/prices!E477-1</f>
        <v>8.6164900742904393E-3</v>
      </c>
      <c r="F477" s="5">
        <f>prices!F478/prices!F477-1</f>
        <v>-3.493046859553206E-3</v>
      </c>
      <c r="G477" s="5">
        <f>prices!G478/prices!G477-1</f>
        <v>2.4932734693654535E-3</v>
      </c>
      <c r="H477" s="5">
        <f>prices!H478/prices!H477-1</f>
        <v>-2.3339841967919051E-2</v>
      </c>
      <c r="I477" s="5">
        <f>prices!I478/prices!I477-1</f>
        <v>1.4555511080382999E-3</v>
      </c>
      <c r="J477" s="5">
        <f>prices!J478/prices!J477-1</f>
        <v>2.785317185481917E-3</v>
      </c>
      <c r="K477" s="8">
        <f>SUMPRODUCT(B477:I477,weights!$B$5:$I$5)</f>
        <v>2.1304314340233974E-3</v>
      </c>
      <c r="L477" s="4">
        <f t="shared" si="14"/>
        <v>129.62909599476018</v>
      </c>
      <c r="M477" s="4">
        <f>L477/MAX(L$2:L477)-1</f>
        <v>0</v>
      </c>
      <c r="N477" s="4">
        <f t="shared" si="15"/>
        <v>0.10091052065685746</v>
      </c>
    </row>
    <row r="478" spans="1:14">
      <c r="A478" s="3">
        <f>prices!A479</f>
        <v>44174</v>
      </c>
      <c r="B478" s="5">
        <f>prices!B479/prices!B478-1</f>
        <v>1.6646848989298579E-2</v>
      </c>
      <c r="C478" s="5">
        <f>prices!C479/prices!C478-1</f>
        <v>4.8290724277819663E-3</v>
      </c>
      <c r="D478" s="5">
        <f>prices!D479/prices!D478-1</f>
        <v>2.2458241706826421E-2</v>
      </c>
      <c r="E478" s="5">
        <f>prices!E479/prices!E478-1</f>
        <v>1.8947283686016503E-2</v>
      </c>
      <c r="F478" s="5">
        <f>prices!F479/prices!F478-1</f>
        <v>1.4616402116402138E-2</v>
      </c>
      <c r="G478" s="5">
        <f>prices!G479/prices!G478-1</f>
        <v>-6.8856068823487382E-3</v>
      </c>
      <c r="H478" s="5">
        <f>prices!H479/prices!H478-1</f>
        <v>1.494768310911665E-3</v>
      </c>
      <c r="I478" s="5">
        <f>prices!I479/prices!I478-1</f>
        <v>8.1937429599214795E-3</v>
      </c>
      <c r="J478" s="5">
        <f>prices!J479/prices!J478-1</f>
        <v>1.0165796183813081E-2</v>
      </c>
      <c r="K478" s="8">
        <f>SUMPRODUCT(B478:I478,weights!$B$5:$I$5)</f>
        <v>7.541913451173405E-3</v>
      </c>
      <c r="L478" s="4">
        <f t="shared" si="14"/>
        <v>130.60674741750651</v>
      </c>
      <c r="M478" s="4">
        <f>L478/MAX(L$2:L478)-1</f>
        <v>0</v>
      </c>
      <c r="N478" s="4">
        <f t="shared" si="15"/>
        <v>0.1006521866740262</v>
      </c>
    </row>
    <row r="479" spans="1:14">
      <c r="A479" s="3">
        <f>prices!A480</f>
        <v>44175</v>
      </c>
      <c r="B479" s="5">
        <f>prices!B480/prices!B479-1</f>
        <v>-9.837678307919373E-3</v>
      </c>
      <c r="C479" s="5">
        <f>prices!C480/prices!C479-1</f>
        <v>-9.4299079323625357E-3</v>
      </c>
      <c r="D479" s="5">
        <f>prices!D480/prices!D479-1</f>
        <v>-1.5177168657240059E-2</v>
      </c>
      <c r="E479" s="5">
        <f>prices!E480/prices!E479-1</f>
        <v>-6.3398641175540504E-3</v>
      </c>
      <c r="F479" s="5">
        <f>prices!F480/prices!F479-1</f>
        <v>3.5525715403168068E-2</v>
      </c>
      <c r="G479" s="5">
        <f>prices!G480/prices!G479-1</f>
        <v>3.4694075624335241E-3</v>
      </c>
      <c r="H479" s="5">
        <f>prices!H480/prices!H479-1</f>
        <v>-7.6492537313432862E-3</v>
      </c>
      <c r="I479" s="5">
        <f>prices!I480/prices!I479-1</f>
        <v>7.9199178274738102E-3</v>
      </c>
      <c r="J479" s="5">
        <f>prices!J480/prices!J479-1</f>
        <v>-3.7548691339409634E-3</v>
      </c>
      <c r="K479" s="8">
        <f>SUMPRODUCT(B479:I479,weights!$B$5:$I$5)</f>
        <v>3.0545847622421131E-4</v>
      </c>
      <c r="L479" s="4">
        <f t="shared" si="14"/>
        <v>130.64664235555728</v>
      </c>
      <c r="M479" s="4">
        <f>L479/MAX(L$2:L479)-1</f>
        <v>0</v>
      </c>
      <c r="N479" s="4">
        <f t="shared" si="15"/>
        <v>8.7044811448601545E-2</v>
      </c>
    </row>
    <row r="480" spans="1:14">
      <c r="A480" s="3">
        <f>prices!A481</f>
        <v>44176</v>
      </c>
      <c r="B480" s="5">
        <f>prices!B481/prices!B480-1</f>
        <v>-5.9612518628915367E-4</v>
      </c>
      <c r="C480" s="5">
        <f>prices!C481/prices!C480-1</f>
        <v>-2.5029827210754085E-4</v>
      </c>
      <c r="D480" s="5">
        <f>prices!D481/prices!D480-1</f>
        <v>-2.1993680688928707E-3</v>
      </c>
      <c r="E480" s="5">
        <f>prices!E481/prices!E480-1</f>
        <v>-3.8957683210432137E-3</v>
      </c>
      <c r="F480" s="5">
        <f>prices!F481/prices!F480-1</f>
        <v>1.6933148684376231E-2</v>
      </c>
      <c r="G480" s="5">
        <f>prices!G481/prices!G480-1</f>
        <v>-3.1604400095353036E-4</v>
      </c>
      <c r="H480" s="5">
        <f>prices!H481/prices!H480-1</f>
        <v>5.132543711223958E-3</v>
      </c>
      <c r="I480" s="5">
        <f>prices!I481/prices!I480-1</f>
        <v>3.3164975640278538E-3</v>
      </c>
      <c r="J480" s="5">
        <f>prices!J481/prices!J480-1</f>
        <v>2.6375729876915166E-3</v>
      </c>
      <c r="K480" s="8">
        <f>SUMPRODUCT(B480:I480,weights!$B$5:$I$5)</f>
        <v>2.1903032642597315E-3</v>
      </c>
      <c r="L480" s="4">
        <f t="shared" si="14"/>
        <v>130.93279812277325</v>
      </c>
      <c r="M480" s="4">
        <f>L480/MAX(L$2:L480)-1</f>
        <v>0</v>
      </c>
      <c r="N480" s="4">
        <f t="shared" si="15"/>
        <v>8.8152091811900313E-2</v>
      </c>
    </row>
    <row r="481" spans="1:14">
      <c r="A481" s="3">
        <f>prices!A482</f>
        <v>44179</v>
      </c>
      <c r="B481" s="5">
        <f>prices!B482/prices!B481-1</f>
        <v>-7.2350907423975874E-3</v>
      </c>
      <c r="C481" s="5">
        <f>prices!C482/prices!C481-1</f>
        <v>5.0656362923213738E-3</v>
      </c>
      <c r="D481" s="5">
        <f>prices!D482/prices!D481-1</f>
        <v>-7.6992331812114623E-3</v>
      </c>
      <c r="E481" s="5">
        <f>prices!E482/prices!E481-1</f>
        <v>1.157338122318663E-3</v>
      </c>
      <c r="F481" s="5">
        <f>prices!F482/prices!F481-1</f>
        <v>-1.8570102135562205E-3</v>
      </c>
      <c r="G481" s="5">
        <f>prices!G482/prices!G481-1</f>
        <v>-4.7530602594832994E-3</v>
      </c>
      <c r="H481" s="5">
        <f>prices!H482/prices!H481-1</f>
        <v>1.4346370386996599E-2</v>
      </c>
      <c r="I481" s="5">
        <f>prices!I482/prices!I481-1</f>
        <v>4.6348765102106393E-2</v>
      </c>
      <c r="J481" s="5">
        <f>prices!J482/prices!J481-1</f>
        <v>3.2781183748524789E-3</v>
      </c>
      <c r="K481" s="8">
        <f>SUMPRODUCT(B481:I481,weights!$B$5:$I$5)</f>
        <v>9.2644443341923736E-3</v>
      </c>
      <c r="L481" s="4">
        <f t="shared" si="14"/>
        <v>132.14581774250172</v>
      </c>
      <c r="M481" s="4">
        <f>L481/MAX(L$2:L481)-1</f>
        <v>0</v>
      </c>
      <c r="N481" s="4">
        <f t="shared" si="15"/>
        <v>0.10378081587237697</v>
      </c>
    </row>
    <row r="482" spans="1:14">
      <c r="A482" s="3">
        <f>prices!A483</f>
        <v>44180</v>
      </c>
      <c r="B482" s="5">
        <f>prices!B483/prices!B482-1</f>
        <v>-8.5117272686813239E-3</v>
      </c>
      <c r="C482" s="5">
        <f>prices!C483/prices!C482-1</f>
        <v>-1.2924091203480592E-2</v>
      </c>
      <c r="D482" s="5">
        <f>prices!D483/prices!D482-1</f>
        <v>1.3953633889184358E-2</v>
      </c>
      <c r="E482" s="5">
        <f>prices!E483/prices!E482-1</f>
        <v>-8.5404500428517549E-3</v>
      </c>
      <c r="F482" s="5">
        <f>prices!F483/prices!F482-1</f>
        <v>-1.0914728682170471E-2</v>
      </c>
      <c r="G482" s="5">
        <f>prices!G483/prices!G482-1</f>
        <v>8.8943048243661504E-3</v>
      </c>
      <c r="H482" s="5">
        <f>prices!H483/prices!H482-1</f>
        <v>-7.9845104185873872E-3</v>
      </c>
      <c r="I482" s="5">
        <f>prices!I483/prices!I482-1</f>
        <v>-2.7248420443127808E-3</v>
      </c>
      <c r="J482" s="5">
        <f>prices!J483/prices!J482-1</f>
        <v>7.1543684057195911E-4</v>
      </c>
      <c r="K482" s="8">
        <f>SUMPRODUCT(B482:I482,weights!$B$5:$I$5)</f>
        <v>-2.8292537718742766E-3</v>
      </c>
      <c r="L482" s="4">
        <f t="shared" si="14"/>
        <v>131.77194368921633</v>
      </c>
      <c r="M482" s="4">
        <f>L482/MAX(L$2:L482)-1</f>
        <v>-2.8292537718743738E-3</v>
      </c>
      <c r="N482" s="4">
        <f t="shared" si="15"/>
        <v>9.2894623661702758E-2</v>
      </c>
    </row>
    <row r="483" spans="1:14">
      <c r="A483" s="3">
        <f>prices!A484</f>
        <v>44181</v>
      </c>
      <c r="B483" s="5">
        <f>prices!B484/prices!B483-1</f>
        <v>1.1109739538328611E-3</v>
      </c>
      <c r="C483" s="5">
        <f>prices!C484/prices!C483-1</f>
        <v>1.9065845092637312E-2</v>
      </c>
      <c r="D483" s="5">
        <f>prices!D484/prices!D483-1</f>
        <v>1.3946743188620658E-2</v>
      </c>
      <c r="E483" s="5">
        <f>prices!E484/prices!E483-1</f>
        <v>9.6091025138458352E-3</v>
      </c>
      <c r="F483" s="5">
        <f>prices!F484/prices!F483-1</f>
        <v>2.1317950968713362E-3</v>
      </c>
      <c r="G483" s="5">
        <f>prices!G484/prices!G483-1</f>
        <v>4.0048802268028982E-3</v>
      </c>
      <c r="H483" s="5">
        <f>prices!H484/prices!H483-1</f>
        <v>8.6621930590924379E-3</v>
      </c>
      <c r="I483" s="5">
        <f>prices!I484/prices!I483-1</f>
        <v>1.7648866954695031E-2</v>
      </c>
      <c r="J483" s="5">
        <f>prices!J484/prices!J483-1</f>
        <v>8.4648636298307878E-3</v>
      </c>
      <c r="K483" s="8">
        <f>SUMPRODUCT(B483:I483,weights!$B$5:$I$5)</f>
        <v>9.4064473538621671E-3</v>
      </c>
      <c r="L483" s="4">
        <f t="shared" si="14"/>
        <v>133.01144954024502</v>
      </c>
      <c r="M483" s="4">
        <f>L483/MAX(L$2:L483)-1</f>
        <v>0</v>
      </c>
      <c r="N483" s="4">
        <f t="shared" si="15"/>
        <v>9.3237389151002992E-2</v>
      </c>
    </row>
    <row r="484" spans="1:14">
      <c r="A484" s="3">
        <f>prices!A485</f>
        <v>44182</v>
      </c>
      <c r="B484" s="5">
        <f>prices!B485/prices!B484-1</f>
        <v>4.5846878152673298E-3</v>
      </c>
      <c r="C484" s="5">
        <f>prices!C485/prices!C484-1</f>
        <v>8.531169517268733E-3</v>
      </c>
      <c r="D484" s="5">
        <f>prices!D485/prices!D484-1</f>
        <v>2.2047411825568242E-2</v>
      </c>
      <c r="E484" s="5">
        <f>prices!E485/prices!E484-1</f>
        <v>-5.5751904027079302E-3</v>
      </c>
      <c r="F484" s="5">
        <f>prices!F485/prices!F484-1</f>
        <v>-4.4422198585998274E-3</v>
      </c>
      <c r="G484" s="5">
        <f>prices!G485/prices!G484-1</f>
        <v>-1.3127836907713242E-2</v>
      </c>
      <c r="H484" s="5">
        <f>prices!H485/prices!H484-1</f>
        <v>-9.1038092254389635E-3</v>
      </c>
      <c r="I484" s="5">
        <f>prices!I485/prices!I484-1</f>
        <v>8.3231950329321069E-3</v>
      </c>
      <c r="J484" s="5">
        <f>prices!J485/prices!J484-1</f>
        <v>4.2389294510585263E-3</v>
      </c>
      <c r="K484" s="8">
        <f>SUMPRODUCT(B484:I484,weights!$B$5:$I$5)</f>
        <v>-1.5760228009808423E-4</v>
      </c>
      <c r="L484" s="4">
        <f t="shared" si="14"/>
        <v>132.99048663251833</v>
      </c>
      <c r="M484" s="4">
        <f>L484/MAX(L$2:L484)-1</f>
        <v>-1.576022800980903E-4</v>
      </c>
      <c r="N484" s="4">
        <f t="shared" si="15"/>
        <v>8.37638473791944E-2</v>
      </c>
    </row>
    <row r="485" spans="1:14">
      <c r="A485" s="3">
        <f>prices!A486</f>
        <v>44183</v>
      </c>
      <c r="B485" s="5">
        <f>prices!B486/prices!B485-1</f>
        <v>2.990437295662618E-3</v>
      </c>
      <c r="C485" s="5">
        <f>prices!C486/prices!C485-1</f>
        <v>8.0333940373635837E-3</v>
      </c>
      <c r="D485" s="5">
        <f>prices!D486/prices!D485-1</f>
        <v>-2.1125187953134672E-2</v>
      </c>
      <c r="E485" s="5">
        <f>prices!E486/prices!E485-1</f>
        <v>2.6400360414476687E-2</v>
      </c>
      <c r="F485" s="5">
        <f>prices!F486/prices!F485-1</f>
        <v>6.7873303167420573E-3</v>
      </c>
      <c r="G485" s="5">
        <f>prices!G486/prices!G485-1</f>
        <v>-1.7449903436562608E-2</v>
      </c>
      <c r="H485" s="5">
        <f>prices!H486/prices!H485-1</f>
        <v>6.3791403968829208E-3</v>
      </c>
      <c r="I485" s="5">
        <f>prices!I486/prices!I485-1</f>
        <v>2.1468334207044304E-3</v>
      </c>
      <c r="J485" s="5">
        <f>prices!J486/prices!J485-1</f>
        <v>1.4446134476409078E-3</v>
      </c>
      <c r="K485" s="8">
        <f>SUMPRODUCT(B485:I485,weights!$B$5:$I$5)</f>
        <v>3.1362844019626777E-4</v>
      </c>
      <c r="L485" s="4">
        <f t="shared" si="14"/>
        <v>133.03219623140183</v>
      </c>
      <c r="M485" s="4">
        <f>L485/MAX(L$2:L485)-1</f>
        <v>0</v>
      </c>
      <c r="N485" s="4">
        <f t="shared" si="15"/>
        <v>9.3094282436084974E-2</v>
      </c>
    </row>
    <row r="486" spans="1:14">
      <c r="A486" s="3">
        <f>prices!A487</f>
        <v>44186</v>
      </c>
      <c r="B486" s="5">
        <f>prices!B487/prices!B486-1</f>
        <v>-2.6032685482884066E-2</v>
      </c>
      <c r="C486" s="5">
        <f>prices!C487/prices!C486-1</f>
        <v>-1.4278290664912707E-2</v>
      </c>
      <c r="D486" s="5">
        <f>prices!D487/prices!D486-1</f>
        <v>-2.7421219126414376E-2</v>
      </c>
      <c r="E486" s="5">
        <f>prices!E487/prices!E486-1</f>
        <v>-1.0505062328085679E-2</v>
      </c>
      <c r="F486" s="5">
        <f>prices!F487/prices!F486-1</f>
        <v>-5.3807740324594122E-2</v>
      </c>
      <c r="G486" s="5">
        <f>prices!G487/prices!G486-1</f>
        <v>-2.4292186519830006E-2</v>
      </c>
      <c r="H486" s="5">
        <f>prices!H487/prices!H486-1</f>
        <v>-3.9030159668835052E-2</v>
      </c>
      <c r="I486" s="5">
        <f>prices!I487/prices!I486-1</f>
        <v>-3.6434591273300843E-2</v>
      </c>
      <c r="J486" s="5">
        <f>prices!J487/prices!J486-1</f>
        <v>-3.1404994713147394E-2</v>
      </c>
      <c r="K486" s="8">
        <f>SUMPRODUCT(B486:I486,weights!$B$5:$I$5)</f>
        <v>-2.9781504971290423E-2</v>
      </c>
      <c r="L486" s="4">
        <f t="shared" si="14"/>
        <v>129.07029721799466</v>
      </c>
      <c r="M486" s="4">
        <f>L486/MAX(L$2:L486)-1</f>
        <v>-2.9781504971290285E-2</v>
      </c>
      <c r="N486" s="4">
        <f t="shared" si="15"/>
        <v>6.2325474449917317E-2</v>
      </c>
    </row>
    <row r="487" spans="1:14">
      <c r="A487" s="3">
        <f>prices!A488</f>
        <v>44187</v>
      </c>
      <c r="B487" s="5">
        <f>prices!B488/prices!B487-1</f>
        <v>-1.5420288530731963E-3</v>
      </c>
      <c r="C487" s="5">
        <f>prices!C488/prices!C487-1</f>
        <v>1.8562526513482114E-2</v>
      </c>
      <c r="D487" s="5">
        <f>prices!D488/prices!D487-1</f>
        <v>3.2838668313828201E-4</v>
      </c>
      <c r="E487" s="5">
        <f>prices!E488/prices!E487-1</f>
        <v>3.6689831928631289E-2</v>
      </c>
      <c r="F487" s="5">
        <f>prices!F488/prices!F487-1</f>
        <v>2.1770682148039011E-3</v>
      </c>
      <c r="G487" s="5">
        <f>prices!G488/prices!G487-1</f>
        <v>2.615998308387768E-3</v>
      </c>
      <c r="H487" s="5">
        <f>prices!H488/prices!H487-1</f>
        <v>2.8500000000000192E-2</v>
      </c>
      <c r="I487" s="5">
        <f>prices!I488/prices!I487-1</f>
        <v>2.2551207700328479E-2</v>
      </c>
      <c r="J487" s="5">
        <f>prices!J488/prices!J487-1</f>
        <v>1.0346328141412231E-2</v>
      </c>
      <c r="K487" s="8">
        <f>SUMPRODUCT(B487:I487,weights!$B$5:$I$5)</f>
        <v>1.3999137452652407E-2</v>
      </c>
      <c r="L487" s="4">
        <f t="shared" si="14"/>
        <v>130.87717004980408</v>
      </c>
      <c r="M487" s="4">
        <f>L487/MAX(L$2:L487)-1</f>
        <v>-1.6199282900277834E-2</v>
      </c>
      <c r="N487" s="4">
        <f t="shared" si="15"/>
        <v>6.6671820379166302E-2</v>
      </c>
    </row>
    <row r="488" spans="1:14">
      <c r="A488" s="3">
        <f>prices!A489</f>
        <v>44188</v>
      </c>
      <c r="B488" s="5">
        <f>prices!B489/prices!B488-1</f>
        <v>3.6951448313733426E-3</v>
      </c>
      <c r="C488" s="5">
        <f>prices!C489/prices!C488-1</f>
        <v>1.2619890986138804E-2</v>
      </c>
      <c r="D488" s="5">
        <f>prices!D489/prices!D488-1</f>
        <v>1.8602469907769148E-3</v>
      </c>
      <c r="E488" s="5">
        <f>prices!E489/prices!E488-1</f>
        <v>2.6671864748447627E-2</v>
      </c>
      <c r="F488" s="5">
        <f>prices!F489/prices!F488-1</f>
        <v>2.139424659337763E-2</v>
      </c>
      <c r="G488" s="5">
        <f>prices!G489/prices!G488-1</f>
        <v>7.3772185449336725E-3</v>
      </c>
      <c r="H488" s="5">
        <f>prices!H489/prices!H488-1</f>
        <v>1.1087842638644707E-2</v>
      </c>
      <c r="I488" s="5">
        <f>prices!I489/prices!I488-1</f>
        <v>1.6601496662844717E-3</v>
      </c>
      <c r="J488" s="5">
        <f>prices!J489/prices!J488-1</f>
        <v>1.0010173544329204E-2</v>
      </c>
      <c r="K488" s="8">
        <f>SUMPRODUCT(B488:I488,weights!$B$5:$I$5)</f>
        <v>9.1995107543195506E-3</v>
      </c>
      <c r="L488" s="4">
        <f t="shared" si="14"/>
        <v>132.08117598317216</v>
      </c>
      <c r="M488" s="4">
        <f>L488/MAX(L$2:L488)-1</f>
        <v>-7.1487976232116335E-3</v>
      </c>
      <c r="N488" s="4">
        <f t="shared" si="15"/>
        <v>6.1852316549188657E-2</v>
      </c>
    </row>
    <row r="489" spans="1:14">
      <c r="A489" s="3">
        <f>prices!A490</f>
        <v>44189</v>
      </c>
      <c r="B489" s="5">
        <f>prices!B490/prices!B489-1</f>
        <v>2.5873368667008512E-2</v>
      </c>
      <c r="C489" s="5">
        <f>prices!C490/prices!C489-1</f>
        <v>2.0365053568083269E-4</v>
      </c>
      <c r="D489" s="5">
        <f>prices!D490/prices!D489-1</f>
        <v>1.5587698356972268E-2</v>
      </c>
      <c r="E489" s="5">
        <f>prices!E490/prices!E489-1</f>
        <v>-1.3568332530656146E-2</v>
      </c>
      <c r="F489" s="5">
        <f>prices!F490/prices!F489-1</f>
        <v>4.1247744263985808E-3</v>
      </c>
      <c r="G489" s="5">
        <f>prices!G490/prices!G489-1</f>
        <v>-5.2480295134471611E-4</v>
      </c>
      <c r="H489" s="5">
        <f>prices!H490/prices!H489-1</f>
        <v>2.7572815533980499E-2</v>
      </c>
      <c r="I489" s="5">
        <f>prices!I490/prices!I489-1</f>
        <v>-2.0528179974926841E-3</v>
      </c>
      <c r="J489" s="5">
        <f>prices!J490/prices!J489-1</f>
        <v>1.0892501341803307E-2</v>
      </c>
      <c r="K489" s="8">
        <f>SUMPRODUCT(B489:I489,weights!$B$5:$I$5)</f>
        <v>7.3173981301069392E-3</v>
      </c>
      <c r="L489" s="4">
        <f t="shared" si="14"/>
        <v>133.04766653333374</v>
      </c>
      <c r="M489" s="4">
        <f>L489/MAX(L$2:L489)-1</f>
        <v>0</v>
      </c>
      <c r="N489" s="4">
        <f t="shared" si="15"/>
        <v>8.7355764452196061E-2</v>
      </c>
    </row>
    <row r="490" spans="1:14">
      <c r="A490" s="3">
        <f>prices!A491</f>
        <v>44193</v>
      </c>
      <c r="B490" s="5">
        <f>prices!B491/prices!B490-1</f>
        <v>4.5886339647798202E-3</v>
      </c>
      <c r="C490" s="5">
        <f>prices!C491/prices!C490-1</f>
        <v>6.8907697221334274E-3</v>
      </c>
      <c r="D490" s="5">
        <f>prices!D491/prices!D490-1</f>
        <v>1.1277040314650932E-2</v>
      </c>
      <c r="E490" s="5">
        <f>prices!E491/prices!E490-1</f>
        <v>3.4363938520474147E-3</v>
      </c>
      <c r="F490" s="5">
        <f>prices!F491/prices!F490-1</f>
        <v>4.3003851091141243E-3</v>
      </c>
      <c r="G490" s="5">
        <f>prices!G491/prices!G490-1</f>
        <v>4.9634780294978142E-3</v>
      </c>
      <c r="H490" s="5">
        <f>prices!H491/prices!H490-1</f>
        <v>-5.92088687326775E-3</v>
      </c>
      <c r="I490" s="5">
        <f>prices!I491/prices!I490-1</f>
        <v>2.1548344672348785E-2</v>
      </c>
      <c r="J490" s="5">
        <f>prices!J491/prices!J490-1</f>
        <v>9.0150371838464416E-3</v>
      </c>
      <c r="K490" s="8">
        <f>SUMPRODUCT(B490:I490,weights!$B$5:$I$5)</f>
        <v>6.9948805824975513E-3</v>
      </c>
      <c r="L490" s="4">
        <f t="shared" si="14"/>
        <v>133.97831907251435</v>
      </c>
      <c r="M490" s="4">
        <f>L490/MAX(L$2:L490)-1</f>
        <v>0</v>
      </c>
      <c r="N490" s="4">
        <f t="shared" si="15"/>
        <v>9.1822717695939859E-2</v>
      </c>
    </row>
    <row r="491" spans="1:14">
      <c r="A491" s="3">
        <f>prices!A492</f>
        <v>44194</v>
      </c>
      <c r="B491" s="5">
        <f>prices!B492/prices!B491-1</f>
        <v>-6.6137273551725162E-3</v>
      </c>
      <c r="C491" s="5">
        <f>prices!C492/prices!C491-1</f>
        <v>3.7667620913084399E-4</v>
      </c>
      <c r="D491" s="5">
        <f>prices!D492/prices!D491-1</f>
        <v>1.0163775029625288E-2</v>
      </c>
      <c r="E491" s="5">
        <f>prices!E492/prices!E491-1</f>
        <v>8.0656480121263918E-3</v>
      </c>
      <c r="F491" s="5">
        <f>prices!F492/prices!F491-1</f>
        <v>9.7782322489934348E-3</v>
      </c>
      <c r="G491" s="5">
        <f>prices!G492/prices!G491-1</f>
        <v>-4.096790729901989E-3</v>
      </c>
      <c r="H491" s="5">
        <f>prices!H492/prices!H491-1</f>
        <v>6.2277096873470938E-3</v>
      </c>
      <c r="I491" s="5">
        <f>prices!I492/prices!I491-1</f>
        <v>-3.5238873346372657E-3</v>
      </c>
      <c r="J491" s="5">
        <f>prices!J492/prices!J491-1</f>
        <v>4.2816365366318276E-3</v>
      </c>
      <c r="K491" s="8">
        <f>SUMPRODUCT(B491:I491,weights!$B$5:$I$5)</f>
        <v>8.9698050333185137E-4</v>
      </c>
      <c r="L491" s="4">
        <f t="shared" si="14"/>
        <v>134.09849501259157</v>
      </c>
      <c r="M491" s="4">
        <f>L491/MAX(L$2:L491)-1</f>
        <v>0</v>
      </c>
      <c r="N491" s="4">
        <f t="shared" si="15"/>
        <v>9.4773389047007495E-2</v>
      </c>
    </row>
    <row r="492" spans="1:14">
      <c r="A492" s="3">
        <f>prices!A493</f>
        <v>44195</v>
      </c>
      <c r="B492" s="5">
        <f>prices!B493/prices!B492-1</f>
        <v>2.7388109552437534E-3</v>
      </c>
      <c r="C492" s="5">
        <f>prices!C493/prices!C492-1</f>
        <v>-7.2334235694666571E-3</v>
      </c>
      <c r="D492" s="5">
        <f>prices!D493/prices!D492-1</f>
        <v>3.7147884676123066E-3</v>
      </c>
      <c r="E492" s="5">
        <f>prices!E493/prices!E492-1</f>
        <v>-2.7938924212187466E-3</v>
      </c>
      <c r="F492" s="5">
        <f>prices!F493/prices!F492-1</f>
        <v>-1.898734177215311E-3</v>
      </c>
      <c r="G492" s="5">
        <f>prices!G493/prices!G492-1</f>
        <v>2.1543952633000352E-2</v>
      </c>
      <c r="H492" s="5">
        <f>prices!H493/prices!H492-1</f>
        <v>-1.1190874579442456E-2</v>
      </c>
      <c r="I492" s="5">
        <f>prices!I493/prices!I492-1</f>
        <v>5.5985291438225282E-3</v>
      </c>
      <c r="J492" s="5">
        <f>prices!J493/prices!J492-1</f>
        <v>3.5420524525213715E-3</v>
      </c>
      <c r="K492" s="8">
        <f>SUMPRODUCT(B492:I492,weights!$B$5:$I$5)</f>
        <v>3.1969000221231071E-3</v>
      </c>
      <c r="L492" s="4">
        <f t="shared" si="14"/>
        <v>134.52719449426399</v>
      </c>
      <c r="M492" s="4">
        <f>L492/MAX(L$2:L492)-1</f>
        <v>0</v>
      </c>
      <c r="N492" s="4">
        <f t="shared" si="15"/>
        <v>8.2145202368755887E-2</v>
      </c>
    </row>
    <row r="493" spans="1:14">
      <c r="A493" s="3">
        <f>prices!A494</f>
        <v>44196</v>
      </c>
      <c r="B493" s="5">
        <f>prices!B494/prices!B493-1</f>
        <v>-5.1184686785246125E-3</v>
      </c>
      <c r="C493" s="5">
        <f>prices!C494/prices!C493-1</f>
        <v>-1.600153308101393E-2</v>
      </c>
      <c r="D493" s="5">
        <f>prices!D494/prices!D493-1</f>
        <v>2.6521621864603606E-3</v>
      </c>
      <c r="E493" s="5">
        <f>prices!E494/prices!E493-1</f>
        <v>7.2137312210287519E-3</v>
      </c>
      <c r="F493" s="5">
        <f>prices!F494/prices!F493-1</f>
        <v>-1.0209258084971418E-2</v>
      </c>
      <c r="G493" s="5">
        <f>prices!G494/prices!G493-1</f>
        <v>4.8214686168490672E-3</v>
      </c>
      <c r="H493" s="5">
        <f>prices!H494/prices!H493-1</f>
        <v>1.4301570261467722E-2</v>
      </c>
      <c r="I493" s="5">
        <f>prices!I494/prices!I493-1</f>
        <v>-3.442539243300291E-3</v>
      </c>
      <c r="J493" s="5">
        <f>prices!J494/prices!J493-1</f>
        <v>-1.430415643033367E-5</v>
      </c>
      <c r="K493" s="8">
        <f>SUMPRODUCT(B493:I493,weights!$B$5:$I$5)</f>
        <v>3.1494698505036287E-4</v>
      </c>
      <c r="L493" s="4">
        <f t="shared" si="14"/>
        <v>134.56956342857723</v>
      </c>
      <c r="M493" s="4">
        <f>L493/MAX(L$2:L493)-1</f>
        <v>0</v>
      </c>
      <c r="N493" s="4">
        <f t="shared" si="15"/>
        <v>7.7707723344555779E-2</v>
      </c>
    </row>
    <row r="494" spans="1:14">
      <c r="A494" s="3">
        <f>prices!A495</f>
        <v>44197</v>
      </c>
      <c r="B494" s="5">
        <f>prices!B495/prices!B494-1</f>
        <v>1.1160091512749659E-3</v>
      </c>
      <c r="C494" s="5">
        <f>prices!C495/prices!C494-1</f>
        <v>2.2879237872665215E-2</v>
      </c>
      <c r="D494" s="5">
        <f>prices!D495/prices!D494-1</f>
        <v>-7.8308301576627271E-3</v>
      </c>
      <c r="E494" s="5">
        <f>prices!E495/prices!E494-1</f>
        <v>3.7057915700173805E-3</v>
      </c>
      <c r="F494" s="5">
        <f>prices!F495/prices!F494-1</f>
        <v>2.3255813953488413E-2</v>
      </c>
      <c r="G494" s="5">
        <f>prices!G495/prices!G494-1</f>
        <v>5.449959152859174E-3</v>
      </c>
      <c r="H494" s="5">
        <f>prices!H495/prices!H494-1</f>
        <v>6.5835500941788805E-3</v>
      </c>
      <c r="I494" s="5">
        <f>prices!I495/prices!I494-1</f>
        <v>7.2972794287791132E-3</v>
      </c>
      <c r="J494" s="5">
        <f>prices!J495/prices!J494-1</f>
        <v>2.6284263414808606E-3</v>
      </c>
      <c r="K494" s="8">
        <f>SUMPRODUCT(B494:I494,weights!$B$5:$I$5)</f>
        <v>7.3167672119302529E-3</v>
      </c>
      <c r="L494" s="4">
        <f t="shared" si="14"/>
        <v>135.55417759799522</v>
      </c>
      <c r="M494" s="4">
        <f>L494/MAX(L$2:L494)-1</f>
        <v>0</v>
      </c>
      <c r="N494" s="4">
        <f t="shared" si="15"/>
        <v>7.0668683076859917E-2</v>
      </c>
    </row>
    <row r="495" spans="1:14">
      <c r="A495" s="3">
        <f>prices!A496</f>
        <v>44200</v>
      </c>
      <c r="B495" s="5">
        <f>prices!B496/prices!B495-1</f>
        <v>1.6832952455270167E-3</v>
      </c>
      <c r="C495" s="5">
        <f>prices!C496/prices!C495-1</f>
        <v>3.7975938787895513E-2</v>
      </c>
      <c r="D495" s="5">
        <f>prices!D496/prices!D495-1</f>
        <v>-6.3562832311607753E-3</v>
      </c>
      <c r="E495" s="5">
        <f>prices!E496/prices!E495-1</f>
        <v>2.2051376484669927E-2</v>
      </c>
      <c r="F495" s="5">
        <f>prices!F496/prices!F495-1</f>
        <v>-2.1287252692211434E-3</v>
      </c>
      <c r="G495" s="5">
        <f>prices!G496/prices!G495-1</f>
        <v>1.4304642294882264E-3</v>
      </c>
      <c r="H495" s="5">
        <f>prices!H496/prices!H495-1</f>
        <v>1.3669090390647121E-2</v>
      </c>
      <c r="I495" s="5">
        <f>prices!I496/prices!I495-1</f>
        <v>1.3569945933528782E-2</v>
      </c>
      <c r="J495" s="5">
        <f>prices!J496/prices!J495-1</f>
        <v>8.1606448621465155E-3</v>
      </c>
      <c r="K495" s="8">
        <f>SUMPRODUCT(B495:I495,weights!$B$5:$I$5)</f>
        <v>9.7794250513297855E-3</v>
      </c>
      <c r="L495" s="4">
        <f t="shared" si="14"/>
        <v>136.87981951820947</v>
      </c>
      <c r="M495" s="4">
        <f>L495/MAX(L$2:L495)-1</f>
        <v>0</v>
      </c>
      <c r="N495" s="4">
        <f t="shared" si="15"/>
        <v>6.7278743384308504E-2</v>
      </c>
    </row>
    <row r="496" spans="1:14">
      <c r="A496" s="3">
        <f>prices!A497</f>
        <v>44201</v>
      </c>
      <c r="B496" s="5">
        <f>prices!B497/prices!B496-1</f>
        <v>-1.2431000712250673E-2</v>
      </c>
      <c r="C496" s="5">
        <f>prices!C497/prices!C496-1</f>
        <v>1.7620690841138709E-2</v>
      </c>
      <c r="D496" s="5">
        <f>prices!D497/prices!D496-1</f>
        <v>7.5490002880138629E-3</v>
      </c>
      <c r="E496" s="5">
        <f>prices!E497/prices!E496-1</f>
        <v>4.3061123372820642E-3</v>
      </c>
      <c r="F496" s="5">
        <f>prices!F497/prices!F496-1</f>
        <v>-9.1604969255867363E-3</v>
      </c>
      <c r="G496" s="5">
        <f>prices!G497/prices!G496-1</f>
        <v>-6.0817346831273378E-3</v>
      </c>
      <c r="H496" s="5">
        <f>prices!H497/prices!H496-1</f>
        <v>-1.5647251182334676E-3</v>
      </c>
      <c r="I496" s="5">
        <f>prices!I497/prices!I496-1</f>
        <v>-6.3136934297117753E-3</v>
      </c>
      <c r="J496" s="5">
        <f>prices!J497/prices!J496-1</f>
        <v>4.7124086351704175E-3</v>
      </c>
      <c r="K496" s="8">
        <f>SUMPRODUCT(B496:I496,weights!$B$5:$I$5)</f>
        <v>-2.5370945484871421E-3</v>
      </c>
      <c r="L496" s="4">
        <f t="shared" si="14"/>
        <v>136.53254247431192</v>
      </c>
      <c r="M496" s="4">
        <f>L496/MAX(L$2:L496)-1</f>
        <v>-2.5370945484871621E-3</v>
      </c>
      <c r="N496" s="4">
        <f t="shared" si="15"/>
        <v>5.5499266153155702E-2</v>
      </c>
    </row>
    <row r="497" spans="1:14">
      <c r="A497" s="3">
        <f>prices!A498</f>
        <v>44202</v>
      </c>
      <c r="B497" s="5">
        <f>prices!B498/prices!B497-1</f>
        <v>-2.6369465511218215E-2</v>
      </c>
      <c r="C497" s="5">
        <f>prices!C498/prices!C497-1</f>
        <v>-1.3417601730431272E-2</v>
      </c>
      <c r="D497" s="5">
        <f>prices!D498/prices!D497-1</f>
        <v>-4.3028871470053298E-3</v>
      </c>
      <c r="E497" s="5">
        <f>prices!E498/prices!E497-1</f>
        <v>-9.0417373052392724E-3</v>
      </c>
      <c r="F497" s="5">
        <f>prices!F498/prices!F497-1</f>
        <v>-2.8558763931104347E-2</v>
      </c>
      <c r="G497" s="5">
        <f>prices!G498/prices!G497-1</f>
        <v>-3.5075547332715784E-3</v>
      </c>
      <c r="H497" s="5">
        <f>prices!H498/prices!H497-1</f>
        <v>3.0639197041733013E-3</v>
      </c>
      <c r="I497" s="5">
        <f>prices!I498/prices!I497-1</f>
        <v>5.8976385008269183E-3</v>
      </c>
      <c r="J497" s="5">
        <f>prices!J498/prices!J497-1</f>
        <v>-3.7501320469031096E-3</v>
      </c>
      <c r="K497" s="8">
        <f>SUMPRODUCT(B497:I497,weights!$B$5:$I$5)</f>
        <v>-7.0664717319903932E-3</v>
      </c>
      <c r="L497" s="4">
        <f t="shared" si="14"/>
        <v>135.56773912242042</v>
      </c>
      <c r="M497" s="4">
        <f>L497/MAX(L$2:L497)-1</f>
        <v>-9.585637973569261E-3</v>
      </c>
      <c r="N497" s="4">
        <f t="shared" si="15"/>
        <v>4.5812578434553775E-2</v>
      </c>
    </row>
    <row r="498" spans="1:14">
      <c r="A498" s="3">
        <f>prices!A499</f>
        <v>44203</v>
      </c>
      <c r="B498" s="5">
        <f>prices!B499/prices!B498-1</f>
        <v>-1.6203891248740554E-3</v>
      </c>
      <c r="C498" s="5">
        <f>prices!C499/prices!C498-1</f>
        <v>-6.1282206463940669E-3</v>
      </c>
      <c r="D498" s="5">
        <f>prices!D499/prices!D498-1</f>
        <v>-3.0220153820582629E-3</v>
      </c>
      <c r="E498" s="5">
        <f>prices!E499/prices!E498-1</f>
        <v>-1.5560081466395204E-2</v>
      </c>
      <c r="F498" s="5">
        <f>prices!F499/prices!F498-1</f>
        <v>-1.2711035786454494E-2</v>
      </c>
      <c r="G498" s="5">
        <f>prices!G499/prices!G498-1</f>
        <v>-8.2002088732450185E-3</v>
      </c>
      <c r="H498" s="5">
        <f>prices!H499/prices!H498-1</f>
        <v>-5.6175830348991207E-3</v>
      </c>
      <c r="I498" s="5">
        <f>prices!I499/prices!I498-1</f>
        <v>1.899016074826898E-2</v>
      </c>
      <c r="J498" s="5">
        <f>prices!J499/prices!J498-1</f>
        <v>-6.2914199876284993E-4</v>
      </c>
      <c r="K498" s="8">
        <f>SUMPRODUCT(B498:I498,weights!$B$5:$I$5)</f>
        <v>-2.0509758672092164E-3</v>
      </c>
      <c r="L498" s="4">
        <f t="shared" si="14"/>
        <v>135.28969296110822</v>
      </c>
      <c r="M498" s="4">
        <f>L498/MAX(L$2:L498)-1</f>
        <v>-1.1616953928622942E-2</v>
      </c>
      <c r="N498" s="4">
        <f t="shared" si="15"/>
        <v>3.5855310971276921E-2</v>
      </c>
    </row>
    <row r="499" spans="1:14">
      <c r="A499" s="3">
        <f>prices!A500</f>
        <v>44204</v>
      </c>
      <c r="B499" s="5">
        <f>prices!B500/prices!B499-1</f>
        <v>1.1790074079226498E-2</v>
      </c>
      <c r="C499" s="5">
        <f>prices!C500/prices!C499-1</f>
        <v>2.9049171035850918E-2</v>
      </c>
      <c r="D499" s="5">
        <f>prices!D500/prices!D499-1</f>
        <v>1.0866764674679175E-2</v>
      </c>
      <c r="E499" s="5">
        <f>prices!E500/prices!E499-1</f>
        <v>3.9574828055463529E-2</v>
      </c>
      <c r="F499" s="5">
        <f>prices!F500/prices!F499-1</f>
        <v>-6.4043311765482613E-3</v>
      </c>
      <c r="G499" s="5">
        <f>prices!G500/prices!G499-1</f>
        <v>5.9324630753202268E-2</v>
      </c>
      <c r="H499" s="5">
        <f>prices!H500/prices!H499-1</f>
        <v>3.1406680319186364E-2</v>
      </c>
      <c r="I499" s="5">
        <f>prices!I500/prices!I499-1</f>
        <v>2.5725184773106591E-2</v>
      </c>
      <c r="J499" s="5">
        <f>prices!J500/prices!J499-1</f>
        <v>1.4847195549378078E-2</v>
      </c>
      <c r="K499" s="8">
        <f>SUMPRODUCT(B499:I499,weights!$B$5:$I$5)</f>
        <v>2.9013904390428967E-2</v>
      </c>
      <c r="L499" s="4">
        <f t="shared" si="14"/>
        <v>139.21497517769231</v>
      </c>
      <c r="M499" s="4">
        <f>L499/MAX(L$2:L499)-1</f>
        <v>0</v>
      </c>
      <c r="N499" s="4">
        <f t="shared" si="15"/>
        <v>6.5584026253167282E-2</v>
      </c>
    </row>
    <row r="500" spans="1:14">
      <c r="A500" s="3">
        <f>prices!A501</f>
        <v>44207</v>
      </c>
      <c r="B500" s="5">
        <f>prices!B501/prices!B500-1</f>
        <v>-1.8848251523901238E-2</v>
      </c>
      <c r="C500" s="5">
        <f>prices!C501/prices!C500-1</f>
        <v>1.7797196811242699E-2</v>
      </c>
      <c r="D500" s="5">
        <f>prices!D501/prices!D500-1</f>
        <v>1.3823502953611788E-2</v>
      </c>
      <c r="E500" s="5">
        <f>prices!E501/prices!E500-1</f>
        <v>4.8859012913497368E-2</v>
      </c>
      <c r="F500" s="5">
        <f>prices!F501/prices!F500-1</f>
        <v>4.9837198484949941E-3</v>
      </c>
      <c r="G500" s="5">
        <f>prices!G501/prices!G500-1</f>
        <v>2.7180687406316517E-2</v>
      </c>
      <c r="H500" s="5">
        <f>prices!H501/prices!H500-1</f>
        <v>3.0809783817997705E-4</v>
      </c>
      <c r="I500" s="5">
        <f>prices!I501/prices!I500-1</f>
        <v>-1.7037662609342474E-2</v>
      </c>
      <c r="J500" s="5">
        <f>prices!J501/prices!J500-1</f>
        <v>9.5837181341371647E-3</v>
      </c>
      <c r="K500" s="8">
        <f>SUMPRODUCT(B500:I500,weights!$B$5:$I$5)</f>
        <v>6.7226052488074516E-3</v>
      </c>
      <c r="L500" s="4">
        <f t="shared" si="14"/>
        <v>140.15086250053446</v>
      </c>
      <c r="M500" s="4">
        <f>L500/MAX(L$2:L500)-1</f>
        <v>0</v>
      </c>
      <c r="N500" s="4">
        <f t="shared" si="15"/>
        <v>7.0403019792776522E-2</v>
      </c>
    </row>
    <row r="501" spans="1:14">
      <c r="A501" s="3">
        <f>prices!A502</f>
        <v>44208</v>
      </c>
      <c r="B501" s="5">
        <f>prices!B502/prices!B501-1</f>
        <v>3.1518959255409928E-2</v>
      </c>
      <c r="C501" s="5">
        <f>prices!C502/prices!C501-1</f>
        <v>-5.0461466454099213E-4</v>
      </c>
      <c r="D501" s="5">
        <f>prices!D502/prices!D501-1</f>
        <v>2.0363797692990238E-2</v>
      </c>
      <c r="E501" s="5">
        <f>prices!E502/prices!E501-1</f>
        <v>-3.2382108884840832E-3</v>
      </c>
      <c r="F501" s="5">
        <f>prices!F502/prices!F501-1</f>
        <v>1.9505421846072402E-2</v>
      </c>
      <c r="G501" s="5">
        <f>prices!G502/prices!G501-1</f>
        <v>-5.4300241163730556E-3</v>
      </c>
      <c r="H501" s="5">
        <f>prices!H502/prices!H501-1</f>
        <v>-1.8274841292927779E-2</v>
      </c>
      <c r="I501" s="5">
        <f>prices!I502/prices!I501-1</f>
        <v>-1.4976195730997954E-4</v>
      </c>
      <c r="J501" s="5">
        <f>prices!J502/prices!J501-1</f>
        <v>5.4333005402233958E-3</v>
      </c>
      <c r="K501" s="8">
        <f>SUMPRODUCT(B501:I501,weights!$B$5:$I$5)</f>
        <v>2.9967907282985851E-3</v>
      </c>
      <c r="L501" s="4">
        <f t="shared" si="14"/>
        <v>140.57086530583911</v>
      </c>
      <c r="M501" s="4">
        <f>L501/MAX(L$2:L501)-1</f>
        <v>0</v>
      </c>
      <c r="N501" s="4">
        <f t="shared" si="15"/>
        <v>6.3755688278794853E-2</v>
      </c>
    </row>
    <row r="502" spans="1:14">
      <c r="A502" s="3">
        <f>prices!A503</f>
        <v>44209</v>
      </c>
      <c r="B502" s="5">
        <f>prices!B503/prices!B502-1</f>
        <v>-9.3173327295368313E-3</v>
      </c>
      <c r="C502" s="5">
        <f>prices!C503/prices!C502-1</f>
        <v>-5.0047926011020927E-3</v>
      </c>
      <c r="D502" s="5">
        <f>prices!D503/prices!D502-1</f>
        <v>-6.9858109772888977E-3</v>
      </c>
      <c r="E502" s="5">
        <f>prices!E503/prices!E502-1</f>
        <v>1.1226734348561695E-2</v>
      </c>
      <c r="F502" s="5">
        <f>prices!F503/prices!F502-1</f>
        <v>2.321810752967135E-2</v>
      </c>
      <c r="G502" s="5">
        <f>prices!G503/prices!G502-1</f>
        <v>-5.8856841319484543E-3</v>
      </c>
      <c r="H502" s="5">
        <f>prices!H503/prices!H502-1</f>
        <v>-1.2043992818921767E-2</v>
      </c>
      <c r="I502" s="5">
        <f>prices!I503/prices!I502-1</f>
        <v>2.0023807834510521E-3</v>
      </c>
      <c r="J502" s="5">
        <f>prices!J503/prices!J502-1</f>
        <v>9.6131067844451579E-5</v>
      </c>
      <c r="K502" s="8">
        <f>SUMPRODUCT(B502:I502,weights!$B$5:$I$5)</f>
        <v>-1.8179440922408757E-3</v>
      </c>
      <c r="L502" s="4">
        <f t="shared" si="14"/>
        <v>140.31531533171517</v>
      </c>
      <c r="M502" s="4">
        <f>L502/MAX(L$2:L502)-1</f>
        <v>-1.8179440922408974E-3</v>
      </c>
      <c r="N502" s="4">
        <f t="shared" si="15"/>
        <v>6.4834527011670584E-2</v>
      </c>
    </row>
    <row r="503" spans="1:14">
      <c r="A503" s="3">
        <f>prices!A504</f>
        <v>44210</v>
      </c>
      <c r="B503" s="5">
        <f>prices!B504/prices!B503-1</f>
        <v>1.1244814700538175E-2</v>
      </c>
      <c r="C503" s="5">
        <f>prices!C504/prices!C503-1</f>
        <v>3.0999742618671222E-2</v>
      </c>
      <c r="D503" s="5">
        <f>prices!D504/prices!D503-1</f>
        <v>-1.2989856235861019E-3</v>
      </c>
      <c r="E503" s="5">
        <f>prices!E504/prices!E503-1</f>
        <v>-1.2005655625925482E-2</v>
      </c>
      <c r="F503" s="5">
        <f>prices!F504/prices!F503-1</f>
        <v>1.3754199150662227E-2</v>
      </c>
      <c r="G503" s="5">
        <f>prices!G504/prices!G503-1</f>
        <v>1.1794452852613713E-3</v>
      </c>
      <c r="H503" s="5">
        <f>prices!H504/prices!H503-1</f>
        <v>7.8861014078541736E-3</v>
      </c>
      <c r="I503" s="5">
        <f>prices!I504/prices!I503-1</f>
        <v>1.7820193071760748E-2</v>
      </c>
      <c r="J503" s="5">
        <f>prices!J504/prices!J503-1</f>
        <v>2.1112472837001572E-3</v>
      </c>
      <c r="K503" s="8">
        <f>SUMPRODUCT(B503:I503,weights!$B$5:$I$5)</f>
        <v>9.1176191404445366E-3</v>
      </c>
      <c r="L503" s="4">
        <f t="shared" si="14"/>
        <v>141.59465693648113</v>
      </c>
      <c r="M503" s="4">
        <f>L503/MAX(L$2:L503)-1</f>
        <v>0</v>
      </c>
      <c r="N503" s="4">
        <f t="shared" si="15"/>
        <v>6.4529838791352212E-2</v>
      </c>
    </row>
    <row r="504" spans="1:14">
      <c r="A504" s="3">
        <f>prices!A505</f>
        <v>44211</v>
      </c>
      <c r="B504" s="5">
        <f>prices!B505/prices!B504-1</f>
        <v>-1.1809110531014411E-2</v>
      </c>
      <c r="C504" s="5">
        <f>prices!C505/prices!C504-1</f>
        <v>-5.3352163508689765E-3</v>
      </c>
      <c r="D504" s="5">
        <f>prices!D505/prices!D504-1</f>
        <v>-1.4175898050449165E-3</v>
      </c>
      <c r="E504" s="5">
        <f>prices!E505/prices!E504-1</f>
        <v>-1.8638011042238278E-2</v>
      </c>
      <c r="F504" s="5">
        <f>prices!F505/prices!F504-1</f>
        <v>1.7256471176691157E-2</v>
      </c>
      <c r="G504" s="5">
        <f>prices!G505/prices!G504-1</f>
        <v>-1.5301794369125821E-2</v>
      </c>
      <c r="H504" s="5">
        <f>prices!H505/prices!H504-1</f>
        <v>-4.5335993978538047E-3</v>
      </c>
      <c r="I504" s="5">
        <f>prices!I505/prices!I504-1</f>
        <v>-1.6310061220703886E-2</v>
      </c>
      <c r="J504" s="5">
        <f>prices!J505/prices!J504-1</f>
        <v>-1.1092384006138767E-2</v>
      </c>
      <c r="K504" s="8">
        <f>SUMPRODUCT(B504:I504,weights!$B$5:$I$5)</f>
        <v>-9.084910852177313E-3</v>
      </c>
      <c r="L504" s="4">
        <f t="shared" si="14"/>
        <v>140.30828210106856</v>
      </c>
      <c r="M504" s="4">
        <f>L504/MAX(L$2:L504)-1</f>
        <v>-9.0849108521774413E-3</v>
      </c>
      <c r="N504" s="4">
        <f t="shared" si="15"/>
        <v>5.5024954444831131E-2</v>
      </c>
    </row>
    <row r="505" spans="1:14">
      <c r="A505" s="3">
        <f>prices!A506</f>
        <v>44214</v>
      </c>
      <c r="B505" s="5">
        <f>prices!B506/prices!B505-1</f>
        <v>2.3991949317292871E-2</v>
      </c>
      <c r="C505" s="5">
        <f>prices!C506/prices!C505-1</f>
        <v>-3.589035693157272E-3</v>
      </c>
      <c r="D505" s="5">
        <f>prices!D506/prices!D505-1</f>
        <v>1.1210467005224878E-2</v>
      </c>
      <c r="E505" s="5">
        <f>prices!E506/prices!E505-1</f>
        <v>-2.4462641620143222E-2</v>
      </c>
      <c r="F505" s="5">
        <f>prices!F506/prices!F505-1</f>
        <v>8.7277197295636544E-3</v>
      </c>
      <c r="G505" s="5">
        <f>prices!G506/prices!G505-1</f>
        <v>-2.4188581371679896E-2</v>
      </c>
      <c r="H505" s="5">
        <f>prices!H506/prices!H505-1</f>
        <v>-3.7823105327940865E-2</v>
      </c>
      <c r="I505" s="5">
        <f>prices!I506/prices!I505-1</f>
        <v>-1.3366546700403936E-2</v>
      </c>
      <c r="J505" s="5">
        <f>prices!J506/prices!J505-1</f>
        <v>-1.0558623222042929E-2</v>
      </c>
      <c r="K505" s="8">
        <f>SUMPRODUCT(B505:I505,weights!$B$5:$I$5)</f>
        <v>-1.0811163770153606E-2</v>
      </c>
      <c r="L505" s="4">
        <f t="shared" si="14"/>
        <v>138.791386284965</v>
      </c>
      <c r="M505" s="4">
        <f>L505/MAX(L$2:L505)-1</f>
        <v>-1.9797856163270788E-2</v>
      </c>
      <c r="N505" s="4">
        <f t="shared" si="15"/>
        <v>4.3291700931896271E-2</v>
      </c>
    </row>
    <row r="506" spans="1:14">
      <c r="A506" s="3">
        <f>prices!A507</f>
        <v>44215</v>
      </c>
      <c r="B506" s="5">
        <f>prices!B507/prices!B506-1</f>
        <v>1.6360671848476782E-2</v>
      </c>
      <c r="C506" s="5">
        <f>prices!C507/prices!C506-1</f>
        <v>1.2090506074039942E-2</v>
      </c>
      <c r="D506" s="5">
        <f>prices!D507/prices!D506-1</f>
        <v>1.3995223967001813E-2</v>
      </c>
      <c r="E506" s="5">
        <f>prices!E507/prices!E506-1</f>
        <v>3.5026889329181632E-3</v>
      </c>
      <c r="F506" s="5">
        <f>prices!F507/prices!F506-1</f>
        <v>-4.0823787472582529E-3</v>
      </c>
      <c r="G506" s="5">
        <f>prices!G507/prices!G506-1</f>
        <v>1.1743394845072253E-2</v>
      </c>
      <c r="H506" s="5">
        <f>prices!H507/prices!H506-1</f>
        <v>2.5969041831904738E-2</v>
      </c>
      <c r="I506" s="5">
        <f>prices!I507/prices!I506-1</f>
        <v>2.5295284213544544E-2</v>
      </c>
      <c r="J506" s="5">
        <f>prices!J507/prices!J506-1</f>
        <v>1.6794689559073817E-2</v>
      </c>
      <c r="K506" s="8">
        <f>SUMPRODUCT(B506:I506,weights!$B$5:$I$5)</f>
        <v>1.5322518349374065E-2</v>
      </c>
      <c r="L506" s="4">
        <f t="shared" si="14"/>
        <v>140.91801984805144</v>
      </c>
      <c r="M506" s="4">
        <f>L506/MAX(L$2:L506)-1</f>
        <v>-4.7786908282366758E-3</v>
      </c>
      <c r="N506" s="4">
        <f t="shared" si="15"/>
        <v>9.1792789552862297E-2</v>
      </c>
    </row>
    <row r="507" spans="1:14">
      <c r="A507" s="3">
        <f>prices!A508</f>
        <v>44216</v>
      </c>
      <c r="B507" s="5">
        <f>prices!B508/prices!B507-1</f>
        <v>1.8998121064949469E-2</v>
      </c>
      <c r="C507" s="5">
        <f>prices!C508/prices!C507-1</f>
        <v>1.4751265714773476E-2</v>
      </c>
      <c r="D507" s="5">
        <f>prices!D508/prices!D507-1</f>
        <v>-7.878735976706297E-3</v>
      </c>
      <c r="E507" s="5">
        <f>prices!E508/prices!E507-1</f>
        <v>1.732010013045171E-2</v>
      </c>
      <c r="F507" s="5">
        <f>prices!F508/prices!F507-1</f>
        <v>-5.5062710308961815E-3</v>
      </c>
      <c r="G507" s="5">
        <f>prices!G508/prices!G507-1</f>
        <v>2.8065316807265983E-2</v>
      </c>
      <c r="H507" s="5">
        <f>prices!H508/prices!H507-1</f>
        <v>-3.0993943712148697E-3</v>
      </c>
      <c r="I507" s="5">
        <f>prices!I508/prices!I507-1</f>
        <v>9.3449232131621596E-3</v>
      </c>
      <c r="J507" s="5">
        <f>prices!J508/prices!J507-1</f>
        <v>8.508279302947841E-3</v>
      </c>
      <c r="K507" s="8">
        <f>SUMPRODUCT(B507:I507,weights!$B$5:$I$5)</f>
        <v>1.09637610677826E-2</v>
      </c>
      <c r="L507" s="4">
        <f t="shared" si="14"/>
        <v>142.46301134781052</v>
      </c>
      <c r="M507" s="4">
        <f>L507/MAX(L$2:L507)-1</f>
        <v>0</v>
      </c>
      <c r="N507" s="4">
        <f t="shared" si="15"/>
        <v>8.8524540174558686E-2</v>
      </c>
    </row>
    <row r="508" spans="1:14">
      <c r="A508" s="3">
        <f>prices!A509</f>
        <v>44217</v>
      </c>
      <c r="B508" s="5">
        <f>prices!B509/prices!B508-1</f>
        <v>2.1749444672086948E-2</v>
      </c>
      <c r="C508" s="5">
        <f>prices!C509/prices!C508-1</f>
        <v>-1.056363935770277E-2</v>
      </c>
      <c r="D508" s="5">
        <f>prices!D509/prices!D508-1</f>
        <v>-1.1537908214645398E-2</v>
      </c>
      <c r="E508" s="5">
        <f>prices!E509/prices!E508-1</f>
        <v>1.8194893299949833E-4</v>
      </c>
      <c r="F508" s="5">
        <f>prices!F509/prices!F508-1</f>
        <v>-1.8148262073208299E-2</v>
      </c>
      <c r="G508" s="5">
        <f>prices!G509/prices!G508-1</f>
        <v>-8.3738635055073951E-3</v>
      </c>
      <c r="H508" s="5">
        <f>prices!H509/prices!H508-1</f>
        <v>-1.9833470321266478E-2</v>
      </c>
      <c r="I508" s="5">
        <f>prices!I509/prices!I508-1</f>
        <v>-8.20403891146404E-3</v>
      </c>
      <c r="J508" s="5">
        <f>prices!J509/prices!J508-1</f>
        <v>-3.711240243910785E-3</v>
      </c>
      <c r="K508" s="8">
        <f>SUMPRODUCT(B508:I508,weights!$B$5:$I$5)</f>
        <v>-6.7541003214583034E-3</v>
      </c>
      <c r="L508" s="4">
        <f t="shared" si="14"/>
        <v>141.50080187707036</v>
      </c>
      <c r="M508" s="4">
        <f>L508/MAX(L$2:L508)-1</f>
        <v>-6.7541003214582895E-3</v>
      </c>
      <c r="N508" s="4">
        <f t="shared" si="15"/>
        <v>7.1316944475860122E-2</v>
      </c>
    </row>
    <row r="509" spans="1:14">
      <c r="A509" s="3">
        <f>prices!A510</f>
        <v>44218</v>
      </c>
      <c r="B509" s="5">
        <f>prices!B510/prices!B509-1</f>
        <v>-2.3713788190596663E-2</v>
      </c>
      <c r="C509" s="5">
        <f>prices!C510/prices!C509-1</f>
        <v>8.9341992507028234E-3</v>
      </c>
      <c r="D509" s="5">
        <f>prices!D510/prices!D509-1</f>
        <v>-2.1191127670722509E-2</v>
      </c>
      <c r="E509" s="5">
        <f>prices!E510/prices!E509-1</f>
        <v>8.6626587432214741E-4</v>
      </c>
      <c r="F509" s="5">
        <f>prices!F510/prices!F509-1</f>
        <v>-1.4035087719298178E-2</v>
      </c>
      <c r="G509" s="5">
        <f>prices!G510/prices!G509-1</f>
        <v>-3.4537694625194071E-3</v>
      </c>
      <c r="H509" s="5">
        <f>prices!H510/prices!H509-1</f>
        <v>-1.3216421175441195E-2</v>
      </c>
      <c r="I509" s="5">
        <f>prices!I510/prices!I509-1</f>
        <v>-6.7121905796539982E-3</v>
      </c>
      <c r="J509" s="5">
        <f>prices!J510/prices!J509-1</f>
        <v>-1.4972224792414224E-2</v>
      </c>
      <c r="K509" s="8">
        <f>SUMPRODUCT(B509:I509,weights!$B$5:$I$5)</f>
        <v>-8.8968799981170073E-3</v>
      </c>
      <c r="L509" s="4">
        <f t="shared" si="14"/>
        <v>140.24188622313272</v>
      </c>
      <c r="M509" s="4">
        <f>L509/MAX(L$2:L509)-1</f>
        <v>-1.5590889899520066E-2</v>
      </c>
      <c r="N509" s="4">
        <f t="shared" si="15"/>
        <v>5.4072498054646756E-2</v>
      </c>
    </row>
    <row r="510" spans="1:14">
      <c r="A510" s="3">
        <f>prices!A511</f>
        <v>44221</v>
      </c>
      <c r="B510" s="5">
        <f>prices!B511/prices!B510-1</f>
        <v>-5.2990011674666104E-2</v>
      </c>
      <c r="C510" s="5">
        <f>prices!C511/prices!C510-1</f>
        <v>-3.5729202129712867E-3</v>
      </c>
      <c r="D510" s="5">
        <f>prices!D511/prices!D510-1</f>
        <v>1.3382501635639033E-2</v>
      </c>
      <c r="E510" s="5">
        <f>prices!E511/prices!E510-1</f>
        <v>-1.1753708736519708E-2</v>
      </c>
      <c r="F510" s="5">
        <f>prices!F511/prices!F510-1</f>
        <v>-1.3726487036095691E-2</v>
      </c>
      <c r="G510" s="5">
        <f>prices!G511/prices!G510-1</f>
        <v>-8.3677899659841959E-3</v>
      </c>
      <c r="H510" s="5">
        <f>prices!H511/prices!H510-1</f>
        <v>1.9471282629177411E-2</v>
      </c>
      <c r="I510" s="5">
        <f>prices!I511/prices!I510-1</f>
        <v>-5.8591461271040313E-4</v>
      </c>
      <c r="J510" s="5">
        <f>prices!J511/prices!J510-1</f>
        <v>-9.2541695948343827E-3</v>
      </c>
      <c r="K510" s="8">
        <f>SUMPRODUCT(B510:I510,weights!$B$5:$I$5)</f>
        <v>-7.012699707512237E-3</v>
      </c>
      <c r="L510" s="4">
        <f t="shared" si="14"/>
        <v>139.25841198863478</v>
      </c>
      <c r="M510" s="4">
        <f>L510/MAX(L$2:L510)-1</f>
        <v>-2.2494255377994321E-2</v>
      </c>
      <c r="N510" s="4">
        <f t="shared" si="15"/>
        <v>3.9410054945252959E-2</v>
      </c>
    </row>
    <row r="511" spans="1:14">
      <c r="A511" s="3">
        <f>prices!A512</f>
        <v>44223</v>
      </c>
      <c r="B511" s="5">
        <f>prices!B512/prices!B511-1</f>
        <v>-2.3697007054311325E-2</v>
      </c>
      <c r="C511" s="5">
        <f>prices!C512/prices!C511-1</f>
        <v>-9.1897584738449556E-3</v>
      </c>
      <c r="D511" s="5">
        <f>prices!D512/prices!D511-1</f>
        <v>-3.6403920647963273E-2</v>
      </c>
      <c r="E511" s="5">
        <f>prices!E512/prices!E511-1</f>
        <v>-1.8181818181818188E-2</v>
      </c>
      <c r="F511" s="5">
        <f>prices!F512/prices!F511-1</f>
        <v>1.3724226804123774E-2</v>
      </c>
      <c r="G511" s="5">
        <f>prices!G512/prices!G511-1</f>
        <v>-1.3857145309234209E-2</v>
      </c>
      <c r="H511" s="5">
        <f>prices!H512/prices!H511-1</f>
        <v>-2.8304792969103931E-2</v>
      </c>
      <c r="I511" s="5">
        <f>prices!I512/prices!I511-1</f>
        <v>-1.0630813726255628E-3</v>
      </c>
      <c r="J511" s="5">
        <f>prices!J512/prices!J511-1</f>
        <v>-1.9060461131126694E-2</v>
      </c>
      <c r="K511" s="8">
        <f>SUMPRODUCT(B511:I511,weights!$B$5:$I$5)</f>
        <v>-1.4095442065933028E-2</v>
      </c>
      <c r="L511" s="4">
        <f t="shared" si="14"/>
        <v>137.29550311025514</v>
      </c>
      <c r="M511" s="4">
        <f>L511/MAX(L$2:L511)-1</f>
        <v>-3.6272630970430431E-2</v>
      </c>
      <c r="N511" s="4">
        <f t="shared" si="15"/>
        <v>2.3840745545752551E-2</v>
      </c>
    </row>
    <row r="512" spans="1:14">
      <c r="A512" s="3">
        <f>prices!A513</f>
        <v>44224</v>
      </c>
      <c r="B512" s="5">
        <f>prices!B513/prices!B512-1</f>
        <v>-9.7392727697882542E-3</v>
      </c>
      <c r="C512" s="5">
        <f>prices!C513/prices!C512-1</f>
        <v>-1.9780016637397146E-2</v>
      </c>
      <c r="D512" s="5">
        <f>prices!D513/prices!D512-1</f>
        <v>-2.7074355499383418E-2</v>
      </c>
      <c r="E512" s="5">
        <f>prices!E513/prices!E512-1</f>
        <v>-1.9062656105045206E-2</v>
      </c>
      <c r="F512" s="5">
        <f>prices!F513/prices!F512-1</f>
        <v>-1.9258882603444993E-2</v>
      </c>
      <c r="G512" s="5">
        <f>prices!G513/prices!G512-1</f>
        <v>-3.5878780413348466E-2</v>
      </c>
      <c r="H512" s="5">
        <f>prices!H513/prices!H512-1</f>
        <v>-9.5667903698040124E-3</v>
      </c>
      <c r="I512" s="5">
        <f>prices!I513/prices!I512-1</f>
        <v>-1.066560245394943E-2</v>
      </c>
      <c r="J512" s="5">
        <f>prices!J513/prices!J512-1</f>
        <v>-1.0735636298550233E-2</v>
      </c>
      <c r="K512" s="8">
        <f>SUMPRODUCT(B512:I512,weights!$B$5:$I$5)</f>
        <v>-1.8733253726203086E-2</v>
      </c>
      <c r="L512" s="4">
        <f t="shared" si="14"/>
        <v>134.72351161502402</v>
      </c>
      <c r="M512" s="4">
        <f>L512/MAX(L$2:L512)-1</f>
        <v>-5.4326380297347598E-2</v>
      </c>
      <c r="N512" s="4">
        <f t="shared" si="15"/>
        <v>1.4593117882080175E-3</v>
      </c>
    </row>
    <row r="513" spans="1:14">
      <c r="A513" s="3">
        <f>prices!A514</f>
        <v>44225</v>
      </c>
      <c r="B513" s="5">
        <f>prices!B514/prices!B513-1</f>
        <v>-1.8442211648582618E-2</v>
      </c>
      <c r="C513" s="5">
        <f>prices!C514/prices!C513-1</f>
        <v>-2.6652885068726762E-2</v>
      </c>
      <c r="D513" s="5">
        <f>prices!D514/prices!D513-1</f>
        <v>1.3898236113502271E-2</v>
      </c>
      <c r="E513" s="5">
        <f>prices!E514/prices!E513-1</f>
        <v>-2.9108732619785971E-2</v>
      </c>
      <c r="F513" s="5">
        <f>prices!F514/prices!F513-1</f>
        <v>-1.6202203499675938E-2</v>
      </c>
      <c r="G513" s="5">
        <f>prices!G514/prices!G513-1</f>
        <v>-5.031947883496124E-2</v>
      </c>
      <c r="H513" s="5">
        <f>prices!H514/prices!H513-1</f>
        <v>3.8712106947843994E-2</v>
      </c>
      <c r="I513" s="5">
        <f>prices!I514/prices!I513-1</f>
        <v>-7.9173620393732103E-3</v>
      </c>
      <c r="J513" s="5">
        <f>prices!J514/prices!J513-1</f>
        <v>-1.3240408031814588E-2</v>
      </c>
      <c r="K513" s="8">
        <f>SUMPRODUCT(B513:I513,weights!$B$5:$I$5)</f>
        <v>-1.2977661969614279E-2</v>
      </c>
      <c r="L513" s="4">
        <f t="shared" si="14"/>
        <v>132.97511542192484</v>
      </c>
      <c r="M513" s="4">
        <f>L513/MAX(L$2:L513)-1</f>
        <v>-6.6599012867430196E-2</v>
      </c>
      <c r="N513" s="4">
        <f t="shared" si="15"/>
        <v>-1.1848503970949054E-2</v>
      </c>
    </row>
    <row r="514" spans="1:14">
      <c r="A514" s="3">
        <f>prices!A515</f>
        <v>44228</v>
      </c>
      <c r="B514" s="5">
        <f>prices!B515/prices!B514-1</f>
        <v>2.8964936548986575E-2</v>
      </c>
      <c r="C514" s="5">
        <f>prices!C515/prices!C514-1</f>
        <v>8.9984015261885819E-3</v>
      </c>
      <c r="D514" s="5">
        <f>prices!D515/prices!D514-1</f>
        <v>6.2024358994149598E-2</v>
      </c>
      <c r="E514" s="5">
        <f>prices!E515/prices!E514-1</f>
        <v>1.7627334544705109E-2</v>
      </c>
      <c r="F514" s="5">
        <f>prices!F515/prices!F514-1</f>
        <v>6.2516469038208067E-2</v>
      </c>
      <c r="G514" s="5">
        <f>prices!G515/prices!G514-1</f>
        <v>2.680139505297241E-2</v>
      </c>
      <c r="H514" s="5">
        <f>prices!H515/prices!H514-1</f>
        <v>6.7432839067542716E-3</v>
      </c>
      <c r="I514" s="5">
        <f>prices!I515/prices!I514-1</f>
        <v>8.5529777565175769E-2</v>
      </c>
      <c r="J514" s="5">
        <f>prices!J515/prices!J514-1</f>
        <v>4.7423466768368838E-2</v>
      </c>
      <c r="K514" s="8">
        <f>SUMPRODUCT(B514:I514,weights!$B$5:$I$5)</f>
        <v>3.888514552763761E-2</v>
      </c>
      <c r="L514" s="4">
        <f t="shared" si="14"/>
        <v>138.14587213666078</v>
      </c>
      <c r="M514" s="4">
        <f>L514/MAX(L$2:L514)-1</f>
        <v>-3.03035796471397E-2</v>
      </c>
      <c r="N514" s="4">
        <f t="shared" si="15"/>
        <v>1.9119252424308231E-2</v>
      </c>
    </row>
    <row r="515" spans="1:14">
      <c r="A515" s="3">
        <f>prices!A516</f>
        <v>44229</v>
      </c>
      <c r="B515" s="5">
        <f>prices!B516/prices!B515-1</f>
        <v>1.6097167506400334E-2</v>
      </c>
      <c r="C515" s="5">
        <f>prices!C516/prices!C515-1</f>
        <v>2.0421276532888388E-2</v>
      </c>
      <c r="D515" s="5">
        <f>prices!D516/prices!D515-1</f>
        <v>5.6745010828645803E-2</v>
      </c>
      <c r="E515" s="5">
        <f>prices!E516/prices!E515-1</f>
        <v>8.2099992636772701E-3</v>
      </c>
      <c r="F515" s="5">
        <f>prices!F516/prices!F515-1</f>
        <v>1.0416020832041628E-2</v>
      </c>
      <c r="G515" s="5">
        <f>prices!G516/prices!G515-1</f>
        <v>3.444592714331085E-2</v>
      </c>
      <c r="H515" s="5">
        <f>prices!H516/prices!H515-1</f>
        <v>3.2698332673124719E-2</v>
      </c>
      <c r="I515" s="5">
        <f>prices!I516/prices!I515-1</f>
        <v>4.9244260344599722E-2</v>
      </c>
      <c r="J515" s="5">
        <f>prices!J516/prices!J515-1</f>
        <v>2.5673612861664363E-2</v>
      </c>
      <c r="K515" s="8">
        <f>SUMPRODUCT(B515:I515,weights!$B$5:$I$5)</f>
        <v>3.0955666795022409E-2</v>
      </c>
      <c r="L515" s="4">
        <f t="shared" si="14"/>
        <v>142.42226972363102</v>
      </c>
      <c r="M515" s="4">
        <f>L515/MAX(L$2:L515)-1</f>
        <v>-2.8598036637061952E-4</v>
      </c>
      <c r="N515" s="4">
        <f t="shared" si="15"/>
        <v>4.0491361143884408E-2</v>
      </c>
    </row>
    <row r="516" spans="1:14">
      <c r="A516" s="3">
        <f>prices!A517</f>
        <v>44230</v>
      </c>
      <c r="B516" s="5">
        <f>prices!B517/prices!B516-1</f>
        <v>2.5195582144499351E-3</v>
      </c>
      <c r="C516" s="5">
        <f>prices!C517/prices!C516-1</f>
        <v>-1.0639606841195137E-3</v>
      </c>
      <c r="D516" s="5">
        <f>prices!D517/prices!D516-1</f>
        <v>9.1330481548217435E-3</v>
      </c>
      <c r="E516" s="5">
        <f>prices!E517/prices!E516-1</f>
        <v>1.054409348183305E-2</v>
      </c>
      <c r="F516" s="5">
        <f>prices!F517/prices!F516-1</f>
        <v>-6.6883475486285704E-3</v>
      </c>
      <c r="G516" s="5">
        <f>prices!G517/prices!G516-1</f>
        <v>-8.5563632358610642E-3</v>
      </c>
      <c r="H516" s="5">
        <f>prices!H517/prices!H516-1</f>
        <v>3.2412734944380572E-2</v>
      </c>
      <c r="I516" s="5">
        <f>prices!I517/prices!I516-1</f>
        <v>5.4947747142366499E-3</v>
      </c>
      <c r="J516" s="5">
        <f>prices!J517/prices!J516-1</f>
        <v>9.7010824114118765E-3</v>
      </c>
      <c r="K516" s="8">
        <f>SUMPRODUCT(B516:I516,weights!$B$5:$I$5)</f>
        <v>5.5489105149944028E-3</v>
      </c>
      <c r="L516" s="4">
        <f t="shared" ref="L516:L579" si="16">L515*(1+K516)</f>
        <v>143.21255815366985</v>
      </c>
      <c r="M516" s="4">
        <f>L516/MAX(L$2:L516)-1</f>
        <v>0</v>
      </c>
      <c r="N516" s="4">
        <f t="shared" si="15"/>
        <v>4.8926179490246691E-2</v>
      </c>
    </row>
    <row r="517" spans="1:14">
      <c r="A517" s="3">
        <f>prices!A518</f>
        <v>44231</v>
      </c>
      <c r="B517" s="5">
        <f>prices!B518/prices!B517-1</f>
        <v>-3.2935884047327058E-3</v>
      </c>
      <c r="C517" s="5">
        <f>prices!C518/prices!C517-1</f>
        <v>-3.6227683746812289E-3</v>
      </c>
      <c r="D517" s="5">
        <f>prices!D518/prices!D517-1</f>
        <v>2.7260212357054225E-3</v>
      </c>
      <c r="E517" s="5">
        <f>prices!E518/prices!E517-1</f>
        <v>-4.1284610867698968E-3</v>
      </c>
      <c r="F517" s="5">
        <f>prices!F518/prices!F517-1</f>
        <v>6.0909315542377218E-2</v>
      </c>
      <c r="G517" s="5">
        <f>prices!G518/prices!G517-1</f>
        <v>6.6944851384096449E-3</v>
      </c>
      <c r="H517" s="5">
        <f>prices!H518/prices!H517-1</f>
        <v>3.6647357843715422E-3</v>
      </c>
      <c r="I517" s="5">
        <f>prices!I518/prices!I517-1</f>
        <v>8.1449097794616954E-4</v>
      </c>
      <c r="J517" s="5">
        <f>prices!J518/prices!J517-1</f>
        <v>7.1467449180016018E-3</v>
      </c>
      <c r="K517" s="8">
        <f>SUMPRODUCT(B517:I517,weights!$B$5:$I$5)</f>
        <v>6.2228655674870879E-3</v>
      </c>
      <c r="L517" s="4">
        <f t="shared" si="16"/>
        <v>144.10375065063607</v>
      </c>
      <c r="M517" s="4">
        <f>L517/MAX(L$2:L517)-1</f>
        <v>0</v>
      </c>
      <c r="N517" s="4">
        <f t="shared" si="15"/>
        <v>6.2964917638019147E-2</v>
      </c>
    </row>
    <row r="518" spans="1:14">
      <c r="A518" s="3">
        <f>prices!A519</f>
        <v>44232</v>
      </c>
      <c r="B518" s="5">
        <f>prices!B519/prices!B518-1</f>
        <v>-2.8784599088105267E-4</v>
      </c>
      <c r="C518" s="5">
        <f>prices!C519/prices!C518-1</f>
        <v>-9.5661595741586281E-3</v>
      </c>
      <c r="D518" s="5">
        <f>prices!D519/prices!D518-1</f>
        <v>1.1717210162165204E-2</v>
      </c>
      <c r="E518" s="5">
        <f>prices!E519/prices!E518-1</f>
        <v>-5.660480052250616E-3</v>
      </c>
      <c r="F518" s="5">
        <f>prices!F519/prices!F518-1</f>
        <v>1.9156865028531422E-2</v>
      </c>
      <c r="G518" s="5">
        <f>prices!G519/prices!G518-1</f>
        <v>-1.9090550453400579E-2</v>
      </c>
      <c r="H518" s="5">
        <f>prices!H519/prices!H518-1</f>
        <v>5.1320881709575605E-3</v>
      </c>
      <c r="I518" s="5">
        <f>prices!I519/prices!I518-1</f>
        <v>-8.694744896184714E-3</v>
      </c>
      <c r="J518" s="5">
        <f>prices!J519/prices!J518-1</f>
        <v>1.9200236310601415E-3</v>
      </c>
      <c r="K518" s="8">
        <f>SUMPRODUCT(B518:I518,weights!$B$5:$I$5)</f>
        <v>-3.5327569700226054E-3</v>
      </c>
      <c r="L518" s="4">
        <f t="shared" si="16"/>
        <v>143.59466712111865</v>
      </c>
      <c r="M518" s="4">
        <f>L518/MAX(L$2:L518)-1</f>
        <v>-3.5327569700225325E-3</v>
      </c>
      <c r="N518" s="4">
        <f t="shared" si="15"/>
        <v>6.1386599217117421E-2</v>
      </c>
    </row>
    <row r="519" spans="1:14">
      <c r="A519" s="3">
        <f>prices!A520</f>
        <v>44235</v>
      </c>
      <c r="B519" s="5">
        <f>prices!B520/prices!B519-1</f>
        <v>1.4407960657399244E-2</v>
      </c>
      <c r="C519" s="5">
        <f>prices!C520/prices!C519-1</f>
        <v>1.7778936200674611E-2</v>
      </c>
      <c r="D519" s="5">
        <f>prices!D520/prices!D519-1</f>
        <v>4.7965174864637028E-3</v>
      </c>
      <c r="E519" s="5">
        <f>prices!E520/prices!E519-1</f>
        <v>2.4723119309577157E-2</v>
      </c>
      <c r="F519" s="5">
        <f>prices!F520/prices!F519-1</f>
        <v>-5.3705079129291455E-3</v>
      </c>
      <c r="G519" s="5">
        <f>prices!G520/prices!G519-1</f>
        <v>1.073508773410059E-2</v>
      </c>
      <c r="H519" s="5">
        <f>prices!H520/prices!H519-1</f>
        <v>-1.506654390224238E-4</v>
      </c>
      <c r="I519" s="5">
        <f>prices!I520/prices!I519-1</f>
        <v>2.3274743009507715E-2</v>
      </c>
      <c r="J519" s="5">
        <f>prices!J520/prices!J519-1</f>
        <v>1.2834815819890322E-2</v>
      </c>
      <c r="K519" s="8">
        <f>SUMPRODUCT(B519:I519,weights!$B$5:$I$5)</f>
        <v>1.2046708603907616E-2</v>
      </c>
      <c r="L519" s="4">
        <f t="shared" si="16"/>
        <v>145.32451023300186</v>
      </c>
      <c r="M519" s="4">
        <f>L519/MAX(L$2:L519)-1</f>
        <v>0</v>
      </c>
      <c r="N519" s="4">
        <f t="shared" si="15"/>
        <v>4.3885616813215789E-2</v>
      </c>
    </row>
    <row r="520" spans="1:14">
      <c r="A520" s="3">
        <f>prices!A521</f>
        <v>44236</v>
      </c>
      <c r="B520" s="5">
        <f>prices!B521/prices!B520-1</f>
        <v>2.4069574695155804E-3</v>
      </c>
      <c r="C520" s="5">
        <f>prices!C521/prices!C520-1</f>
        <v>-1.1574641831743948E-2</v>
      </c>
      <c r="D520" s="5">
        <f>prices!D521/prices!D520-1</f>
        <v>4.1050463990586206E-3</v>
      </c>
      <c r="E520" s="5">
        <f>prices!E521/prices!E520-1</f>
        <v>1.5312844984152196E-3</v>
      </c>
      <c r="F520" s="5">
        <f>prices!F521/prices!F520-1</f>
        <v>-1.7577115285197342E-2</v>
      </c>
      <c r="G520" s="5">
        <f>prices!G521/prices!G520-1</f>
        <v>6.9244253992988281E-3</v>
      </c>
      <c r="H520" s="5">
        <f>prices!H521/prices!H520-1</f>
        <v>-8.8236279007467555E-3</v>
      </c>
      <c r="I520" s="5">
        <f>prices!I521/prices!I520-1</f>
        <v>9.4423720445444559E-3</v>
      </c>
      <c r="J520" s="5">
        <f>prices!J521/prices!J520-1</f>
        <v>-4.3001362812422617E-4</v>
      </c>
      <c r="K520" s="8">
        <f>SUMPRODUCT(B520:I520,weights!$B$5:$I$5)</f>
        <v>1.3077680542254895E-4</v>
      </c>
      <c r="L520" s="4">
        <f t="shared" si="16"/>
        <v>145.34351530819973</v>
      </c>
      <c r="M520" s="4">
        <f>L520/MAX(L$2:L520)-1</f>
        <v>0</v>
      </c>
      <c r="N520" s="4">
        <f t="shared" si="15"/>
        <v>3.7050452027332037E-2</v>
      </c>
    </row>
    <row r="521" spans="1:14">
      <c r="A521" s="3">
        <f>prices!A522</f>
        <v>44237</v>
      </c>
      <c r="B521" s="5">
        <f>prices!B522/prices!B521-1</f>
        <v>9.2762487257900261E-3</v>
      </c>
      <c r="C521" s="5">
        <f>prices!C522/prices!C521-1</f>
        <v>1.1458390351597458E-2</v>
      </c>
      <c r="D521" s="5">
        <f>prices!D522/prices!D521-1</f>
        <v>-1.8670182307272243E-2</v>
      </c>
      <c r="E521" s="5">
        <f>prices!E522/prices!E521-1</f>
        <v>-6.9335798606172672E-3</v>
      </c>
      <c r="F521" s="5">
        <f>prices!F522/prices!F521-1</f>
        <v>-6.3146816348009782E-3</v>
      </c>
      <c r="G521" s="5">
        <f>prices!G522/prices!G521-1</f>
        <v>-7.0191243504202916E-4</v>
      </c>
      <c r="H521" s="5">
        <f>prices!H522/prices!H521-1</f>
        <v>5.608202841264065E-3</v>
      </c>
      <c r="I521" s="5">
        <f>prices!I522/prices!I521-1</f>
        <v>-8.6815344170533271E-3</v>
      </c>
      <c r="J521" s="5">
        <f>prices!J522/prices!J521-1</f>
        <v>-1.8531632835405709E-4</v>
      </c>
      <c r="K521" s="8">
        <f>SUMPRODUCT(B521:I521,weights!$B$5:$I$5)</f>
        <v>-1.3179651179802644E-3</v>
      </c>
      <c r="L521" s="4">
        <f t="shared" si="16"/>
        <v>145.1519576248989</v>
      </c>
      <c r="M521" s="4">
        <f>L521/MAX(L$2:L521)-1</f>
        <v>-1.3179651179802132E-3</v>
      </c>
      <c r="N521" s="4">
        <f t="shared" si="15"/>
        <v>3.2589201959401404E-2</v>
      </c>
    </row>
    <row r="522" spans="1:14">
      <c r="A522" s="3">
        <f>prices!A523</f>
        <v>44238</v>
      </c>
      <c r="B522" s="5">
        <f>prices!B523/prices!B522-1</f>
        <v>4.1230403214041145E-2</v>
      </c>
      <c r="C522" s="5">
        <f>prices!C523/prices!C522-1</f>
        <v>-2.2693244340218355E-3</v>
      </c>
      <c r="D522" s="5">
        <f>prices!D523/prices!D522-1</f>
        <v>-5.9437380412804552E-3</v>
      </c>
      <c r="E522" s="5">
        <f>prices!E523/prices!E522-1</f>
        <v>-2.971821404275321E-3</v>
      </c>
      <c r="F522" s="5">
        <f>prices!F523/prices!F522-1</f>
        <v>-4.8249485142688453E-3</v>
      </c>
      <c r="G522" s="5">
        <f>prices!G523/prices!G522-1</f>
        <v>5.9898040592951673E-3</v>
      </c>
      <c r="H522" s="5">
        <f>prices!H523/prices!H522-1</f>
        <v>2.6406410105659361E-2</v>
      </c>
      <c r="I522" s="5">
        <f>prices!I523/prices!I522-1</f>
        <v>-1.4390362568611148E-2</v>
      </c>
      <c r="J522" s="5">
        <f>prices!J523/prices!J522-1</f>
        <v>4.4219375765397473E-3</v>
      </c>
      <c r="K522" s="8">
        <f>SUMPRODUCT(B522:I522,weights!$B$5:$I$5)</f>
        <v>6.2640306613356905E-3</v>
      </c>
      <c r="L522" s="4">
        <f t="shared" si="16"/>
        <v>146.06119393801418</v>
      </c>
      <c r="M522" s="4">
        <f>L522/MAX(L$2:L522)-1</f>
        <v>0</v>
      </c>
      <c r="N522" s="4">
        <f t="shared" si="15"/>
        <v>4.0949760849094519E-2</v>
      </c>
    </row>
    <row r="523" spans="1:14">
      <c r="A523" s="3">
        <f>prices!A524</f>
        <v>44239</v>
      </c>
      <c r="B523" s="5">
        <f>prices!B524/prices!B523-1</f>
        <v>-6.8654818231788095E-3</v>
      </c>
      <c r="C523" s="5">
        <f>prices!C524/prices!C523-1</f>
        <v>-4.7442378483145697E-3</v>
      </c>
      <c r="D523" s="5">
        <f>prices!D524/prices!D523-1</f>
        <v>6.1021391615361242E-3</v>
      </c>
      <c r="E523" s="5">
        <f>prices!E524/prices!E523-1</f>
        <v>1.3269410328233811E-2</v>
      </c>
      <c r="F523" s="5">
        <f>prices!F524/prices!F523-1</f>
        <v>-3.9732749955655455E-2</v>
      </c>
      <c r="G523" s="5">
        <f>prices!G524/prices!G523-1</f>
        <v>-1.2892389779001201E-2</v>
      </c>
      <c r="H523" s="5">
        <f>prices!H524/prices!H523-1</f>
        <v>-2.5645222002192991E-2</v>
      </c>
      <c r="I523" s="5">
        <f>prices!I524/prices!I523-1</f>
        <v>-5.979239524163682E-3</v>
      </c>
      <c r="J523" s="5">
        <f>prices!J524/prices!J523-1</f>
        <v>-6.5905241443853235E-4</v>
      </c>
      <c r="K523" s="8">
        <f>SUMPRODUCT(B523:I523,weights!$B$5:$I$5)</f>
        <v>-1.0586108256902099E-2</v>
      </c>
      <c r="L523" s="4">
        <f t="shared" si="16"/>
        <v>144.514974326854</v>
      </c>
      <c r="M523" s="4">
        <f>L523/MAX(L$2:L523)-1</f>
        <v>-1.0586108256902094E-2</v>
      </c>
      <c r="N523" s="4">
        <f t="shared" si="15"/>
        <v>2.0624488618118608E-2</v>
      </c>
    </row>
    <row r="524" spans="1:14">
      <c r="A524" s="3">
        <f>prices!A525</f>
        <v>44242</v>
      </c>
      <c r="B524" s="5">
        <f>prices!B525/prices!B524-1</f>
        <v>-4.4060512664685358E-3</v>
      </c>
      <c r="C524" s="5">
        <f>prices!C525/prices!C524-1</f>
        <v>-1.596459739712397E-2</v>
      </c>
      <c r="D524" s="5">
        <f>prices!D525/prices!D524-1</f>
        <v>2.1913161465400233E-2</v>
      </c>
      <c r="E524" s="5">
        <f>prices!E525/prices!E524-1</f>
        <v>-1.1518491609208148E-4</v>
      </c>
      <c r="F524" s="5">
        <f>prices!F525/prices!F524-1</f>
        <v>5.2336678775937173E-3</v>
      </c>
      <c r="G524" s="5">
        <f>prices!G525/prices!G524-1</f>
        <v>3.7191181610207735E-3</v>
      </c>
      <c r="H524" s="5">
        <f>prices!H525/prices!H524-1</f>
        <v>5.5428648212862974E-4</v>
      </c>
      <c r="I524" s="5">
        <f>prices!I525/prices!I524-1</f>
        <v>1.0715459778556369E-2</v>
      </c>
      <c r="J524" s="5">
        <f>prices!J525/prices!J524-1</f>
        <v>9.9846339517124516E-3</v>
      </c>
      <c r="K524" s="8">
        <f>SUMPRODUCT(B524:I524,weights!$B$5:$I$5)</f>
        <v>3.0122043170579468E-3</v>
      </c>
      <c r="L524" s="4">
        <f t="shared" si="16"/>
        <v>144.95028295640088</v>
      </c>
      <c r="M524" s="4">
        <f>L524/MAX(L$2:L524)-1</f>
        <v>-7.6057914608362864E-3</v>
      </c>
      <c r="N524" s="4">
        <f t="shared" si="15"/>
        <v>3.3084296848482131E-2</v>
      </c>
    </row>
    <row r="525" spans="1:14">
      <c r="A525" s="3">
        <f>prices!A526</f>
        <v>44243</v>
      </c>
      <c r="B525" s="5">
        <f>prices!B526/prices!B525-1</f>
        <v>1.3233049923697449E-2</v>
      </c>
      <c r="C525" s="5">
        <f>prices!C526/prices!C525-1</f>
        <v>-9.8914488258750044E-3</v>
      </c>
      <c r="D525" s="5">
        <f>prices!D526/prices!D525-1</f>
        <v>6.2139016132245484E-3</v>
      </c>
      <c r="E525" s="5">
        <f>prices!E526/prices!E525-1</f>
        <v>-1.4701060709443547E-2</v>
      </c>
      <c r="F525" s="5">
        <f>prices!F526/prices!F525-1</f>
        <v>-1.5925517579320481E-3</v>
      </c>
      <c r="G525" s="5">
        <f>prices!G526/prices!G525-1</f>
        <v>1.3216305150016927E-2</v>
      </c>
      <c r="H525" s="5">
        <f>prices!H526/prices!H525-1</f>
        <v>5.8251775252227134E-3</v>
      </c>
      <c r="I525" s="5">
        <f>prices!I526/prices!I525-1</f>
        <v>7.6745811505642969E-3</v>
      </c>
      <c r="J525" s="5">
        <f>prices!J526/prices!J525-1</f>
        <v>-8.1620926299597052E-5</v>
      </c>
      <c r="K525" s="8">
        <f>SUMPRODUCT(B525:I525,weights!$B$5:$I$5)</f>
        <v>4.8582603850144696E-3</v>
      </c>
      <c r="L525" s="4">
        <f t="shared" si="16"/>
        <v>145.6544891738846</v>
      </c>
      <c r="M525" s="4">
        <f>L525/MAX(L$2:L525)-1</f>
        <v>-2.7844819911727603E-3</v>
      </c>
      <c r="N525" s="4">
        <f t="shared" si="15"/>
        <v>4.9449054963889072E-2</v>
      </c>
    </row>
    <row r="526" spans="1:14">
      <c r="A526" s="3">
        <f>prices!A527</f>
        <v>44244</v>
      </c>
      <c r="B526" s="5">
        <f>prices!B527/prices!B526-1</f>
        <v>1.1532586010284618E-2</v>
      </c>
      <c r="C526" s="5">
        <f>prices!C527/prices!C526-1</f>
        <v>-1.1481908256606999E-2</v>
      </c>
      <c r="D526" s="5">
        <f>prices!D527/prices!D526-1</f>
        <v>-2.4688914400327278E-2</v>
      </c>
      <c r="E526" s="5">
        <f>prices!E527/prices!E526-1</f>
        <v>-7.0509937944061019E-3</v>
      </c>
      <c r="F526" s="5">
        <f>prices!F527/prices!F526-1</f>
        <v>-2.2699386503067798E-3</v>
      </c>
      <c r="G526" s="5">
        <f>prices!G527/prices!G526-1</f>
        <v>-2.518555434918035E-2</v>
      </c>
      <c r="H526" s="5">
        <f>prices!H527/prices!H526-1</f>
        <v>-1.568863074971627E-2</v>
      </c>
      <c r="I526" s="5">
        <f>prices!I527/prices!I526-1</f>
        <v>-7.1422684943545089E-4</v>
      </c>
      <c r="J526" s="5">
        <f>prices!J527/prices!J526-1</f>
        <v>-6.8273315288195358E-3</v>
      </c>
      <c r="K526" s="8">
        <f>SUMPRODUCT(B526:I526,weights!$B$5:$I$5)</f>
        <v>-9.5656323421502727E-3</v>
      </c>
      <c r="L526" s="4">
        <f t="shared" si="16"/>
        <v>144.26121188146351</v>
      </c>
      <c r="M526" s="4">
        <f>L526/MAX(L$2:L526)-1</f>
        <v>-1.2323479002332105E-2</v>
      </c>
      <c r="N526" s="4">
        <f t="shared" si="15"/>
        <v>2.3724375612266924E-2</v>
      </c>
    </row>
    <row r="527" spans="1:14">
      <c r="A527" s="3">
        <f>prices!A528</f>
        <v>44245</v>
      </c>
      <c r="B527" s="5">
        <f>prices!B528/prices!B527-1</f>
        <v>-7.466020037011023E-3</v>
      </c>
      <c r="C527" s="5">
        <f>prices!C528/prices!C527-1</f>
        <v>-5.1267155068998038E-3</v>
      </c>
      <c r="D527" s="5">
        <f>prices!D528/prices!D527-1</f>
        <v>-2.0294404156294021E-2</v>
      </c>
      <c r="E527" s="5">
        <f>prices!E528/prices!E527-1</f>
        <v>8.7042370885641596E-3</v>
      </c>
      <c r="F527" s="5">
        <f>prices!F528/prices!F527-1</f>
        <v>5.042120150033691E-3</v>
      </c>
      <c r="G527" s="5">
        <f>prices!G528/prices!G527-1</f>
        <v>-7.5282590620018297E-4</v>
      </c>
      <c r="H527" s="5">
        <f>prices!H528/prices!H527-1</f>
        <v>-8.3762886597936737E-3</v>
      </c>
      <c r="I527" s="5">
        <f>prices!I528/prices!I527-1</f>
        <v>-1.5339362784176802E-2</v>
      </c>
      <c r="J527" s="5">
        <f>prices!J528/prices!J527-1</f>
        <v>-5.9143001795001204E-3</v>
      </c>
      <c r="K527" s="8">
        <f>SUMPRODUCT(B527:I527,weights!$B$5:$I$5)</f>
        <v>-6.1813476402901362E-3</v>
      </c>
      <c r="L527" s="4">
        <f t="shared" si="16"/>
        <v>143.36948317981464</v>
      </c>
      <c r="M527" s="4">
        <f>L527/MAX(L$2:L527)-1</f>
        <v>-1.8428650934770974E-2</v>
      </c>
      <c r="N527" s="4">
        <f t="shared" si="15"/>
        <v>6.3628574422804896E-3</v>
      </c>
    </row>
    <row r="528" spans="1:14">
      <c r="A528" s="3">
        <f>prices!A529</f>
        <v>44246</v>
      </c>
      <c r="B528" s="5">
        <f>prices!B529/prices!B528-1</f>
        <v>6.0970382752560948E-3</v>
      </c>
      <c r="C528" s="5">
        <f>prices!C529/prices!C528-1</f>
        <v>4.7436135642320298E-3</v>
      </c>
      <c r="D528" s="5">
        <f>prices!D529/prices!D528-1</f>
        <v>-9.777384963818192E-3</v>
      </c>
      <c r="E528" s="5">
        <f>prices!E529/prices!E528-1</f>
        <v>-8.8895274183553585E-4</v>
      </c>
      <c r="F528" s="5">
        <f>prices!F529/prices!F528-1</f>
        <v>-1.3215050474151058E-2</v>
      </c>
      <c r="G528" s="5">
        <f>prices!G529/prices!G528-1</f>
        <v>-2.3280689523338172E-2</v>
      </c>
      <c r="H528" s="5">
        <f>prices!H529/prices!H528-1</f>
        <v>-1.4192401080674544E-2</v>
      </c>
      <c r="I528" s="5">
        <f>prices!I529/prices!I528-1</f>
        <v>-1.0357631424662839E-2</v>
      </c>
      <c r="J528" s="5">
        <f>prices!J529/prices!J528-1</f>
        <v>-9.0747042618700702E-3</v>
      </c>
      <c r="K528" s="8">
        <f>SUMPRODUCT(B528:I528,weights!$B$5:$I$5)</f>
        <v>-9.4210827120458085E-3</v>
      </c>
      <c r="L528" s="4">
        <f t="shared" si="16"/>
        <v>142.01878742039435</v>
      </c>
      <c r="M528" s="4">
        <f>L528/MAX(L$2:L528)-1</f>
        <v>-2.7676115802088841E-2</v>
      </c>
      <c r="N528" s="4">
        <f t="shared" si="15"/>
        <v>3.6606544729971269E-3</v>
      </c>
    </row>
    <row r="529" spans="1:14">
      <c r="A529" s="3">
        <f>prices!A530</f>
        <v>44249</v>
      </c>
      <c r="B529" s="5">
        <f>prices!B530/prices!B529-1</f>
        <v>-3.4709722769535434E-2</v>
      </c>
      <c r="C529" s="5">
        <f>prices!C530/prices!C529-1</f>
        <v>-3.6916829575731835E-2</v>
      </c>
      <c r="D529" s="5">
        <f>prices!D530/prices!D529-1</f>
        <v>5.7876826955260974E-3</v>
      </c>
      <c r="E529" s="5">
        <f>prices!E530/prices!E529-1</f>
        <v>-2.0212460006470923E-2</v>
      </c>
      <c r="F529" s="5">
        <f>prices!F530/prices!F529-1</f>
        <v>-1.7608035216070461E-2</v>
      </c>
      <c r="G529" s="5">
        <f>prices!G530/prices!G529-1</f>
        <v>-3.2301747771213973E-2</v>
      </c>
      <c r="H529" s="5">
        <f>prices!H530/prices!H529-1</f>
        <v>-1.9756469853604353E-2</v>
      </c>
      <c r="I529" s="5">
        <f>prices!I530/prices!I529-1</f>
        <v>-3.7519747235387091E-2</v>
      </c>
      <c r="J529" s="5">
        <f>prices!J530/prices!J529-1</f>
        <v>-2.0428187628281025E-2</v>
      </c>
      <c r="K529" s="8">
        <f>SUMPRODUCT(B529:I529,weights!$B$5:$I$5)</f>
        <v>-2.7063807222042637E-2</v>
      </c>
      <c r="L529" s="4">
        <f t="shared" si="16"/>
        <v>138.17521833574054</v>
      </c>
      <c r="M529" s="4">
        <f>L529/MAX(L$2:L529)-1</f>
        <v>-5.3990901961408877E-2</v>
      </c>
      <c r="N529" s="4">
        <f t="shared" si="15"/>
        <v>-1.4736452446910242E-2</v>
      </c>
    </row>
    <row r="530" spans="1:14">
      <c r="A530" s="3">
        <f>prices!A531</f>
        <v>44250</v>
      </c>
      <c r="B530" s="5">
        <f>prices!B531/prices!B530-1</f>
        <v>7.6461372112011095E-3</v>
      </c>
      <c r="C530" s="5">
        <f>prices!C531/prices!C530-1</f>
        <v>7.3513276278251993E-3</v>
      </c>
      <c r="D530" s="5">
        <f>prices!D531/prices!D530-1</f>
        <v>-1.2188188965459923E-2</v>
      </c>
      <c r="E530" s="5">
        <f>prices!E531/prices!E530-1</f>
        <v>9.0809858831941703E-4</v>
      </c>
      <c r="F530" s="5">
        <f>prices!F531/prices!F530-1</f>
        <v>7.0053644682865901E-3</v>
      </c>
      <c r="G530" s="5">
        <f>prices!G531/prices!G530-1</f>
        <v>-1.6362822501371999E-2</v>
      </c>
      <c r="H530" s="5">
        <f>prices!H531/prices!H530-1</f>
        <v>1.4686886203174376E-2</v>
      </c>
      <c r="I530" s="5">
        <f>prices!I531/prices!I530-1</f>
        <v>2.3484670848232581E-2</v>
      </c>
      <c r="J530" s="5">
        <f>prices!J531/prices!J530-1</f>
        <v>2.1872891923382376E-3</v>
      </c>
      <c r="K530" s="8">
        <f>SUMPRODUCT(B530:I530,weights!$B$5:$I$5)</f>
        <v>5.0360385687517051E-3</v>
      </c>
      <c r="L530" s="4">
        <f t="shared" si="16"/>
        <v>138.87107406452503</v>
      </c>
      <c r="M530" s="4">
        <f>L530/MAX(L$2:L530)-1</f>
        <v>-4.9226763657296391E-2</v>
      </c>
      <c r="N530" s="4">
        <f t="shared" si="15"/>
        <v>-2.781432866987954E-3</v>
      </c>
    </row>
    <row r="531" spans="1:14">
      <c r="A531" s="3">
        <f>prices!A532</f>
        <v>44251</v>
      </c>
      <c r="B531" s="5">
        <f>prices!B532/prices!B531-1</f>
        <v>1.8559681145772888E-2</v>
      </c>
      <c r="C531" s="5">
        <f>prices!C532/prices!C531-1</f>
        <v>-1.0771469027650249E-2</v>
      </c>
      <c r="D531" s="5">
        <f>prices!D532/prices!D531-1</f>
        <v>5.0561482313307149E-2</v>
      </c>
      <c r="E531" s="5">
        <f>prices!E532/prices!E531-1</f>
        <v>6.2776077274142583E-3</v>
      </c>
      <c r="F531" s="5">
        <f>prices!F532/prices!F531-1</f>
        <v>1.692153421910314E-3</v>
      </c>
      <c r="G531" s="5">
        <f>prices!G532/prices!G531-1</f>
        <v>-2.5172503462163043E-3</v>
      </c>
      <c r="H531" s="5">
        <f>prices!H532/prices!H531-1</f>
        <v>-4.3074132849691971E-3</v>
      </c>
      <c r="I531" s="5">
        <f>prices!I532/prices!I531-1</f>
        <v>2.7112552531912915E-2</v>
      </c>
      <c r="J531" s="5">
        <f>prices!J532/prices!J531-1</f>
        <v>1.8643168930771559E-2</v>
      </c>
      <c r="K531" s="8">
        <f>SUMPRODUCT(B531:I531,weights!$B$5:$I$5)</f>
        <v>1.0051660085141601E-2</v>
      </c>
      <c r="L531" s="4">
        <f t="shared" si="16"/>
        <v>140.26695889668017</v>
      </c>
      <c r="M531" s="4">
        <f>L531/MAX(L$2:L531)-1</f>
        <v>-3.9669914267529527E-2</v>
      </c>
      <c r="N531" s="4">
        <f t="shared" si="15"/>
        <v>2.1642775758203836E-2</v>
      </c>
    </row>
    <row r="532" spans="1:14">
      <c r="A532" s="3">
        <f>prices!A533</f>
        <v>44252</v>
      </c>
      <c r="B532" s="5">
        <f>prices!B533/prices!B532-1</f>
        <v>4.0442045967620466E-2</v>
      </c>
      <c r="C532" s="5">
        <f>prices!C533/prices!C532-1</f>
        <v>1.6012646530265684E-2</v>
      </c>
      <c r="D532" s="5">
        <f>prices!D533/prices!D532-1</f>
        <v>-4.0084444563159849E-5</v>
      </c>
      <c r="E532" s="5">
        <f>prices!E533/prices!E532-1</f>
        <v>2.0035882444013886E-4</v>
      </c>
      <c r="F532" s="5">
        <f>prices!F533/prices!F532-1</f>
        <v>1.3764624913970014E-3</v>
      </c>
      <c r="G532" s="5">
        <f>prices!G533/prices!G532-1</f>
        <v>-3.2511280429118328E-3</v>
      </c>
      <c r="H532" s="5">
        <f>prices!H533/prices!H532-1</f>
        <v>1.3468544206248989E-2</v>
      </c>
      <c r="I532" s="5">
        <f>prices!I533/prices!I532-1</f>
        <v>-1.3194947861484452E-2</v>
      </c>
      <c r="J532" s="5">
        <f>prices!J533/prices!J532-1</f>
        <v>7.699239086904397E-3</v>
      </c>
      <c r="K532" s="8">
        <f>SUMPRODUCT(B532:I532,weights!$B$5:$I$5)</f>
        <v>5.4827182274548433E-3</v>
      </c>
      <c r="L532" s="4">
        <f t="shared" si="16"/>
        <v>141.03600310893265</v>
      </c>
      <c r="M532" s="4">
        <f>L532/MAX(L$2:L532)-1</f>
        <v>-3.4404695002110852E-2</v>
      </c>
      <c r="N532" s="4">
        <f t="shared" si="15"/>
        <v>4.6855158526053931E-2</v>
      </c>
    </row>
    <row r="533" spans="1:14">
      <c r="A533" s="3">
        <f>prices!A534</f>
        <v>44253</v>
      </c>
      <c r="B533" s="5">
        <f>prices!B534/prices!B533-1</f>
        <v>-2.7308232765746454E-2</v>
      </c>
      <c r="C533" s="5">
        <f>prices!C534/prices!C533-1</f>
        <v>-3.3718954526630318E-2</v>
      </c>
      <c r="D533" s="5">
        <f>prices!D534/prices!D533-1</f>
        <v>-4.4816205454375369E-2</v>
      </c>
      <c r="E533" s="5">
        <f>prices!E534/prices!E533-1</f>
        <v>-1.6671978147052124E-2</v>
      </c>
      <c r="F533" s="5">
        <f>prices!F534/prices!F533-1</f>
        <v>-2.5304592314901675E-2</v>
      </c>
      <c r="G533" s="5">
        <f>prices!G534/prices!G533-1</f>
        <v>-9.2636240051335861E-3</v>
      </c>
      <c r="H533" s="5">
        <f>prices!H534/prices!H533-1</f>
        <v>-2.4522595696880534E-2</v>
      </c>
      <c r="I533" s="5">
        <f>prices!I534/prices!I533-1</f>
        <v>-4.2452197130768421E-2</v>
      </c>
      <c r="J533" s="5">
        <f>prices!J534/prices!J533-1</f>
        <v>-3.7635744021301765E-2</v>
      </c>
      <c r="K533" s="8">
        <f>SUMPRODUCT(B533:I533,weights!$B$5:$I$5)</f>
        <v>-2.715921198826915E-2</v>
      </c>
      <c r="L533" s="4">
        <f t="shared" si="16"/>
        <v>137.20557640251897</v>
      </c>
      <c r="M533" s="4">
        <f>L533/MAX(L$2:L533)-1</f>
        <v>-6.0629502585425765E-2</v>
      </c>
      <c r="N533" s="4">
        <f t="shared" si="15"/>
        <v>3.1813929750472925E-2</v>
      </c>
    </row>
    <row r="534" spans="1:14">
      <c r="A534" s="3">
        <f>prices!A535</f>
        <v>44256</v>
      </c>
      <c r="B534" s="5">
        <f>prices!B535/prices!B534-1</f>
        <v>7.6268575859614884E-3</v>
      </c>
      <c r="C534" s="5">
        <f>prices!C535/prices!C534-1</f>
        <v>1.0330090243091616E-2</v>
      </c>
      <c r="D534" s="5">
        <f>prices!D535/prices!D534-1</f>
        <v>1.5961390501503692E-2</v>
      </c>
      <c r="E534" s="5">
        <f>prices!E535/prices!E534-1</f>
        <v>1.0926532955534585E-2</v>
      </c>
      <c r="F534" s="5">
        <f>prices!F535/prices!F534-1</f>
        <v>1.4935897435897516E-2</v>
      </c>
      <c r="G534" s="5">
        <f>prices!G535/prices!G534-1</f>
        <v>2.1679605362114662E-2</v>
      </c>
      <c r="H534" s="5">
        <f>prices!H535/prices!H534-1</f>
        <v>1.6564504127838831E-2</v>
      </c>
      <c r="I534" s="5">
        <f>prices!I535/prices!I534-1</f>
        <v>2.1038499273390077E-2</v>
      </c>
      <c r="J534" s="5">
        <f>prices!J535/prices!J534-1</f>
        <v>1.5995429877177836E-2</v>
      </c>
      <c r="K534" s="8">
        <f>SUMPRODUCT(B534:I534,weights!$B$5:$I$5)</f>
        <v>1.6096282452832164E-2</v>
      </c>
      <c r="L534" s="4">
        <f t="shared" si="16"/>
        <v>139.41407611439755</v>
      </c>
      <c r="M534" s="4">
        <f>L534/MAX(L$2:L534)-1</f>
        <v>-4.5509129731183484E-2</v>
      </c>
      <c r="N534" s="4">
        <f t="shared" si="15"/>
        <v>9.1801800381134946E-3</v>
      </c>
    </row>
    <row r="535" spans="1:14">
      <c r="A535" s="3">
        <f>prices!A536</f>
        <v>44257</v>
      </c>
      <c r="B535" s="5">
        <f>prices!B536/prices!B535-1</f>
        <v>2.0451406824866236E-3</v>
      </c>
      <c r="C535" s="5">
        <f>prices!C536/prices!C535-1</f>
        <v>2.8092515798570972E-2</v>
      </c>
      <c r="D535" s="5">
        <f>prices!D536/prices!D535-1</f>
        <v>5.9758213312037789E-3</v>
      </c>
      <c r="E535" s="5">
        <f>prices!E536/prices!E535-1</f>
        <v>2.9594958506603986E-2</v>
      </c>
      <c r="F535" s="5">
        <f>prices!F536/prices!F535-1</f>
        <v>1.4526621613086377E-2</v>
      </c>
      <c r="G535" s="5">
        <f>prices!G536/prices!G535-1</f>
        <v>2.8382399997596508E-2</v>
      </c>
      <c r="H535" s="5">
        <f>prices!H536/prices!H535-1</f>
        <v>1.613774594377948E-2</v>
      </c>
      <c r="I535" s="5">
        <f>prices!I536/prices!I535-1</f>
        <v>8.691380144928651E-3</v>
      </c>
      <c r="J535" s="5">
        <f>prices!J536/prices!J535-1</f>
        <v>1.0672998431736636E-2</v>
      </c>
      <c r="K535" s="8">
        <f>SUMPRODUCT(B535:I535,weights!$B$5:$I$5)</f>
        <v>1.6557018839217643E-2</v>
      </c>
      <c r="L535" s="4">
        <f t="shared" si="16"/>
        <v>141.72235759907576</v>
      </c>
      <c r="M535" s="4">
        <f>L535/MAX(L$2:L535)-1</f>
        <v>-2.9705606410281304E-2</v>
      </c>
      <c r="N535" s="4">
        <f t="shared" ref="N535:N598" si="17">L535/L515-1</f>
        <v>-4.9143446871997565E-3</v>
      </c>
    </row>
    <row r="536" spans="1:14">
      <c r="A536" s="3">
        <f>prices!A537</f>
        <v>44258</v>
      </c>
      <c r="B536" s="5">
        <f>prices!B537/prices!B536-1</f>
        <v>4.5637696863854993E-2</v>
      </c>
      <c r="C536" s="5">
        <f>prices!C537/prices!C536-1</f>
        <v>1.7545618608381774E-2</v>
      </c>
      <c r="D536" s="5">
        <f>prices!D537/prices!D536-1</f>
        <v>1.1894333424582459E-2</v>
      </c>
      <c r="E536" s="5">
        <f>prices!E537/prices!E536-1</f>
        <v>2.9936390729949913E-2</v>
      </c>
      <c r="F536" s="5">
        <f>prices!F537/prices!F536-1</f>
        <v>2.4901948577471522E-4</v>
      </c>
      <c r="G536" s="5">
        <f>prices!G537/prices!G536-1</f>
        <v>-1.2393506994355485E-2</v>
      </c>
      <c r="H536" s="5">
        <f>prices!H537/prices!H536-1</f>
        <v>1.6516027235151887E-2</v>
      </c>
      <c r="I536" s="5">
        <f>prices!I537/prices!I536-1</f>
        <v>7.5707655283061559E-3</v>
      </c>
      <c r="J536" s="5">
        <f>prices!J537/prices!J536-1</f>
        <v>2.188469813862759E-2</v>
      </c>
      <c r="K536" s="8">
        <f>SUMPRODUCT(B536:I536,weights!$B$5:$I$5)</f>
        <v>1.2365413407510083E-2</v>
      </c>
      <c r="L536" s="4">
        <f t="shared" si="16"/>
        <v>143.47481313987532</v>
      </c>
      <c r="M536" s="4">
        <f>L536/MAX(L$2:L536)-1</f>
        <v>-1.7707515106555105E-2</v>
      </c>
      <c r="N536" s="4">
        <f t="shared" si="17"/>
        <v>1.8312289759119249E-3</v>
      </c>
    </row>
    <row r="537" spans="1:14">
      <c r="A537" s="3">
        <f>prices!A538</f>
        <v>44259</v>
      </c>
      <c r="B537" s="5">
        <f>prices!B538/prices!B537-1</f>
        <v>-1.1922608686903313E-2</v>
      </c>
      <c r="C537" s="5">
        <f>prices!C538/prices!C537-1</f>
        <v>-3.0734365644208284E-3</v>
      </c>
      <c r="D537" s="5">
        <f>prices!D538/prices!D537-1</f>
        <v>-2.193996943012877E-2</v>
      </c>
      <c r="E537" s="5">
        <f>prices!E538/prices!E537-1</f>
        <v>-9.8211972013475535E-3</v>
      </c>
      <c r="F537" s="5">
        <f>prices!F538/prices!F537-1</f>
        <v>-1.1825480799153576E-3</v>
      </c>
      <c r="G537" s="5">
        <f>prices!G538/prices!G537-1</f>
        <v>9.6883745422049472E-4</v>
      </c>
      <c r="H537" s="5">
        <f>prices!H538/prices!H537-1</f>
        <v>-8.6384342837860784E-3</v>
      </c>
      <c r="I537" s="5">
        <f>prices!I538/prices!I537-1</f>
        <v>-2.291129072387732E-2</v>
      </c>
      <c r="J537" s="5">
        <f>prices!J538/prices!J537-1</f>
        <v>-1.0812955869234475E-2</v>
      </c>
      <c r="K537" s="8">
        <f>SUMPRODUCT(B537:I537,weights!$B$5:$I$5)</f>
        <v>-9.9779361989398487E-3</v>
      </c>
      <c r="L537" s="4">
        <f t="shared" si="16"/>
        <v>142.04323060821082</v>
      </c>
      <c r="M537" s="4">
        <f>L537/MAX(L$2:L537)-1</f>
        <v>-2.7508766849520083E-2</v>
      </c>
      <c r="N537" s="4">
        <f t="shared" si="17"/>
        <v>-1.4298864763213293E-2</v>
      </c>
    </row>
    <row r="538" spans="1:14">
      <c r="A538" s="3">
        <f>prices!A539</f>
        <v>44260</v>
      </c>
      <c r="B538" s="5">
        <f>prices!B539/prices!B538-1</f>
        <v>1.3033826853756647E-3</v>
      </c>
      <c r="C538" s="5">
        <f>prices!C539/prices!C538-1</f>
        <v>-1.3654523821289954E-2</v>
      </c>
      <c r="D538" s="5">
        <f>prices!D539/prices!D538-1</f>
        <v>-1.4203327478667482E-2</v>
      </c>
      <c r="E538" s="5">
        <f>prices!E539/prices!E538-1</f>
        <v>-1.0258825992515264E-2</v>
      </c>
      <c r="F538" s="5">
        <f>prices!F539/prices!F538-1</f>
        <v>-5.4835493519441725E-3</v>
      </c>
      <c r="G538" s="5">
        <f>prices!G539/prices!G538-1</f>
        <v>1.6461683731748611E-2</v>
      </c>
      <c r="H538" s="5">
        <f>prices!H539/prices!H538-1</f>
        <v>-1.252595391265876E-2</v>
      </c>
      <c r="I538" s="5">
        <f>prices!I539/prices!I538-1</f>
        <v>6.4750818479453187E-4</v>
      </c>
      <c r="J538" s="5">
        <f>prices!J539/prices!J538-1</f>
        <v>-9.4590786267261251E-3</v>
      </c>
      <c r="K538" s="8">
        <f>SUMPRODUCT(B538:I538,weights!$B$5:$I$5)</f>
        <v>-1.9787549208808339E-3</v>
      </c>
      <c r="L538" s="4">
        <f t="shared" si="16"/>
        <v>141.76216186666701</v>
      </c>
      <c r="M538" s="4">
        <f>L538/MAX(L$2:L538)-1</f>
        <v>-2.9433088662630058E-2</v>
      </c>
      <c r="N538" s="4">
        <f t="shared" si="17"/>
        <v>-1.2761652582166993E-2</v>
      </c>
    </row>
    <row r="539" spans="1:14">
      <c r="A539" s="3">
        <f>prices!A540</f>
        <v>44263</v>
      </c>
      <c r="B539" s="5">
        <f>prices!B540/prices!B539-1</f>
        <v>5.69487664490409E-3</v>
      </c>
      <c r="C539" s="5">
        <f>prices!C540/prices!C539-1</f>
        <v>-3.6612954819603694E-4</v>
      </c>
      <c r="D539" s="5">
        <f>prices!D540/prices!D539-1</f>
        <v>-6.8602693602692888E-3</v>
      </c>
      <c r="E539" s="5">
        <f>prices!E540/prices!E539-1</f>
        <v>1.4463629392633459E-2</v>
      </c>
      <c r="F539" s="5">
        <f>prices!F540/prices!F539-1</f>
        <v>-2.6942355889725267E-3</v>
      </c>
      <c r="G539" s="5">
        <f>prices!G540/prices!G539-1</f>
        <v>1.4494165262559644E-3</v>
      </c>
      <c r="H539" s="5">
        <f>prices!H540/prices!H539-1</f>
        <v>5.8943159491227082E-3</v>
      </c>
      <c r="I539" s="5">
        <f>prices!I540/prices!I539-1</f>
        <v>3.5291808141690639E-2</v>
      </c>
      <c r="J539" s="5">
        <f>prices!J540/prices!J539-1</f>
        <v>1.2116668117096996E-3</v>
      </c>
      <c r="K539" s="8">
        <f>SUMPRODUCT(B539:I539,weights!$B$5:$I$5)</f>
        <v>9.3063573947981468E-3</v>
      </c>
      <c r="L539" s="4">
        <f t="shared" si="16"/>
        <v>143.08145121005745</v>
      </c>
      <c r="M539" s="4">
        <f>L539/MAX(L$2:L539)-1</f>
        <v>-2.0400646110159015E-2</v>
      </c>
      <c r="N539" s="4">
        <f t="shared" si="17"/>
        <v>-1.5434829399032957E-2</v>
      </c>
    </row>
    <row r="540" spans="1:14">
      <c r="A540" s="3">
        <f>prices!A541</f>
        <v>44264</v>
      </c>
      <c r="B540" s="5">
        <f>prices!B541/prices!B540-1</f>
        <v>-2.0223673832697742E-5</v>
      </c>
      <c r="C540" s="5">
        <f>prices!C541/prices!C540-1</f>
        <v>1.4631268891493354E-2</v>
      </c>
      <c r="D540" s="5">
        <f>prices!D541/prices!D540-1</f>
        <v>2.8294557217725558E-2</v>
      </c>
      <c r="E540" s="5">
        <f>prices!E541/prices!E540-1</f>
        <v>7.3415697926983992E-3</v>
      </c>
      <c r="F540" s="5">
        <f>prices!F541/prices!F540-1</f>
        <v>-9.4238864107543119E-4</v>
      </c>
      <c r="G540" s="5">
        <f>prices!G541/prices!G540-1</f>
        <v>5.7921783816741179E-3</v>
      </c>
      <c r="H540" s="5">
        <f>prices!H541/prices!H540-1</f>
        <v>-3.5809745733671461E-3</v>
      </c>
      <c r="I540" s="5">
        <f>prices!I541/prices!I540-1</f>
        <v>-4.5507855020963106E-3</v>
      </c>
      <c r="J540" s="5">
        <f>prices!J541/prices!J540-1</f>
        <v>9.5077626669874959E-3</v>
      </c>
      <c r="K540" s="8">
        <f>SUMPRODUCT(B540:I540,weights!$B$5:$I$5)</f>
        <v>3.6183079973191703E-3</v>
      </c>
      <c r="L540" s="4">
        <f t="shared" si="16"/>
        <v>143.59916396923882</v>
      </c>
      <c r="M540" s="4">
        <f>L540/MAX(L$2:L540)-1</f>
        <v>-1.6856153933810902E-2</v>
      </c>
      <c r="N540" s="4">
        <f t="shared" si="17"/>
        <v>-1.2001576645934486E-2</v>
      </c>
    </row>
    <row r="541" spans="1:14">
      <c r="A541" s="3">
        <f>prices!A542</f>
        <v>44265</v>
      </c>
      <c r="B541" s="5">
        <f>prices!B542/prices!B541-1</f>
        <v>-4.1560490231767888E-3</v>
      </c>
      <c r="C541" s="5">
        <f>prices!C542/prices!C541-1</f>
        <v>6.5546735772559206E-3</v>
      </c>
      <c r="D541" s="5">
        <f>prices!D542/prices!D541-1</f>
        <v>-4.3135423249169857E-3</v>
      </c>
      <c r="E541" s="5">
        <f>prices!E542/prices!E541-1</f>
        <v>1.6792734360849826E-2</v>
      </c>
      <c r="F541" s="5">
        <f>prices!F542/prices!F541-1</f>
        <v>-6.225631995975367E-3</v>
      </c>
      <c r="G541" s="5">
        <f>prices!G542/prices!G541-1</f>
        <v>-4.0340622068268939E-3</v>
      </c>
      <c r="H541" s="5">
        <f>prices!H542/prices!H541-1</f>
        <v>2.1872581893216392E-2</v>
      </c>
      <c r="I541" s="5">
        <f>prices!I542/prices!I541-1</f>
        <v>1.0540054322903947E-2</v>
      </c>
      <c r="J541" s="5">
        <f>prices!J542/prices!J541-1</f>
        <v>5.0601388226567678E-3</v>
      </c>
      <c r="K541" s="8">
        <f>SUMPRODUCT(B541:I541,weights!$B$5:$I$5)</f>
        <v>5.2197186431724111E-3</v>
      </c>
      <c r="L541" s="4">
        <f t="shared" si="16"/>
        <v>144.34871120255303</v>
      </c>
      <c r="M541" s="4">
        <f>L541/MAX(L$2:L541)-1</f>
        <v>-1.172441967157889E-2</v>
      </c>
      <c r="N541" s="4">
        <f t="shared" si="17"/>
        <v>-5.5338311345521918E-3</v>
      </c>
    </row>
    <row r="542" spans="1:14">
      <c r="A542" s="3">
        <f>prices!A543</f>
        <v>44267</v>
      </c>
      <c r="B542" s="5">
        <f>prices!B543/prices!B542-1</f>
        <v>-2.0328794386734517E-2</v>
      </c>
      <c r="C542" s="5">
        <f>prices!C543/prices!C542-1</f>
        <v>-4.2318494805508866E-3</v>
      </c>
      <c r="D542" s="5">
        <f>prices!D543/prices!D542-1</f>
        <v>-2.4420529801324475E-3</v>
      </c>
      <c r="E542" s="5">
        <f>prices!E543/prices!E542-1</f>
        <v>4.8943930782932021E-3</v>
      </c>
      <c r="F542" s="5">
        <f>prices!F543/prices!F542-1</f>
        <v>-6.3279124216920613E-3</v>
      </c>
      <c r="G542" s="5">
        <f>prices!G543/prices!G542-1</f>
        <v>-2.4187927049293179E-2</v>
      </c>
      <c r="H542" s="5">
        <f>prices!H543/prices!H542-1</f>
        <v>-1.9805812172917991E-2</v>
      </c>
      <c r="I542" s="5">
        <f>prices!I543/prices!I542-1</f>
        <v>-6.6951039870427609E-3</v>
      </c>
      <c r="J542" s="5">
        <f>prices!J543/prices!J542-1</f>
        <v>-9.4795318554444785E-3</v>
      </c>
      <c r="K542" s="8">
        <f>SUMPRODUCT(B542:I542,weights!$B$5:$I$5)</f>
        <v>-1.2262733167128165E-2</v>
      </c>
      <c r="L542" s="4">
        <f t="shared" si="16"/>
        <v>142.57860147405728</v>
      </c>
      <c r="M542" s="4">
        <f>L542/MAX(L$2:L542)-1</f>
        <v>-2.3843379408735044E-2</v>
      </c>
      <c r="N542" s="4">
        <f t="shared" si="17"/>
        <v>-2.3843379408735044E-2</v>
      </c>
    </row>
    <row r="543" spans="1:14">
      <c r="A543" s="3">
        <f>prices!A544</f>
        <v>44270</v>
      </c>
      <c r="B543" s="5">
        <f>prices!B544/prices!B543-1</f>
        <v>-1.342261010168011E-2</v>
      </c>
      <c r="C543" s="5">
        <f>prices!C544/prices!C543-1</f>
        <v>2.6803146621174889E-3</v>
      </c>
      <c r="D543" s="5">
        <f>prices!D544/prices!D543-1</f>
        <v>-1.502012364632177E-2</v>
      </c>
      <c r="E543" s="5">
        <f>prices!E544/prices!E543-1</f>
        <v>-9.0320511197228281E-4</v>
      </c>
      <c r="F543" s="5">
        <f>prices!F544/prices!F543-1</f>
        <v>1.2099598802777223E-3</v>
      </c>
      <c r="G543" s="5">
        <f>prices!G544/prices!G543-1</f>
        <v>-9.7272797476555262E-4</v>
      </c>
      <c r="H543" s="5">
        <f>prices!H544/prices!H543-1</f>
        <v>-1.3201716738197478E-2</v>
      </c>
      <c r="I543" s="5">
        <f>prices!I544/prices!I543-1</f>
        <v>-1.9981726173741943E-2</v>
      </c>
      <c r="J543" s="5">
        <f>prices!J544/prices!J543-1</f>
        <v>-6.7494070567729603E-3</v>
      </c>
      <c r="K543" s="8">
        <f>SUMPRODUCT(B543:I543,weights!$B$5:$I$5)</f>
        <v>-8.6819111123758834E-3</v>
      </c>
      <c r="L543" s="4">
        <f t="shared" si="16"/>
        <v>141.34074672953264</v>
      </c>
      <c r="M543" s="4">
        <f>L543/MAX(L$2:L543)-1</f>
        <v>-3.2318284420465693E-2</v>
      </c>
      <c r="N543" s="4">
        <f t="shared" si="17"/>
        <v>-2.1964696821950902E-2</v>
      </c>
    </row>
    <row r="544" spans="1:14">
      <c r="A544" s="3">
        <f>prices!A545</f>
        <v>44271</v>
      </c>
      <c r="B544" s="5">
        <f>prices!B545/prices!B544-1</f>
        <v>-3.9397377710539416E-3</v>
      </c>
      <c r="C544" s="5">
        <f>prices!C545/prices!C544-1</f>
        <v>1.4318554759870095E-2</v>
      </c>
      <c r="D544" s="5">
        <f>prices!D545/prices!D544-1</f>
        <v>-1.0797983627504615E-2</v>
      </c>
      <c r="E544" s="5">
        <f>prices!E545/prices!E544-1</f>
        <v>7.5701250422439692E-3</v>
      </c>
      <c r="F544" s="5">
        <f>prices!F545/prices!F544-1</f>
        <v>1.1703345630327044E-2</v>
      </c>
      <c r="G544" s="5">
        <f>prices!G545/prices!G544-1</f>
        <v>8.6040174875019471E-3</v>
      </c>
      <c r="H544" s="5">
        <f>prices!H545/prices!H544-1</f>
        <v>-5.2887040935264418E-3</v>
      </c>
      <c r="I544" s="5">
        <f>prices!I545/prices!I544-1</f>
        <v>-1.4788040477061282E-2</v>
      </c>
      <c r="J544" s="5">
        <f>prices!J545/prices!J544-1</f>
        <v>-1.2759971867778441E-3</v>
      </c>
      <c r="K544" s="8">
        <f>SUMPRODUCT(B544:I544,weights!$B$5:$I$5)</f>
        <v>-4.6551601145426291E-4</v>
      </c>
      <c r="L544" s="4">
        <f t="shared" si="16"/>
        <v>141.27495034885914</v>
      </c>
      <c r="M544" s="4">
        <f>L544/MAX(L$2:L544)-1</f>
        <v>-3.2768755753059597E-2</v>
      </c>
      <c r="N544" s="4">
        <f t="shared" si="17"/>
        <v>-2.5355815335988297E-2</v>
      </c>
    </row>
    <row r="545" spans="1:14">
      <c r="A545" s="3">
        <f>prices!A546</f>
        <v>44272</v>
      </c>
      <c r="B545" s="5">
        <f>prices!B546/prices!B545-1</f>
        <v>-2.153803963758727E-2</v>
      </c>
      <c r="C545" s="5">
        <f>prices!C546/prices!C545-1</f>
        <v>9.3190044321178611E-4</v>
      </c>
      <c r="D545" s="5">
        <f>prices!D546/prices!D545-1</f>
        <v>-1.1100386100386217E-2</v>
      </c>
      <c r="E545" s="5">
        <f>prices!E546/prices!E545-1</f>
        <v>2.163413161601957E-3</v>
      </c>
      <c r="F545" s="5">
        <f>prices!F546/prices!F545-1</f>
        <v>1.32025650697849E-2</v>
      </c>
      <c r="G545" s="5">
        <f>prices!G546/prices!G545-1</f>
        <v>-1.1977945370429066E-2</v>
      </c>
      <c r="H545" s="5">
        <f>prices!H546/prices!H545-1</f>
        <v>-2.9137590289801785E-2</v>
      </c>
      <c r="I545" s="5">
        <f>prices!I546/prices!I545-1</f>
        <v>-1.6524112829845339E-2</v>
      </c>
      <c r="J545" s="5">
        <f>prices!J546/prices!J545-1</f>
        <v>-1.2685733830971047E-2</v>
      </c>
      <c r="K545" s="8">
        <f>SUMPRODUCT(B545:I545,weights!$B$5:$I$5)</f>
        <v>-1.2175939007125974E-2</v>
      </c>
      <c r="L545" s="4">
        <f t="shared" si="16"/>
        <v>139.55479517017667</v>
      </c>
      <c r="M545" s="4">
        <f>L545/MAX(L$2:L545)-1</f>
        <v>-4.4545704388796903E-2</v>
      </c>
      <c r="N545" s="4">
        <f t="shared" si="17"/>
        <v>-4.1877830462376031E-2</v>
      </c>
    </row>
    <row r="546" spans="1:14">
      <c r="A546" s="3">
        <f>prices!A547</f>
        <v>44273</v>
      </c>
      <c r="B546" s="5">
        <f>prices!B547/prices!B546-1</f>
        <v>-2.2497224228443358E-2</v>
      </c>
      <c r="C546" s="5">
        <f>prices!C547/prices!C546-1</f>
        <v>-2.4556921484140792E-2</v>
      </c>
      <c r="D546" s="5">
        <f>prices!D547/prices!D546-1</f>
        <v>-2.9139034823298937E-3</v>
      </c>
      <c r="E546" s="5">
        <f>prices!E547/prices!E546-1</f>
        <v>-3.5979048479676035E-2</v>
      </c>
      <c r="F546" s="5">
        <f>prices!F547/prices!F546-1</f>
        <v>3.3507073715562274E-2</v>
      </c>
      <c r="G546" s="5">
        <f>prices!G547/prices!G546-1</f>
        <v>6.9498933424825271E-3</v>
      </c>
      <c r="H546" s="5">
        <f>prices!H547/prices!H546-1</f>
        <v>-1.7437985264181943E-2</v>
      </c>
      <c r="I546" s="5">
        <f>prices!I547/prices!I546-1</f>
        <v>-6.639280559564753E-3</v>
      </c>
      <c r="J546" s="5">
        <f>prices!J547/prices!J546-1</f>
        <v>-1.1102959657095401E-2</v>
      </c>
      <c r="K546" s="8">
        <f>SUMPRODUCT(B546:I546,weights!$B$5:$I$5)</f>
        <v>-8.0710911023670114E-3</v>
      </c>
      <c r="L546" s="4">
        <f t="shared" si="16"/>
        <v>138.42843570458601</v>
      </c>
      <c r="M546" s="4">
        <f>L546/MAX(L$2:L546)-1</f>
        <v>-5.2257263052822855E-2</v>
      </c>
      <c r="N546" s="4">
        <f t="shared" si="17"/>
        <v>-4.0432047539363358E-2</v>
      </c>
    </row>
    <row r="547" spans="1:14">
      <c r="A547" s="3">
        <f>prices!A548</f>
        <v>44274</v>
      </c>
      <c r="B547" s="5">
        <f>prices!B548/prices!B547-1</f>
        <v>3.6281429201588056E-2</v>
      </c>
      <c r="C547" s="5">
        <f>prices!C548/prices!C547-1</f>
        <v>4.5089243103941801E-3</v>
      </c>
      <c r="D547" s="5">
        <f>prices!D548/prices!D547-1</f>
        <v>4.3620344643910958E-3</v>
      </c>
      <c r="E547" s="5">
        <f>prices!E548/prices!E547-1</f>
        <v>5.5028034787438784E-3</v>
      </c>
      <c r="F547" s="5">
        <f>prices!F548/prices!F547-1</f>
        <v>2.437560038424591E-2</v>
      </c>
      <c r="G547" s="5">
        <f>prices!G548/prices!G547-1</f>
        <v>-2.8146938872208871E-5</v>
      </c>
      <c r="H547" s="5">
        <f>prices!H548/prices!H547-1</f>
        <v>6.5269603798838727E-3</v>
      </c>
      <c r="I547" s="5">
        <f>prices!I548/prices!I547-1</f>
        <v>-1.1802575107296098E-2</v>
      </c>
      <c r="J547" s="5">
        <f>prices!J548/prices!J547-1</f>
        <v>1.2786915650319308E-2</v>
      </c>
      <c r="K547" s="8">
        <f>SUMPRODUCT(B547:I547,weights!$B$5:$I$5)</f>
        <v>6.4968530704599056E-3</v>
      </c>
      <c r="L547" s="4">
        <f t="shared" si="16"/>
        <v>139.3277849121323</v>
      </c>
      <c r="M547" s="4">
        <f>L547/MAX(L$2:L547)-1</f>
        <v>-4.6099917742281504E-2</v>
      </c>
      <c r="N547" s="4">
        <f t="shared" si="17"/>
        <v>-2.8190784942798586E-2</v>
      </c>
    </row>
    <row r="548" spans="1:14">
      <c r="A548" s="3">
        <f>prices!A549</f>
        <v>44277</v>
      </c>
      <c r="B548" s="5">
        <f>prices!B549/prices!B548-1</f>
        <v>-9.4178993295732649E-3</v>
      </c>
      <c r="C548" s="5">
        <f>prices!C549/prices!C548-1</f>
        <v>2.6050337126481304E-2</v>
      </c>
      <c r="D548" s="5">
        <f>prices!D549/prices!D548-1</f>
        <v>-1.8934724650976009E-2</v>
      </c>
      <c r="E548" s="5">
        <f>prices!E549/prices!E548-1</f>
        <v>1.9594641254057077E-2</v>
      </c>
      <c r="F548" s="5">
        <f>prices!F549/prices!F548-1</f>
        <v>1.3656077833782643E-2</v>
      </c>
      <c r="G548" s="5">
        <f>prices!G549/prices!G548-1</f>
        <v>-1.7288632760996681E-3</v>
      </c>
      <c r="H548" s="5">
        <f>prices!H549/prices!H548-1</f>
        <v>2.1949397985391306E-2</v>
      </c>
      <c r="I548" s="5">
        <f>prices!I549/prices!I548-1</f>
        <v>-7.9321993002774427E-3</v>
      </c>
      <c r="J548" s="5">
        <f>prices!J549/prices!J548-1</f>
        <v>-5.1546391752577136E-4</v>
      </c>
      <c r="K548" s="8">
        <f>SUMPRODUCT(B548:I548,weights!$B$5:$I$5)</f>
        <v>3.8949543054354668E-3</v>
      </c>
      <c r="L548" s="4">
        <f t="shared" si="16"/>
        <v>139.87046026784259</v>
      </c>
      <c r="M548" s="4">
        <f>L548/MAX(L$2:L548)-1</f>
        <v>-4.2384520509936685E-2</v>
      </c>
      <c r="N548" s="4">
        <f t="shared" si="17"/>
        <v>-1.5127063056751933E-2</v>
      </c>
    </row>
    <row r="549" spans="1:14">
      <c r="A549" s="3">
        <f>prices!A550</f>
        <v>44278</v>
      </c>
      <c r="B549" s="5">
        <f>prices!B550/prices!B549-1</f>
        <v>1.2171671053338162E-2</v>
      </c>
      <c r="C549" s="5">
        <f>prices!C550/prices!C549-1</f>
        <v>4.1376500222254364E-3</v>
      </c>
      <c r="D549" s="5">
        <f>prices!D550/prices!D549-1</f>
        <v>2.1097231353641499E-2</v>
      </c>
      <c r="E549" s="5">
        <f>prices!E550/prices!E549-1</f>
        <v>5.5029716046650634E-4</v>
      </c>
      <c r="F549" s="5">
        <f>prices!F550/prices!F549-1</f>
        <v>-1.6825672159583638E-2</v>
      </c>
      <c r="G549" s="5">
        <f>prices!G550/prices!G549-1</f>
        <v>1.1970147348863147E-2</v>
      </c>
      <c r="H549" s="5">
        <f>prices!H550/prices!H549-1</f>
        <v>-5.3293882789106073E-3</v>
      </c>
      <c r="I549" s="5">
        <f>prices!I550/prices!I549-1</f>
        <v>3.0705621256801319E-3</v>
      </c>
      <c r="J549" s="5">
        <f>prices!J550/prices!J549-1</f>
        <v>5.3167666458564522E-3</v>
      </c>
      <c r="K549" s="8">
        <f>SUMPRODUCT(B549:I549,weights!$B$5:$I$5)</f>
        <v>4.2486704854385916E-3</v>
      </c>
      <c r="L549" s="4">
        <f t="shared" si="16"/>
        <v>140.46472376416727</v>
      </c>
      <c r="M549" s="4">
        <f>L549/MAX(L$2:L549)-1</f>
        <v>-3.831592788582816E-2</v>
      </c>
      <c r="N549" s="4">
        <f t="shared" si="17"/>
        <v>1.6569580681708551E-2</v>
      </c>
    </row>
    <row r="550" spans="1:14">
      <c r="A550" s="3">
        <f>prices!A551</f>
        <v>44279</v>
      </c>
      <c r="B550" s="5">
        <f>prices!B551/prices!B550-1</f>
        <v>-1.9253221252839126E-2</v>
      </c>
      <c r="C550" s="5">
        <f>prices!C551/prices!C550-1</f>
        <v>-6.8430741080948154E-3</v>
      </c>
      <c r="D550" s="5">
        <f>prices!D551/prices!D550-1</f>
        <v>-1.4222552905321262E-2</v>
      </c>
      <c r="E550" s="5">
        <f>prices!E551/prices!E550-1</f>
        <v>-1.2979870201297872E-2</v>
      </c>
      <c r="F550" s="5">
        <f>prices!F551/prices!F550-1</f>
        <v>-2.8111032698188709E-2</v>
      </c>
      <c r="G550" s="5">
        <f>prices!G551/prices!G550-1</f>
        <v>-1.6706041421949314E-2</v>
      </c>
      <c r="H550" s="5">
        <f>prices!H551/prices!H550-1</f>
        <v>-4.3365289848579236E-3</v>
      </c>
      <c r="I550" s="5">
        <f>prices!I551/prices!I550-1</f>
        <v>-2.5065163363035659E-2</v>
      </c>
      <c r="J550" s="5">
        <f>prices!J551/prices!J550-1</f>
        <v>-1.7911203361514749E-2</v>
      </c>
      <c r="K550" s="8">
        <f>SUMPRODUCT(B550:I550,weights!$B$5:$I$5)</f>
        <v>-1.6398574855793571E-2</v>
      </c>
      <c r="L550" s="4">
        <f t="shared" si="16"/>
        <v>138.1613024769222</v>
      </c>
      <c r="M550" s="4">
        <f>L550/MAX(L$2:L550)-1</f>
        <v>-5.4086176130016872E-2</v>
      </c>
      <c r="N550" s="4">
        <f t="shared" si="17"/>
        <v>-5.111011003436472E-3</v>
      </c>
    </row>
    <row r="551" spans="1:14">
      <c r="A551" s="3">
        <f>prices!A552</f>
        <v>44280</v>
      </c>
      <c r="B551" s="5">
        <f>prices!B552/prices!B551-1</f>
        <v>-2.7282368728626438E-2</v>
      </c>
      <c r="C551" s="5">
        <f>prices!C552/prices!C551-1</f>
        <v>-1.8022301297813681E-2</v>
      </c>
      <c r="D551" s="5">
        <f>prices!D552/prices!D551-1</f>
        <v>-1.0450685826257411E-2</v>
      </c>
      <c r="E551" s="5">
        <f>prices!E552/prices!E551-1</f>
        <v>-1.4736517244039904E-2</v>
      </c>
      <c r="F551" s="5">
        <f>prices!F552/prices!F551-1</f>
        <v>-2.015006656178131E-2</v>
      </c>
      <c r="G551" s="5">
        <f>prices!G552/prices!G551-1</f>
        <v>-3.9533673270028991E-2</v>
      </c>
      <c r="H551" s="5">
        <f>prices!H552/prices!H551-1</f>
        <v>-1.6305815020787096E-2</v>
      </c>
      <c r="I551" s="5">
        <f>prices!I552/prices!I551-1</f>
        <v>1.4222650542481396E-3</v>
      </c>
      <c r="J551" s="5">
        <f>prices!J552/prices!J551-1</f>
        <v>-1.5430189561081553E-2</v>
      </c>
      <c r="K551" s="8">
        <f>SUMPRODUCT(B551:I551,weights!$B$5:$I$5)</f>
        <v>-1.862948660331179E-2</v>
      </c>
      <c r="L551" s="4">
        <f t="shared" si="16"/>
        <v>135.58742834333228</v>
      </c>
      <c r="M551" s="4">
        <f>L551/MAX(L$2:L551)-1</f>
        <v>-7.1708065039690072E-2</v>
      </c>
      <c r="N551" s="4">
        <f t="shared" si="17"/>
        <v>-3.3361602690729186E-2</v>
      </c>
    </row>
    <row r="552" spans="1:14">
      <c r="A552" s="3">
        <f>prices!A553</f>
        <v>44281</v>
      </c>
      <c r="B552" s="5">
        <f>prices!B553/prices!B552-1</f>
        <v>1.6020827075196031E-3</v>
      </c>
      <c r="C552" s="5">
        <f>prices!C553/prices!C552-1</f>
        <v>6.3547301131006151E-4</v>
      </c>
      <c r="D552" s="5">
        <f>prices!D553/prices!D552-1</f>
        <v>1.909790979097914E-2</v>
      </c>
      <c r="E552" s="5">
        <f>prices!E553/prices!E552-1</f>
        <v>1.8010963194987628E-3</v>
      </c>
      <c r="F552" s="5">
        <f>prices!F553/prices!F552-1</f>
        <v>-3.3347742851851381E-3</v>
      </c>
      <c r="G552" s="5">
        <f>prices!G553/prices!G552-1</f>
        <v>-3.5247954609340937E-4</v>
      </c>
      <c r="H552" s="5">
        <f>prices!H553/prices!H552-1</f>
        <v>1.9887663062370775E-2</v>
      </c>
      <c r="I552" s="5">
        <f>prices!I553/prices!I552-1</f>
        <v>1.9836865837284945E-2</v>
      </c>
      <c r="J552" s="5">
        <f>prices!J553/prices!J552-1</f>
        <v>1.2733073180266397E-2</v>
      </c>
      <c r="K552" s="8">
        <f>SUMPRODUCT(B552:I552,weights!$B$5:$I$5)</f>
        <v>8.3923214637300105E-3</v>
      </c>
      <c r="L552" s="4">
        <f t="shared" si="16"/>
        <v>136.72532162842998</v>
      </c>
      <c r="M552" s="4">
        <f>L552/MAX(L$2:L552)-1</f>
        <v>-6.3917540709315213E-2</v>
      </c>
      <c r="N552" s="4">
        <f t="shared" si="17"/>
        <v>-3.0564404729856109E-2</v>
      </c>
    </row>
    <row r="553" spans="1:14">
      <c r="A553" s="3">
        <f>prices!A554</f>
        <v>44285</v>
      </c>
      <c r="B553" s="5">
        <f>prices!B554/prices!B553-1</f>
        <v>1.7372566007975321E-2</v>
      </c>
      <c r="C553" s="5">
        <f>prices!C554/prices!C553-1</f>
        <v>2.9920087095237857E-2</v>
      </c>
      <c r="D553" s="5">
        <f>prices!D554/prices!D553-1</f>
        <v>4.1841184852541291E-2</v>
      </c>
      <c r="E553" s="5">
        <f>prices!E554/prices!E553-1</f>
        <v>3.6747526859306934E-2</v>
      </c>
      <c r="F553" s="5">
        <f>prices!F554/prices!F553-1</f>
        <v>1.7349278146105762E-2</v>
      </c>
      <c r="G553" s="5">
        <f>prices!G554/prices!G553-1</f>
        <v>9.9272735180542249E-3</v>
      </c>
      <c r="H553" s="5">
        <f>prices!H554/prices!H553-1</f>
        <v>1.7867393800229392E-2</v>
      </c>
      <c r="I553" s="5">
        <f>prices!I554/prices!I553-1</f>
        <v>1.8058398715441459E-2</v>
      </c>
      <c r="J553" s="5">
        <f>prices!J554/prices!J553-1</f>
        <v>2.3284829017115705E-2</v>
      </c>
      <c r="K553" s="8">
        <f>SUMPRODUCT(B553:I553,weights!$B$5:$I$5)</f>
        <v>2.0696126674509763E-2</v>
      </c>
      <c r="L553" s="4">
        <f t="shared" si="16"/>
        <v>139.55500620446506</v>
      </c>
      <c r="M553" s="4">
        <f>L553/MAX(L$2:L553)-1</f>
        <v>-4.4544259554048504E-2</v>
      </c>
      <c r="N553" s="4">
        <f t="shared" si="17"/>
        <v>1.7123427950578307E-2</v>
      </c>
    </row>
    <row r="554" spans="1:14">
      <c r="A554" s="3">
        <f>prices!A555</f>
        <v>44286</v>
      </c>
      <c r="B554" s="5">
        <f>prices!B555/prices!B554-1</f>
        <v>-1.2905198108984384E-2</v>
      </c>
      <c r="C554" s="5">
        <f>prices!C555/prices!C554-1</f>
        <v>6.1074754177783408E-3</v>
      </c>
      <c r="D554" s="5">
        <f>prices!D555/prices!D554-1</f>
        <v>-3.8641136162687939E-2</v>
      </c>
      <c r="E554" s="5">
        <f>prices!E555/prices!E554-1</f>
        <v>-1.2457274981569677E-2</v>
      </c>
      <c r="F554" s="5">
        <f>prices!F555/prices!F554-1</f>
        <v>1.8393324806626588E-2</v>
      </c>
      <c r="G554" s="5">
        <f>prices!G555/prices!G554-1</f>
        <v>1.079712630330798E-3</v>
      </c>
      <c r="H554" s="5">
        <f>prices!H555/prices!H554-1</f>
        <v>1.7624250969339172E-4</v>
      </c>
      <c r="I554" s="5">
        <f>prices!I555/prices!I554-1</f>
        <v>-3.2665570339361905E-3</v>
      </c>
      <c r="J554" s="5">
        <f>prices!J555/prices!J554-1</f>
        <v>-1.0400738290749056E-2</v>
      </c>
      <c r="K554" s="8">
        <f>SUMPRODUCT(B554:I554,weights!$B$5:$I$5)</f>
        <v>-3.9044847229399446E-3</v>
      </c>
      <c r="L554" s="4">
        <f t="shared" si="16"/>
        <v>139.01011581472994</v>
      </c>
      <c r="M554" s="4">
        <f>L554/MAX(L$2:L554)-1</f>
        <v>-4.8274821896065023E-2</v>
      </c>
      <c r="N554" s="4">
        <f t="shared" si="17"/>
        <v>-2.8975574843398411E-3</v>
      </c>
    </row>
    <row r="555" spans="1:14">
      <c r="A555" s="3">
        <f>prices!A556</f>
        <v>44287</v>
      </c>
      <c r="B555" s="5">
        <f>prices!B556/prices!B555-1</f>
        <v>9.3574754725744835E-3</v>
      </c>
      <c r="C555" s="5">
        <f>prices!C556/prices!C555-1</f>
        <v>-4.0420696272029932E-3</v>
      </c>
      <c r="D555" s="5">
        <f>prices!D556/prices!D555-1</f>
        <v>-4.6273010763504541E-3</v>
      </c>
      <c r="E555" s="5">
        <f>prices!E556/prices!E555-1</f>
        <v>1.2538068051679119E-2</v>
      </c>
      <c r="F555" s="5">
        <f>prices!F556/prices!F555-1</f>
        <v>7.1167992344955966E-3</v>
      </c>
      <c r="G555" s="5">
        <f>prices!G556/prices!G555-1</f>
        <v>9.4319185711542186E-3</v>
      </c>
      <c r="H555" s="5">
        <f>prices!H556/prices!H555-1</f>
        <v>2.1656387665198285E-2</v>
      </c>
      <c r="I555" s="5">
        <f>prices!I556/prices!I555-1</f>
        <v>1.8111186938946755E-2</v>
      </c>
      <c r="J555" s="5">
        <f>prices!J556/prices!J555-1</f>
        <v>1.2024614211712192E-2</v>
      </c>
      <c r="K555" s="8">
        <f>SUMPRODUCT(B555:I555,weights!$B$5:$I$5)</f>
        <v>1.0817604899883097E-2</v>
      </c>
      <c r="L555" s="4">
        <f t="shared" si="16"/>
        <v>140.51387232470069</v>
      </c>
      <c r="M555" s="4">
        <f>L555/MAX(L$2:L555)-1</f>
        <v>-3.7979434946065704E-2</v>
      </c>
      <c r="N555" s="4">
        <f t="shared" si="17"/>
        <v>-8.5271321677685696E-3</v>
      </c>
    </row>
    <row r="556" spans="1:14">
      <c r="A556" s="3">
        <f>prices!A557</f>
        <v>44291</v>
      </c>
      <c r="B556" s="5">
        <f>prices!B557/prices!B556-1</f>
        <v>-1.4464960824064343E-2</v>
      </c>
      <c r="C556" s="5">
        <f>prices!C557/prices!C556-1</f>
        <v>2.3347215659556886E-2</v>
      </c>
      <c r="D556" s="5">
        <f>prices!D557/prices!D556-1</f>
        <v>-2.4990976683750721E-2</v>
      </c>
      <c r="E556" s="5">
        <f>prices!E557/prices!E556-1</f>
        <v>1.7828567598589196E-2</v>
      </c>
      <c r="F556" s="5">
        <f>prices!F557/prices!F556-1</f>
        <v>-3.408551068883614E-2</v>
      </c>
      <c r="G556" s="5">
        <f>prices!G557/prices!G556-1</f>
        <v>-2.2436355998502466E-2</v>
      </c>
      <c r="H556" s="5">
        <f>prices!H557/prices!H556-1</f>
        <v>-3.1908104658581182E-3</v>
      </c>
      <c r="I556" s="5">
        <f>prices!I557/prices!I556-1</f>
        <v>-2.8241429602675283E-2</v>
      </c>
      <c r="J556" s="5">
        <f>prices!J557/prices!J556-1</f>
        <v>-1.5439873279367244E-2</v>
      </c>
      <c r="K556" s="8">
        <f>SUMPRODUCT(B556:I556,weights!$B$5:$I$5)</f>
        <v>-1.3394405828148902E-2</v>
      </c>
      <c r="L556" s="4">
        <f t="shared" si="16"/>
        <v>138.63177249429896</v>
      </c>
      <c r="M556" s="4">
        <f>L556/MAX(L$2:L556)-1</f>
        <v>-5.0865128809423177E-2</v>
      </c>
      <c r="N556" s="4">
        <f t="shared" si="17"/>
        <v>-3.3755336839887184E-2</v>
      </c>
    </row>
    <row r="557" spans="1:14">
      <c r="A557" s="3">
        <f>prices!A558</f>
        <v>44292</v>
      </c>
      <c r="B557" s="5">
        <f>prices!B558/prices!B557-1</f>
        <v>-4.1696781008505601E-3</v>
      </c>
      <c r="C557" s="5">
        <f>prices!C558/prices!C557-1</f>
        <v>7.967557081139498E-3</v>
      </c>
      <c r="D557" s="5">
        <f>prices!D558/prices!D557-1</f>
        <v>-6.4411999881541782E-3</v>
      </c>
      <c r="E557" s="5">
        <f>prices!E558/prices!E557-1</f>
        <v>8.231333393695639E-4</v>
      </c>
      <c r="F557" s="5">
        <f>prices!F558/prices!F557-1</f>
        <v>4.3034550596332544E-4</v>
      </c>
      <c r="G557" s="5">
        <f>prices!G558/prices!G557-1</f>
        <v>-2.5487604180776113E-3</v>
      </c>
      <c r="H557" s="5">
        <f>prices!H558/prices!H557-1</f>
        <v>1.9136934629892188E-2</v>
      </c>
      <c r="I557" s="5">
        <f>prices!I558/prices!I557-1</f>
        <v>-1.9935720566387483E-3</v>
      </c>
      <c r="J557" s="5">
        <f>prices!J558/prices!J557-1</f>
        <v>3.1220538605529757E-3</v>
      </c>
      <c r="K557" s="8">
        <f>SUMPRODUCT(B557:I557,weights!$B$5:$I$5)</f>
        <v>1.7938105830453447E-3</v>
      </c>
      <c r="L557" s="4">
        <f t="shared" si="16"/>
        <v>138.88045163494556</v>
      </c>
      <c r="M557" s="4">
        <f>L557/MAX(L$2:L557)-1</f>
        <v>-4.9162560632744157E-2</v>
      </c>
      <c r="N557" s="4">
        <f t="shared" si="17"/>
        <v>-2.2266312584715564E-2</v>
      </c>
    </row>
    <row r="558" spans="1:14">
      <c r="A558" s="3">
        <f>prices!A559</f>
        <v>44293</v>
      </c>
      <c r="B558" s="5">
        <f>prices!B559/prices!B558-1</f>
        <v>9.3568557391692231E-3</v>
      </c>
      <c r="C558" s="5">
        <f>prices!C559/prices!C558-1</f>
        <v>2.0524912200958756E-3</v>
      </c>
      <c r="D558" s="5">
        <f>prices!D559/prices!D558-1</f>
        <v>4.8137826197112155E-3</v>
      </c>
      <c r="E558" s="5">
        <f>prices!E559/prices!E558-1</f>
        <v>1.3570529744133752E-2</v>
      </c>
      <c r="F558" s="5">
        <f>prices!F559/prices!F558-1</f>
        <v>5.4077305966939715E-3</v>
      </c>
      <c r="G558" s="5">
        <f>prices!G559/prices!G558-1</f>
        <v>1.6841076680049305E-2</v>
      </c>
      <c r="H558" s="5">
        <f>prices!H559/prices!H558-1</f>
        <v>9.6774193548387899E-4</v>
      </c>
      <c r="I558" s="5">
        <f>prices!I559/prices!I558-1</f>
        <v>2.2481980237123445E-3</v>
      </c>
      <c r="J558" s="5">
        <f>prices!J559/prices!J558-1</f>
        <v>9.2314502673067622E-3</v>
      </c>
      <c r="K558" s="8">
        <f>SUMPRODUCT(B558:I558,weights!$B$5:$I$5)</f>
        <v>7.1939225633330956E-3</v>
      </c>
      <c r="L558" s="4">
        <f t="shared" si="16"/>
        <v>139.87954684956807</v>
      </c>
      <c r="M558" s="4">
        <f>L558/MAX(L$2:L558)-1</f>
        <v>-4.2322309723618279E-2</v>
      </c>
      <c r="N558" s="4">
        <f t="shared" si="17"/>
        <v>-1.3280095282897975E-2</v>
      </c>
    </row>
    <row r="559" spans="1:14">
      <c r="A559" s="3">
        <f>prices!A560</f>
        <v>44294</v>
      </c>
      <c r="B559" s="5">
        <f>prices!B560/prices!B559-1</f>
        <v>1.2389654638376157E-3</v>
      </c>
      <c r="C559" s="5">
        <f>prices!C560/prices!C559-1</f>
        <v>1.404387870454693E-2</v>
      </c>
      <c r="D559" s="5">
        <f>prices!D560/prices!D559-1</f>
        <v>-9.9374091542820953E-3</v>
      </c>
      <c r="E559" s="5">
        <f>prices!E560/prices!E559-1</f>
        <v>6.7431047493855534E-3</v>
      </c>
      <c r="F559" s="5">
        <f>prices!F560/prices!F559-1</f>
        <v>-2.5670802518183988E-3</v>
      </c>
      <c r="G559" s="5">
        <f>prices!G560/prices!G559-1</f>
        <v>-5.5570480101315711E-3</v>
      </c>
      <c r="H559" s="5">
        <f>prices!H560/prices!H559-1</f>
        <v>-1.094017673897929E-2</v>
      </c>
      <c r="I559" s="5">
        <f>prices!I560/prices!I559-1</f>
        <v>1.0685298998916348E-2</v>
      </c>
      <c r="J559" s="5">
        <f>prices!J560/prices!J559-1</f>
        <v>3.6945688151399647E-3</v>
      </c>
      <c r="K559" s="8">
        <f>SUMPRODUCT(B559:I559,weights!$B$5:$I$5)</f>
        <v>3.8323757093440525E-4</v>
      </c>
      <c r="L559" s="4">
        <f t="shared" si="16"/>
        <v>139.93315394732613</v>
      </c>
      <c r="M559" s="4">
        <f>L559/MAX(L$2:L559)-1</f>
        <v>-4.1955291651858517E-2</v>
      </c>
      <c r="N559" s="4">
        <f t="shared" si="17"/>
        <v>-2.2003531807273324E-2</v>
      </c>
    </row>
    <row r="560" spans="1:14">
      <c r="A560" s="3">
        <f>prices!A561</f>
        <v>44295</v>
      </c>
      <c r="B560" s="5">
        <f>prices!B561/prices!B560-1</f>
        <v>-1.1611976577173833E-2</v>
      </c>
      <c r="C560" s="5">
        <f>prices!C561/prices!C560-1</f>
        <v>1.4782456753450468E-3</v>
      </c>
      <c r="D560" s="5">
        <f>prices!D561/prices!D560-1</f>
        <v>-7.7151246404602025E-3</v>
      </c>
      <c r="E560" s="5">
        <f>prices!E561/prices!E560-1</f>
        <v>8.3824999193993222E-4</v>
      </c>
      <c r="F560" s="5">
        <f>prices!F561/prices!F560-1</f>
        <v>-6.7406091059496465E-4</v>
      </c>
      <c r="G560" s="5">
        <f>prices!G561/prices!G560-1</f>
        <v>3.7048185796528799E-5</v>
      </c>
      <c r="H560" s="5">
        <f>prices!H561/prices!H560-1</f>
        <v>3.6613390039786031E-2</v>
      </c>
      <c r="I560" s="5">
        <f>prices!I561/prices!I560-1</f>
        <v>-1.0609821020192478E-2</v>
      </c>
      <c r="J560" s="5">
        <f>prices!J561/prices!J560-1</f>
        <v>-2.6186986513196953E-3</v>
      </c>
      <c r="K560" s="8">
        <f>SUMPRODUCT(B560:I560,weights!$B$5:$I$5)</f>
        <v>1.5323329113633021E-3</v>
      </c>
      <c r="L560" s="4">
        <f t="shared" si="16"/>
        <v>140.14757812451049</v>
      </c>
      <c r="M560" s="4">
        <f>L560/MAX(L$2:L560)-1</f>
        <v>-4.0487248214699179E-2</v>
      </c>
      <c r="N560" s="4">
        <f t="shared" si="17"/>
        <v>-2.40362530625019E-2</v>
      </c>
    </row>
    <row r="561" spans="1:14">
      <c r="A561" s="3">
        <f>prices!A562</f>
        <v>44298</v>
      </c>
      <c r="B561" s="5">
        <f>prices!B562/prices!B561-1</f>
        <v>-3.5770576465196324E-2</v>
      </c>
      <c r="C561" s="5">
        <f>prices!C562/prices!C561-1</f>
        <v>-2.2786515128780493E-2</v>
      </c>
      <c r="D561" s="5">
        <f>prices!D562/prices!D561-1</f>
        <v>-3.8483023083774937E-2</v>
      </c>
      <c r="E561" s="5">
        <f>prices!E562/prices!E561-1</f>
        <v>-1.0622362529394747E-2</v>
      </c>
      <c r="F561" s="5">
        <f>prices!F562/prices!F561-1</f>
        <v>-3.6607799852832912E-2</v>
      </c>
      <c r="G561" s="5">
        <f>prices!G562/prices!G561-1</f>
        <v>-4.4894563225789552E-2</v>
      </c>
      <c r="H561" s="5">
        <f>prices!H562/prices!H561-1</f>
        <v>-2.7313183449964362E-2</v>
      </c>
      <c r="I561" s="5">
        <f>prices!I562/prices!I561-1</f>
        <v>-4.1984964229416777E-2</v>
      </c>
      <c r="J561" s="5">
        <f>prices!J562/prices!J561-1</f>
        <v>-3.5325601539617946E-2</v>
      </c>
      <c r="K561" s="8">
        <f>SUMPRODUCT(B561:I561,weights!$B$5:$I$5)</f>
        <v>-3.4492913472946585E-2</v>
      </c>
      <c r="L561" s="4">
        <f t="shared" si="16"/>
        <v>135.31347983881872</v>
      </c>
      <c r="M561" s="4">
        <f>L561/MAX(L$2:L561)-1</f>
        <v>-7.3583638538218477E-2</v>
      </c>
      <c r="N561" s="4">
        <f t="shared" si="17"/>
        <v>-6.2593086481083193E-2</v>
      </c>
    </row>
    <row r="562" spans="1:14">
      <c r="A562" s="3">
        <f>prices!A563</f>
        <v>44299</v>
      </c>
      <c r="B562" s="5">
        <f>prices!B563/prices!B562-1</f>
        <v>1.0804669657658916E-2</v>
      </c>
      <c r="C562" s="5">
        <f>prices!C563/prices!C562-1</f>
        <v>-4.3893259249472294E-2</v>
      </c>
      <c r="D562" s="5">
        <f>prices!D563/prices!D562-1</f>
        <v>2.4368797889712246E-2</v>
      </c>
      <c r="E562" s="5">
        <f>prices!E563/prices!E562-1</f>
        <v>-2.0056490276997629E-2</v>
      </c>
      <c r="F562" s="5">
        <f>prices!F563/prices!F562-1</f>
        <v>1.6548914773088841E-2</v>
      </c>
      <c r="G562" s="5">
        <f>prices!G563/prices!G562-1</f>
        <v>4.527228502856584E-2</v>
      </c>
      <c r="H562" s="5">
        <f>prices!H563/prices!H562-1</f>
        <v>1.2909041431389712E-2</v>
      </c>
      <c r="I562" s="5">
        <f>prices!I563/prices!I562-1</f>
        <v>2.1224250862259986E-2</v>
      </c>
      <c r="J562" s="5">
        <f>prices!J563/prices!J562-1</f>
        <v>1.3556195321016373E-2</v>
      </c>
      <c r="K562" s="8">
        <f>SUMPRODUCT(B562:I562,weights!$B$5:$I$5)</f>
        <v>1.3945770631532475E-2</v>
      </c>
      <c r="L562" s="4">
        <f t="shared" si="16"/>
        <v>137.20053059200538</v>
      </c>
      <c r="M562" s="4">
        <f>L562/MAX(L$2:L562)-1</f>
        <v>-6.0664048451973596E-2</v>
      </c>
      <c r="N562" s="4">
        <f t="shared" si="17"/>
        <v>-3.772004232367554E-2</v>
      </c>
    </row>
    <row r="563" spans="1:14">
      <c r="A563" s="3">
        <f>prices!A564</f>
        <v>44301</v>
      </c>
      <c r="B563" s="5">
        <f>prices!B564/prices!B563-1</f>
        <v>6.4685575346079549E-3</v>
      </c>
      <c r="C563" s="5">
        <f>prices!C564/prices!C563-1</f>
        <v>3.7019469581812903E-2</v>
      </c>
      <c r="D563" s="5">
        <f>prices!D564/prices!D563-1</f>
        <v>2.1244635193133021E-2</v>
      </c>
      <c r="E563" s="5">
        <f>prices!E564/prices!E563-1</f>
        <v>-2.6057197916753316E-2</v>
      </c>
      <c r="F563" s="5">
        <f>prices!F564/prices!F563-1</f>
        <v>-9.5798635025984291E-3</v>
      </c>
      <c r="G563" s="5">
        <f>prices!G564/prices!G563-1</f>
        <v>-2.5170195297461007E-2</v>
      </c>
      <c r="H563" s="5">
        <f>prices!H564/prices!H563-1</f>
        <v>9.4030727898581912E-3</v>
      </c>
      <c r="I563" s="5">
        <f>prices!I564/prices!I563-1</f>
        <v>6.971610054609112E-4</v>
      </c>
      <c r="J563" s="5">
        <f>prices!J564/prices!J563-1</f>
        <v>5.2844575588770759E-3</v>
      </c>
      <c r="K563" s="8">
        <f>SUMPRODUCT(B563:I563,weights!$B$5:$I$5)</f>
        <v>-6.9400961055716926E-4</v>
      </c>
      <c r="L563" s="4">
        <f t="shared" si="16"/>
        <v>137.10531210520097</v>
      </c>
      <c r="M563" s="4">
        <f>L563/MAX(L$2:L563)-1</f>
        <v>-6.1315956629889978E-2</v>
      </c>
      <c r="N563" s="4">
        <f t="shared" si="17"/>
        <v>-2.9966125992220261E-2</v>
      </c>
    </row>
    <row r="564" spans="1:14">
      <c r="A564" s="3">
        <f>prices!A565</f>
        <v>44302</v>
      </c>
      <c r="B564" s="5">
        <f>prices!B565/prices!B564-1</f>
        <v>-6.2788445102842649E-3</v>
      </c>
      <c r="C564" s="5">
        <f>prices!C565/prices!C564-1</f>
        <v>-7.393855140944261E-3</v>
      </c>
      <c r="D564" s="5">
        <f>prices!D565/prices!D564-1</f>
        <v>-1.0206225797735335E-3</v>
      </c>
      <c r="E564" s="5">
        <f>prices!E565/prices!E564-1</f>
        <v>-5.1427694197113683E-3</v>
      </c>
      <c r="F564" s="5">
        <f>prices!F565/prices!F564-1</f>
        <v>6.0690352762673427E-3</v>
      </c>
      <c r="G564" s="5">
        <f>prices!G565/prices!G564-1</f>
        <v>5.7892583087770788E-4</v>
      </c>
      <c r="H564" s="5">
        <f>prices!H565/prices!H564-1</f>
        <v>2.0211261748315668E-2</v>
      </c>
      <c r="I564" s="5">
        <f>prices!I565/prices!I564-1</f>
        <v>-1.1278399194952882E-2</v>
      </c>
      <c r="J564" s="5">
        <f>prices!J565/prices!J564-1</f>
        <v>2.4963223822047631E-3</v>
      </c>
      <c r="K564" s="8">
        <f>SUMPRODUCT(B564:I564,weights!$B$5:$I$5)</f>
        <v>-5.1337359674632739E-4</v>
      </c>
      <c r="L564" s="4">
        <f t="shared" si="16"/>
        <v>137.0349258579925</v>
      </c>
      <c r="M564" s="4">
        <f>L564/MAX(L$2:L564)-1</f>
        <v>-6.179785223344314E-2</v>
      </c>
      <c r="N564" s="4">
        <f t="shared" si="17"/>
        <v>-3.0012571092019269E-2</v>
      </c>
    </row>
    <row r="565" spans="1:14">
      <c r="A565" s="3">
        <f>prices!A566</f>
        <v>44305</v>
      </c>
      <c r="B565" s="5">
        <f>prices!B566/prices!B565-1</f>
        <v>-1.5733223246639949E-2</v>
      </c>
      <c r="C565" s="5">
        <f>prices!C566/prices!C565-1</f>
        <v>-1.0438663328616538E-2</v>
      </c>
      <c r="D565" s="5">
        <f>prices!D566/prices!D565-1</f>
        <v>-1.1373538868355459E-2</v>
      </c>
      <c r="E565" s="5">
        <f>prices!E566/prices!E565-1</f>
        <v>6.4981268592101404E-3</v>
      </c>
      <c r="F565" s="5">
        <f>prices!F566/prices!F565-1</f>
        <v>-1.1310795525951933E-2</v>
      </c>
      <c r="G565" s="5">
        <f>prices!G566/prices!G565-1</f>
        <v>-2.0509064854488335E-2</v>
      </c>
      <c r="H565" s="5">
        <f>prices!H566/prices!H565-1</f>
        <v>-8.3482797978151613E-3</v>
      </c>
      <c r="I565" s="5">
        <f>prices!I566/prices!I565-1</f>
        <v>-3.5833959664286597E-2</v>
      </c>
      <c r="J565" s="5">
        <f>prices!J566/prices!J565-1</f>
        <v>-1.7677018166146197E-2</v>
      </c>
      <c r="K565" s="8">
        <f>SUMPRODUCT(B565:I565,weights!$B$5:$I$5)</f>
        <v>-1.6464288405764298E-2</v>
      </c>
      <c r="L565" s="4">
        <f t="shared" si="16"/>
        <v>134.778743317004</v>
      </c>
      <c r="M565" s="4">
        <f>L565/MAX(L$2:L565)-1</f>
        <v>-7.7244682977179124E-2</v>
      </c>
      <c r="N565" s="4">
        <f t="shared" si="17"/>
        <v>-3.4223487966491106E-2</v>
      </c>
    </row>
    <row r="566" spans="1:14">
      <c r="A566" s="3">
        <f>prices!A567</f>
        <v>44306</v>
      </c>
      <c r="B566" s="5">
        <f>prices!B567/prices!B566-1</f>
        <v>-2.9126666045298233E-4</v>
      </c>
      <c r="C566" s="5">
        <f>prices!C567/prices!C566-1</f>
        <v>-5.4558854264060708E-3</v>
      </c>
      <c r="D566" s="5">
        <f>prices!D567/prices!D566-1</f>
        <v>-1.4862996003100259E-2</v>
      </c>
      <c r="E566" s="5">
        <f>prices!E567/prices!E566-1</f>
        <v>-8.219271423339225E-3</v>
      </c>
      <c r="F566" s="5">
        <f>prices!F567/prices!F566-1</f>
        <v>-9.9783907461548083E-3</v>
      </c>
      <c r="G566" s="5">
        <f>prices!G567/prices!G566-1</f>
        <v>2.0716776850810525E-2</v>
      </c>
      <c r="H566" s="5">
        <f>prices!H567/prices!H566-1</f>
        <v>7.0209477457332525E-3</v>
      </c>
      <c r="I566" s="5">
        <f>prices!I567/prices!I566-1</f>
        <v>1.6061582934771224E-2</v>
      </c>
      <c r="J566" s="5">
        <f>prices!J567/prices!J566-1</f>
        <v>-4.3908366963916201E-3</v>
      </c>
      <c r="K566" s="8">
        <f>SUMPRODUCT(B566:I566,weights!$B$5:$I$5)</f>
        <v>5.0977906655987225E-3</v>
      </c>
      <c r="L566" s="4">
        <f t="shared" si="16"/>
        <v>135.46581713660655</v>
      </c>
      <c r="M566" s="4">
        <f>L566/MAX(L$2:L566)-1</f>
        <v>-7.2540669535428592E-2</v>
      </c>
      <c r="N566" s="4">
        <f t="shared" si="17"/>
        <v>-2.1401806304463755E-2</v>
      </c>
    </row>
    <row r="567" spans="1:14">
      <c r="A567" s="3">
        <f>prices!A568</f>
        <v>44308</v>
      </c>
      <c r="B567" s="5">
        <f>prices!B568/prices!B567-1</f>
        <v>2.7620124232288212E-3</v>
      </c>
      <c r="C567" s="5">
        <f>prices!C568/prices!C567-1</f>
        <v>-8.188169367177256E-3</v>
      </c>
      <c r="D567" s="5">
        <f>prices!D568/prices!D567-1</f>
        <v>2.235317711306184E-2</v>
      </c>
      <c r="E567" s="5">
        <f>prices!E568/prices!E567-1</f>
        <v>-1.80347297366934E-4</v>
      </c>
      <c r="F567" s="5">
        <f>prices!F568/prices!F567-1</f>
        <v>1.1555498491365279E-2</v>
      </c>
      <c r="G567" s="5">
        <f>prices!G568/prices!G567-1</f>
        <v>5.1846660726218019E-4</v>
      </c>
      <c r="H567" s="5">
        <f>prices!H568/prices!H567-1</f>
        <v>-8.0659645685362547E-3</v>
      </c>
      <c r="I567" s="5">
        <f>prices!I568/prices!I567-1</f>
        <v>3.9878845031926513E-3</v>
      </c>
      <c r="J567" s="5">
        <f>prices!J568/prices!J567-1</f>
        <v>7.6767577851766244E-3</v>
      </c>
      <c r="K567" s="8">
        <f>SUMPRODUCT(B567:I567,weights!$B$5:$I$5)</f>
        <v>1.9154302645435523E-3</v>
      </c>
      <c r="L567" s="4">
        <f t="shared" si="16"/>
        <v>135.72529246256113</v>
      </c>
      <c r="M567" s="4">
        <f>L567/MAX(L$2:L567)-1</f>
        <v>-7.0764185864723439E-2</v>
      </c>
      <c r="N567" s="4">
        <f t="shared" si="17"/>
        <v>-2.5856238594786363E-2</v>
      </c>
    </row>
    <row r="568" spans="1:14">
      <c r="A568" s="3">
        <f>prices!A569</f>
        <v>44309</v>
      </c>
      <c r="B568" s="5">
        <f>prices!B569/prices!B568-1</f>
        <v>-1.0692203988658111E-3</v>
      </c>
      <c r="C568" s="5">
        <f>prices!C569/prices!C568-1</f>
        <v>-2.9811466634946937E-3</v>
      </c>
      <c r="D568" s="5">
        <f>prices!D569/prices!D568-1</f>
        <v>-5.8697489135682845E-3</v>
      </c>
      <c r="E568" s="5">
        <f>prices!E569/prices!E568-1</f>
        <v>-1.2806967815084946E-2</v>
      </c>
      <c r="F568" s="5">
        <f>prices!F569/prices!F568-1</f>
        <v>-2.6654820079963226E-3</v>
      </c>
      <c r="G568" s="5">
        <f>prices!G569/prices!G568-1</f>
        <v>3.9094627380817926E-3</v>
      </c>
      <c r="H568" s="5">
        <f>prices!H569/prices!H568-1</f>
        <v>-3.1275205346413815E-3</v>
      </c>
      <c r="I568" s="5">
        <f>prices!I569/prices!I568-1</f>
        <v>-1.0403731652179449E-2</v>
      </c>
      <c r="J568" s="5">
        <f>prices!J569/prices!J568-1</f>
        <v>-4.4980789454502901E-3</v>
      </c>
      <c r="K568" s="8">
        <f>SUMPRODUCT(B568:I568,weights!$B$5:$I$5)</f>
        <v>-3.9038882617280918E-3</v>
      </c>
      <c r="L568" s="4">
        <f t="shared" si="16"/>
        <v>135.19543608649693</v>
      </c>
      <c r="M568" s="4">
        <f>L568/MAX(L$2:L568)-1</f>
        <v>-7.4391818651903474E-2</v>
      </c>
      <c r="N568" s="4">
        <f t="shared" si="17"/>
        <v>-3.3423956512285025E-2</v>
      </c>
    </row>
    <row r="569" spans="1:14">
      <c r="A569" s="3">
        <f>prices!A570</f>
        <v>44312</v>
      </c>
      <c r="B569" s="5">
        <f>prices!B570/prices!B569-1</f>
        <v>1.7591213700670183E-2</v>
      </c>
      <c r="C569" s="5">
        <f>prices!C570/prices!C569-1</f>
        <v>-2.7999194696929353E-3</v>
      </c>
      <c r="D569" s="5">
        <f>prices!D570/prices!D569-1</f>
        <v>-6.6177921466843426E-3</v>
      </c>
      <c r="E569" s="5">
        <f>prices!E570/prices!E569-1</f>
        <v>7.308796658835881E-3</v>
      </c>
      <c r="F569" s="5">
        <f>prices!F570/prices!F569-1</f>
        <v>-2.5453388482332695E-4</v>
      </c>
      <c r="G569" s="5">
        <f>prices!G570/prices!G569-1</f>
        <v>-5.5722178374112419E-3</v>
      </c>
      <c r="H569" s="5">
        <f>prices!H570/prices!H569-1</f>
        <v>-5.0857812783805523E-3</v>
      </c>
      <c r="I569" s="5">
        <f>prices!I570/prices!I569-1</f>
        <v>9.8293932642112836E-3</v>
      </c>
      <c r="J569" s="5">
        <f>prices!J570/prices!J569-1</f>
        <v>1.0016490776670217E-2</v>
      </c>
      <c r="K569" s="8">
        <f>SUMPRODUCT(B569:I569,weights!$B$5:$I$5)</f>
        <v>2.1856385591367644E-3</v>
      </c>
      <c r="L569" s="4">
        <f t="shared" si="16"/>
        <v>135.4909244446269</v>
      </c>
      <c r="M569" s="4">
        <f>L569/MAX(L$2:L569)-1</f>
        <v>-7.2368773720096535E-2</v>
      </c>
      <c r="N569" s="4">
        <f t="shared" si="17"/>
        <v>-3.5409597415299254E-2</v>
      </c>
    </row>
    <row r="570" spans="1:14">
      <c r="A570" s="3">
        <f>prices!A571</f>
        <v>44313</v>
      </c>
      <c r="B570" s="5">
        <f>prices!B571/prices!B570-1</f>
        <v>2.6216500503064122E-2</v>
      </c>
      <c r="C570" s="5">
        <f>prices!C571/prices!C570-1</f>
        <v>1.0060903798916554E-2</v>
      </c>
      <c r="D570" s="5">
        <f>prices!D571/prices!D570-1</f>
        <v>2.412639234800662E-2</v>
      </c>
      <c r="E570" s="5">
        <f>prices!E571/prices!E570-1</f>
        <v>3.6883475857303338E-3</v>
      </c>
      <c r="F570" s="5">
        <f>prices!F571/prices!F570-1</f>
        <v>5.0919737763344131E-4</v>
      </c>
      <c r="G570" s="5">
        <f>prices!G571/prices!G570-1</f>
        <v>-1.0565582488054948E-2</v>
      </c>
      <c r="H570" s="5">
        <f>prices!H571/prices!H570-1</f>
        <v>7.1697674804573897E-3</v>
      </c>
      <c r="I570" s="5">
        <f>prices!I571/prices!I570-1</f>
        <v>3.3494499892467111E-2</v>
      </c>
      <c r="J570" s="5">
        <f>prices!J571/prices!J570-1</f>
        <v>1.1601656886434109E-2</v>
      </c>
      <c r="K570" s="8">
        <f>SUMPRODUCT(B570:I570,weights!$B$5:$I$5)</f>
        <v>1.1995061433350593E-2</v>
      </c>
      <c r="L570" s="4">
        <f t="shared" si="16"/>
        <v>137.11614640700165</v>
      </c>
      <c r="M570" s="4">
        <f>L570/MAX(L$2:L570)-1</f>
        <v>-6.1241780173374782E-2</v>
      </c>
      <c r="N570" s="4">
        <f t="shared" si="17"/>
        <v>-7.5647525839960261E-3</v>
      </c>
    </row>
    <row r="571" spans="1:14">
      <c r="A571" s="3">
        <f>prices!A572</f>
        <v>44314</v>
      </c>
      <c r="B571" s="5">
        <f>prices!B572/prices!B571-1</f>
        <v>4.3450650088572296E-3</v>
      </c>
      <c r="C571" s="5">
        <f>prices!C572/prices!C571-1</f>
        <v>-2.5207097963444447E-3</v>
      </c>
      <c r="D571" s="5">
        <f>prices!D572/prices!D571-1</f>
        <v>2.649718019872882E-2</v>
      </c>
      <c r="E571" s="5">
        <f>prices!E572/prices!E571-1</f>
        <v>5.5595239119770046E-3</v>
      </c>
      <c r="F571" s="5">
        <f>prices!F572/prices!F571-1</f>
        <v>4.453209491697141E-4</v>
      </c>
      <c r="G571" s="5">
        <f>prices!G572/prices!G571-1</f>
        <v>7.6847303285343393E-4</v>
      </c>
      <c r="H571" s="5">
        <f>prices!H572/prices!H571-1</f>
        <v>6.4925434621405653E-3</v>
      </c>
      <c r="I571" s="5">
        <f>prices!I572/prices!I571-1</f>
        <v>-3.4374325615809109E-3</v>
      </c>
      <c r="J571" s="5">
        <f>prices!J572/prices!J571-1</f>
        <v>1.4433855067716328E-2</v>
      </c>
      <c r="K571" s="8">
        <f>SUMPRODUCT(B571:I571,weights!$B$5:$I$5)</f>
        <v>3.2618333060679843E-3</v>
      </c>
      <c r="L571" s="4">
        <f t="shared" si="16"/>
        <v>137.56339642015169</v>
      </c>
      <c r="M571" s="4">
        <f>L571/MAX(L$2:L571)-1</f>
        <v>-5.8179707345599296E-2</v>
      </c>
      <c r="N571" s="4">
        <f t="shared" si="17"/>
        <v>1.4573387082878364E-2</v>
      </c>
    </row>
    <row r="572" spans="1:14">
      <c r="A572" s="3">
        <f>prices!A573</f>
        <v>44315</v>
      </c>
      <c r="B572" s="5">
        <f>prices!B573/prices!B572-1</f>
        <v>1.3389242015818592E-2</v>
      </c>
      <c r="C572" s="5">
        <f>prices!C573/prices!C572-1</f>
        <v>-2.8313684452707655E-3</v>
      </c>
      <c r="D572" s="5">
        <f>prices!D573/prices!D572-1</f>
        <v>-2.9214267027121155E-3</v>
      </c>
      <c r="E572" s="5">
        <f>prices!E573/prices!E572-1</f>
        <v>2.5675479061648687E-4</v>
      </c>
      <c r="F572" s="5">
        <f>prices!F573/prices!F572-1</f>
        <v>-5.8501844079866805E-3</v>
      </c>
      <c r="G572" s="5">
        <f>prices!G573/prices!G572-1</f>
        <v>-1.2391931297722758E-3</v>
      </c>
      <c r="H572" s="5">
        <f>prices!H573/prices!H572-1</f>
        <v>1.7027128800406466E-3</v>
      </c>
      <c r="I572" s="5">
        <f>prices!I573/prices!I572-1</f>
        <v>-1.2536542358200231E-2</v>
      </c>
      <c r="J572" s="5">
        <f>prices!J573/prices!J572-1</f>
        <v>2.0417705211392967E-3</v>
      </c>
      <c r="K572" s="8">
        <f>SUMPRODUCT(B572:I572,weights!$B$5:$I$5)</f>
        <v>-1.6825297486067548E-3</v>
      </c>
      <c r="L572" s="4">
        <f t="shared" si="16"/>
        <v>137.33194191335539</v>
      </c>
      <c r="M572" s="4">
        <f>L572/MAX(L$2:L572)-1</f>
        <v>-5.9764348005831969E-2</v>
      </c>
      <c r="N572" s="4">
        <f t="shared" si="17"/>
        <v>4.4367808223115812E-3</v>
      </c>
    </row>
    <row r="573" spans="1:14">
      <c r="A573" s="3">
        <f>prices!A574</f>
        <v>44316</v>
      </c>
      <c r="B573" s="5">
        <f>prices!B574/prices!B573-1</f>
        <v>-1.4591588764585994E-2</v>
      </c>
      <c r="C573" s="5">
        <f>prices!C574/prices!C573-1</f>
        <v>-2.5554670695673409E-2</v>
      </c>
      <c r="D573" s="5">
        <f>prices!D574/prices!D573-1</f>
        <v>-4.0874039737029966E-2</v>
      </c>
      <c r="E573" s="5">
        <f>prices!E574/prices!E573-1</f>
        <v>-1.4716829378899066E-3</v>
      </c>
      <c r="F573" s="5">
        <f>prices!F574/prices!F573-1</f>
        <v>-8.3152104387873571E-3</v>
      </c>
      <c r="G573" s="5">
        <f>prices!G574/prices!G573-1</f>
        <v>-1.6753876280055202E-2</v>
      </c>
      <c r="H573" s="5">
        <f>prices!H574/prices!H573-1</f>
        <v>1.5445466878054148E-2</v>
      </c>
      <c r="I573" s="5">
        <f>prices!I574/prices!I573-1</f>
        <v>-1.3392752249747342E-2</v>
      </c>
      <c r="J573" s="5">
        <f>prices!J574/prices!J573-1</f>
        <v>-1.7710760058812003E-2</v>
      </c>
      <c r="K573" s="8">
        <f>SUMPRODUCT(B573:I573,weights!$B$5:$I$5)</f>
        <v>-1.1524863435417127E-2</v>
      </c>
      <c r="L573" s="4">
        <f t="shared" si="16"/>
        <v>135.74921003748332</v>
      </c>
      <c r="M573" s="4">
        <f>L573/MAX(L$2:L573)-1</f>
        <v>-7.0600435492175206E-2</v>
      </c>
      <c r="N573" s="4">
        <f t="shared" si="17"/>
        <v>-2.7270939756942725E-2</v>
      </c>
    </row>
    <row r="574" spans="1:14">
      <c r="A574" s="3">
        <f>prices!A575</f>
        <v>44319</v>
      </c>
      <c r="B574" s="5">
        <f>prices!B575/prices!B574-1</f>
        <v>-1.7773630597305079E-2</v>
      </c>
      <c r="C574" s="5">
        <f>prices!C575/prices!C574-1</f>
        <v>4.4681899248022461E-4</v>
      </c>
      <c r="D574" s="5">
        <f>prices!D575/prices!D574-1</f>
        <v>1.5198261318905004E-3</v>
      </c>
      <c r="E574" s="5">
        <f>prices!E575/prices!E574-1</f>
        <v>-1.696643559181199E-3</v>
      </c>
      <c r="F574" s="5">
        <f>prices!F575/prices!F574-1</f>
        <v>-8.1269349845201067E-3</v>
      </c>
      <c r="G574" s="5">
        <f>prices!G575/prices!G574-1</f>
        <v>2.2026438909403145E-2</v>
      </c>
      <c r="H574" s="5">
        <f>prices!H575/prices!H574-1</f>
        <v>7.2592067988668241E-3</v>
      </c>
      <c r="I574" s="5">
        <f>prices!I575/prices!I574-1</f>
        <v>1.5241603226139322E-3</v>
      </c>
      <c r="J574" s="5">
        <f>prices!J575/prices!J574-1</f>
        <v>2.0846006110275539E-4</v>
      </c>
      <c r="K574" s="8">
        <f>SUMPRODUCT(B574:I574,weights!$B$5:$I$5)</f>
        <v>2.7431691192507496E-3</v>
      </c>
      <c r="L574" s="4">
        <f t="shared" si="16"/>
        <v>136.12159307842083</v>
      </c>
      <c r="M574" s="4">
        <f>L574/MAX(L$2:L574)-1</f>
        <v>-6.8050935307372273E-2</v>
      </c>
      <c r="N574" s="4">
        <f t="shared" si="17"/>
        <v>-2.0779226888486879E-2</v>
      </c>
    </row>
    <row r="575" spans="1:14">
      <c r="A575" s="3">
        <f>prices!A576</f>
        <v>44320</v>
      </c>
      <c r="B575" s="5">
        <f>prices!B576/prices!B575-1</f>
        <v>-2.1669060517298E-2</v>
      </c>
      <c r="C575" s="5">
        <f>prices!C576/prices!C575-1</f>
        <v>4.1989861357112357E-3</v>
      </c>
      <c r="D575" s="5">
        <f>prices!D576/prices!D575-1</f>
        <v>-1.8453040350850713E-2</v>
      </c>
      <c r="E575" s="5">
        <f>prices!E576/prices!E575-1</f>
        <v>-1.6754933349355849E-2</v>
      </c>
      <c r="F575" s="5">
        <f>prices!F576/prices!F575-1</f>
        <v>-6.6978800884380796E-3</v>
      </c>
      <c r="G575" s="5">
        <f>prices!G576/prices!G575-1</f>
        <v>-1.3579842670606634E-2</v>
      </c>
      <c r="H575" s="5">
        <f>prices!H576/prices!H575-1</f>
        <v>-2.1317055242173755E-2</v>
      </c>
      <c r="I575" s="5">
        <f>prices!I576/prices!I575-1</f>
        <v>-3.6460769005176585E-3</v>
      </c>
      <c r="J575" s="5">
        <f>prices!J576/prices!J575-1</f>
        <v>-9.4060809818130586E-3</v>
      </c>
      <c r="K575" s="8">
        <f>SUMPRODUCT(B575:I575,weights!$B$5:$I$5)</f>
        <v>-1.2314943909825442E-2</v>
      </c>
      <c r="L575" s="4">
        <f t="shared" si="16"/>
        <v>134.445263294744</v>
      </c>
      <c r="M575" s="4">
        <f>L575/MAX(L$2:L575)-1</f>
        <v>-7.9527835765876187E-2</v>
      </c>
      <c r="N575" s="4">
        <f t="shared" si="17"/>
        <v>-4.3188682580274307E-2</v>
      </c>
    </row>
    <row r="576" spans="1:14">
      <c r="A576" s="3">
        <f>prices!A577</f>
        <v>44321</v>
      </c>
      <c r="B576" s="5">
        <f>prices!B577/prices!B576-1</f>
        <v>1.8264840182649067E-3</v>
      </c>
      <c r="C576" s="5">
        <f>prices!C577/prices!C576-1</f>
        <v>1.5064546048930261E-2</v>
      </c>
      <c r="D576" s="5">
        <f>prices!D577/prices!D576-1</f>
        <v>1.0265765835407725E-2</v>
      </c>
      <c r="E576" s="5">
        <f>prices!E577/prices!E576-1</f>
        <v>9.1051147523810716E-3</v>
      </c>
      <c r="F576" s="5">
        <f>prices!F577/prices!F576-1</f>
        <v>8.96890343698864E-3</v>
      </c>
      <c r="G576" s="5">
        <f>prices!G577/prices!G576-1</f>
        <v>1.2576650857469396E-2</v>
      </c>
      <c r="H576" s="5">
        <f>prices!H577/prices!H576-1</f>
        <v>5.9286472365090992E-2</v>
      </c>
      <c r="I576" s="5">
        <f>prices!I577/prices!I576-1</f>
        <v>7.7961544274995909E-4</v>
      </c>
      <c r="J576" s="5">
        <f>prices!J577/prices!J576-1</f>
        <v>8.3709861000931252E-3</v>
      </c>
      <c r="K576" s="8">
        <f>SUMPRODUCT(B576:I576,weights!$B$5:$I$5)</f>
        <v>1.5380286466463789E-2</v>
      </c>
      <c r="L576" s="4">
        <f t="shared" si="16"/>
        <v>136.5130699582763</v>
      </c>
      <c r="M576" s="4">
        <f>L576/MAX(L$2:L576)-1</f>
        <v>-6.537071019554952E-2</v>
      </c>
      <c r="N576" s="4">
        <f t="shared" si="17"/>
        <v>-1.5282950638965453E-2</v>
      </c>
    </row>
    <row r="577" spans="1:14">
      <c r="A577" s="3">
        <f>prices!A578</f>
        <v>44322</v>
      </c>
      <c r="B577" s="5">
        <f>prices!B578/prices!B577-1</f>
        <v>5.6771632645995496E-3</v>
      </c>
      <c r="C577" s="5">
        <f>prices!C578/prices!C577-1</f>
        <v>5.0892967483175955E-3</v>
      </c>
      <c r="D577" s="5">
        <f>prices!D578/prices!D577-1</f>
        <v>-1.2242711760656055E-3</v>
      </c>
      <c r="E577" s="5">
        <f>prices!E578/prices!E577-1</f>
        <v>1.4983476651037275E-2</v>
      </c>
      <c r="F577" s="5">
        <f>prices!F578/prices!F577-1</f>
        <v>6.7479885803269912E-3</v>
      </c>
      <c r="G577" s="5">
        <f>prices!G578/prices!G577-1</f>
        <v>1.1616080852016486E-2</v>
      </c>
      <c r="H577" s="5">
        <f>prices!H578/prices!H577-1</f>
        <v>-5.8573278253899463E-3</v>
      </c>
      <c r="I577" s="5">
        <f>prices!I578/prices!I577-1</f>
        <v>9.379893641545678E-4</v>
      </c>
      <c r="J577" s="5">
        <f>prices!J578/prices!J577-1</f>
        <v>7.3163974182248737E-3</v>
      </c>
      <c r="K577" s="8">
        <f>SUMPRODUCT(B577:I577,weights!$B$5:$I$5)</f>
        <v>4.4718684295550187E-3</v>
      </c>
      <c r="L577" s="4">
        <f t="shared" si="16"/>
        <v>137.12353844604436</v>
      </c>
      <c r="M577" s="4">
        <f>L577/MAX(L$2:L577)-1</f>
        <v>-6.1191170981135468E-2</v>
      </c>
      <c r="N577" s="4">
        <f t="shared" si="17"/>
        <v>-1.2650543458191832E-2</v>
      </c>
    </row>
    <row r="578" spans="1:14">
      <c r="A578" s="3">
        <f>prices!A579</f>
        <v>44323</v>
      </c>
      <c r="B578" s="5">
        <f>prices!B579/prices!B578-1</f>
        <v>3.7863576386909514E-4</v>
      </c>
      <c r="C578" s="5">
        <f>prices!C579/prices!C578-1</f>
        <v>6.8929542829465618E-3</v>
      </c>
      <c r="D578" s="5">
        <f>prices!D579/prices!D578-1</f>
        <v>9.898107714701565E-3</v>
      </c>
      <c r="E578" s="5">
        <f>prices!E579/prices!E578-1</f>
        <v>-6.6481427816510452E-3</v>
      </c>
      <c r="F578" s="5">
        <f>prices!F579/prices!F578-1</f>
        <v>1.2825470482083157E-2</v>
      </c>
      <c r="G578" s="5">
        <f>prices!G579/prices!G578-1</f>
        <v>5.4599717991032914E-3</v>
      </c>
      <c r="H578" s="5">
        <f>prices!H579/prices!H578-1</f>
        <v>7.7524187546362811E-5</v>
      </c>
      <c r="I578" s="5">
        <f>prices!I579/prices!I578-1</f>
        <v>2.0886442872003474E-3</v>
      </c>
      <c r="J578" s="5">
        <f>prices!J579/prices!J578-1</f>
        <v>6.6792078669999366E-3</v>
      </c>
      <c r="K578" s="8">
        <f>SUMPRODUCT(B578:I578,weights!$B$5:$I$5)</f>
        <v>3.3825465088679896E-3</v>
      </c>
      <c r="L578" s="4">
        <f t="shared" si="16"/>
        <v>137.58736519229865</v>
      </c>
      <c r="M578" s="4">
        <f>L578/MAX(L$2:L578)-1</f>
        <v>-5.8015606454043356E-2</v>
      </c>
      <c r="N578" s="4">
        <f t="shared" si="17"/>
        <v>-1.638682501405675E-2</v>
      </c>
    </row>
    <row r="579" spans="1:14">
      <c r="A579" s="3">
        <f>prices!A580</f>
        <v>44326</v>
      </c>
      <c r="B579" s="5">
        <f>prices!B580/prices!B579-1</f>
        <v>-2.8673670688627029E-3</v>
      </c>
      <c r="C579" s="5">
        <f>prices!C580/prices!C579-1</f>
        <v>4.0223505032563889E-3</v>
      </c>
      <c r="D579" s="5">
        <f>prices!D580/prices!D579-1</f>
        <v>3.5957579159775488E-3</v>
      </c>
      <c r="E579" s="5">
        <f>prices!E580/prices!E579-1</f>
        <v>-9.6099394230604318E-3</v>
      </c>
      <c r="F579" s="5">
        <f>prices!F580/prices!F579-1</f>
        <v>9.545020680878924E-4</v>
      </c>
      <c r="G579" s="5">
        <f>prices!G580/prices!G579-1</f>
        <v>9.091938156583268E-3</v>
      </c>
      <c r="H579" s="5">
        <f>prices!H580/prices!H579-1</f>
        <v>2.7596471372536735E-2</v>
      </c>
      <c r="I579" s="5">
        <f>prices!I580/prices!I579-1</f>
        <v>3.8951672980298335E-2</v>
      </c>
      <c r="J579" s="5">
        <f>prices!J580/prices!J579-1</f>
        <v>8.0414756647542163E-3</v>
      </c>
      <c r="K579" s="8">
        <f>SUMPRODUCT(B579:I579,weights!$B$5:$I$5)</f>
        <v>1.3123556860840591E-2</v>
      </c>
      <c r="L579" s="4">
        <f t="shared" si="16"/>
        <v>139.39300080273301</v>
      </c>
      <c r="M579" s="4">
        <f>L579/MAX(L$2:L579)-1</f>
        <v>-4.565342070331857E-2</v>
      </c>
      <c r="N579" s="4">
        <f t="shared" si="17"/>
        <v>-3.8600798263751512E-3</v>
      </c>
    </row>
    <row r="580" spans="1:14">
      <c r="A580" s="3">
        <f>prices!A581</f>
        <v>44327</v>
      </c>
      <c r="B580" s="5">
        <f>prices!B581/prices!B580-1</f>
        <v>3.6117693068622447E-3</v>
      </c>
      <c r="C580" s="5">
        <f>prices!C581/prices!C580-1</f>
        <v>-7.2790396827444592E-3</v>
      </c>
      <c r="D580" s="5">
        <f>prices!D581/prices!D580-1</f>
        <v>-1.1474269819193417E-2</v>
      </c>
      <c r="E580" s="5">
        <f>prices!E581/prices!E580-1</f>
        <v>-6.6449500112626403E-3</v>
      </c>
      <c r="F580" s="5">
        <f>prices!F581/prices!F580-1</f>
        <v>-7.5651621106166411E-3</v>
      </c>
      <c r="G580" s="5">
        <f>prices!G581/prices!G580-1</f>
        <v>-4.0430573927187075E-3</v>
      </c>
      <c r="H580" s="5">
        <f>prices!H581/prices!H580-1</f>
        <v>1.4182043119446153E-2</v>
      </c>
      <c r="I580" s="5">
        <f>prices!I581/prices!I580-1</f>
        <v>-8.1695233300533854E-3</v>
      </c>
      <c r="J580" s="5">
        <f>prices!J581/prices!J580-1</f>
        <v>-6.1302271731019653E-3</v>
      </c>
      <c r="K580" s="8">
        <f>SUMPRODUCT(B580:I580,weights!$B$5:$I$5)</f>
        <v>-2.4843037372725574E-3</v>
      </c>
      <c r="L580" s="4">
        <f t="shared" ref="L580:L643" si="18">L579*(1+K580)</f>
        <v>139.04670624988916</v>
      </c>
      <c r="M580" s="4">
        <f>L580/MAX(L$2:L580)-1</f>
        <v>-4.8024307476918549E-2</v>
      </c>
      <c r="N580" s="4">
        <f t="shared" si="17"/>
        <v>-7.8550902509588738E-3</v>
      </c>
    </row>
    <row r="581" spans="1:14">
      <c r="A581" s="3">
        <f>prices!A582</f>
        <v>44328</v>
      </c>
      <c r="B581" s="5">
        <f>prices!B582/prices!B581-1</f>
        <v>-1.0349332966579583E-2</v>
      </c>
      <c r="C581" s="5">
        <f>prices!C582/prices!C581-1</f>
        <v>-1.1208381597315076E-2</v>
      </c>
      <c r="D581" s="5">
        <f>prices!D582/prices!D581-1</f>
        <v>-2.8903944088455313E-3</v>
      </c>
      <c r="E581" s="5">
        <f>prices!E582/prices!E581-1</f>
        <v>-2.747276707454116E-3</v>
      </c>
      <c r="F581" s="5">
        <f>prices!F582/prices!F581-1</f>
        <v>-3.6512715392993389E-3</v>
      </c>
      <c r="G581" s="5">
        <f>prices!G582/prices!G581-1</f>
        <v>1.2009461146412992E-2</v>
      </c>
      <c r="H581" s="5">
        <f>prices!H582/prices!H581-1</f>
        <v>-7.423275464512602E-3</v>
      </c>
      <c r="I581" s="5">
        <f>prices!I582/prices!I581-1</f>
        <v>1.2228323566054744E-3</v>
      </c>
      <c r="J581" s="5">
        <f>prices!J582/prices!J581-1</f>
        <v>-1.0386680807366599E-2</v>
      </c>
      <c r="K581" s="8">
        <f>SUMPRODUCT(B581:I581,weights!$B$5:$I$5)</f>
        <v>-1.5986952574096004E-3</v>
      </c>
      <c r="L581" s="4">
        <f t="shared" si="18"/>
        <v>138.82441294004903</v>
      </c>
      <c r="M581" s="4">
        <f>L581/MAX(L$2:L581)-1</f>
        <v>-4.9546226501724466E-2</v>
      </c>
      <c r="N581" s="4">
        <f t="shared" si="17"/>
        <v>2.5946661821220074E-2</v>
      </c>
    </row>
    <row r="582" spans="1:14">
      <c r="A582" s="3">
        <f>prices!A583</f>
        <v>44330</v>
      </c>
      <c r="B582" s="5">
        <f>prices!B583/prices!B582-1</f>
        <v>1.2623191930421829E-2</v>
      </c>
      <c r="C582" s="5">
        <f>prices!C583/prices!C582-1</f>
        <v>-1.1692129777383875E-2</v>
      </c>
      <c r="D582" s="5">
        <f>prices!D583/prices!D582-1</f>
        <v>-9.0337423312882859E-3</v>
      </c>
      <c r="E582" s="5">
        <f>prices!E583/prices!E582-1</f>
        <v>-7.9846778143147779E-3</v>
      </c>
      <c r="F582" s="5">
        <f>prices!F583/prices!F582-1</f>
        <v>4.4297286871544328E-2</v>
      </c>
      <c r="G582" s="5">
        <f>prices!G583/prices!G582-1</f>
        <v>-1.1904044221646037E-2</v>
      </c>
      <c r="H582" s="5">
        <f>prices!H583/prices!H582-1</f>
        <v>-1.6216540271574709E-2</v>
      </c>
      <c r="I582" s="5">
        <f>prices!I583/prices!I582-1</f>
        <v>2.1807427891078257E-2</v>
      </c>
      <c r="J582" s="5">
        <f>prices!J583/prices!J582-1</f>
        <v>-1.2724117987276129E-3</v>
      </c>
      <c r="K582" s="8">
        <f>SUMPRODUCT(B582:I582,weights!$B$5:$I$5)</f>
        <v>2.4718719896212843E-3</v>
      </c>
      <c r="L582" s="4">
        <f t="shared" si="18"/>
        <v>139.16756911787115</v>
      </c>
      <c r="M582" s="4">
        <f>L582/MAX(L$2:L582)-1</f>
        <v>-4.7196826441584294E-2</v>
      </c>
      <c r="N582" s="4">
        <f t="shared" si="17"/>
        <v>1.433696004948537E-2</v>
      </c>
    </row>
    <row r="583" spans="1:14">
      <c r="A583" s="3">
        <f>prices!A584</f>
        <v>44333</v>
      </c>
      <c r="B583" s="5">
        <f>prices!B584/prices!B583-1</f>
        <v>1.1894006107114663E-2</v>
      </c>
      <c r="C583" s="5">
        <f>prices!C584/prices!C583-1</f>
        <v>5.9798114877724906E-3</v>
      </c>
      <c r="D583" s="5">
        <f>prices!D584/prices!D583-1</f>
        <v>3.8507374905201841E-2</v>
      </c>
      <c r="E583" s="5">
        <f>prices!E584/prices!E583-1</f>
        <v>9.8738440108965264E-3</v>
      </c>
      <c r="F583" s="5">
        <f>prices!F584/prices!F583-1</f>
        <v>1.662254509634753E-3</v>
      </c>
      <c r="G583" s="5">
        <f>prices!G584/prices!G583-1</f>
        <v>-2.7533470374925262E-3</v>
      </c>
      <c r="H583" s="5">
        <f>prices!H584/prices!H583-1</f>
        <v>-6.2157221206580182E-3</v>
      </c>
      <c r="I583" s="5">
        <f>prices!I584/prices!I583-1</f>
        <v>-2.0312124127976894E-2</v>
      </c>
      <c r="J583" s="5">
        <f>prices!J584/prices!J583-1</f>
        <v>1.671572033956048E-2</v>
      </c>
      <c r="K583" s="8">
        <f>SUMPRODUCT(B583:I583,weights!$B$5:$I$5)</f>
        <v>4.0379241781365611E-4</v>
      </c>
      <c r="L583" s="4">
        <f t="shared" si="18"/>
        <v>139.22376392708651</v>
      </c>
      <c r="M583" s="4">
        <f>L583/MAX(L$2:L583)-1</f>
        <v>-4.6812091744432571E-2</v>
      </c>
      <c r="N583" s="4">
        <f t="shared" si="17"/>
        <v>1.5451274566663509E-2</v>
      </c>
    </row>
    <row r="584" spans="1:14">
      <c r="A584" s="3">
        <f>prices!A585</f>
        <v>44334</v>
      </c>
      <c r="B584" s="5">
        <f>prices!B585/prices!B584-1</f>
        <v>1.4082437640570156E-2</v>
      </c>
      <c r="C584" s="5">
        <f>prices!C585/prices!C584-1</f>
        <v>6.2048468048627736E-3</v>
      </c>
      <c r="D584" s="5">
        <f>prices!D585/prices!D584-1</f>
        <v>2.5305891294952199E-2</v>
      </c>
      <c r="E584" s="5">
        <f>prices!E585/prices!E584-1</f>
        <v>7.9702490593709374E-3</v>
      </c>
      <c r="F584" s="5">
        <f>prices!F585/prices!F584-1</f>
        <v>-1.2046711739397531E-2</v>
      </c>
      <c r="G584" s="5">
        <f>prices!G585/prices!G584-1</f>
        <v>1.3881611766662028E-2</v>
      </c>
      <c r="H584" s="5">
        <f>prices!H585/prices!H584-1</f>
        <v>5.3194751042431321E-3</v>
      </c>
      <c r="I584" s="5">
        <f>prices!I585/prices!I584-1</f>
        <v>2.2030048648731704E-2</v>
      </c>
      <c r="J584" s="5">
        <f>prices!J585/prices!J584-1</f>
        <v>1.2393496011230853E-2</v>
      </c>
      <c r="K584" s="8">
        <f>SUMPRODUCT(B584:I584,weights!$B$5:$I$5)</f>
        <v>1.1727377923481169E-2</v>
      </c>
      <c r="L584" s="4">
        <f t="shared" si="18"/>
        <v>140.85649362258897</v>
      </c>
      <c r="M584" s="4">
        <f>L584/MAX(L$2:L584)-1</f>
        <v>-3.5633696912227064E-2</v>
      </c>
      <c r="N584" s="4">
        <f t="shared" si="17"/>
        <v>2.7887545752800946E-2</v>
      </c>
    </row>
    <row r="585" spans="1:14">
      <c r="A585" s="3">
        <f>prices!A586</f>
        <v>44335</v>
      </c>
      <c r="B585" s="5">
        <f>prices!B586/prices!B585-1</f>
        <v>4.5806631373641604E-3</v>
      </c>
      <c r="C585" s="5">
        <f>prices!C586/prices!C585-1</f>
        <v>-2.2031557297063076E-3</v>
      </c>
      <c r="D585" s="5">
        <f>prices!D586/prices!D585-1</f>
        <v>-1.252961611698189E-2</v>
      </c>
      <c r="E585" s="5">
        <f>prices!E586/prices!E585-1</f>
        <v>-2.2344626896696473E-3</v>
      </c>
      <c r="F585" s="5">
        <f>prices!F586/prices!F585-1</f>
        <v>-1.0949359213637044E-2</v>
      </c>
      <c r="G585" s="5">
        <f>prices!G586/prices!G585-1</f>
        <v>-5.1693379812505214E-3</v>
      </c>
      <c r="H585" s="5">
        <f>prices!H586/prices!H585-1</f>
        <v>1.8237545555741974E-2</v>
      </c>
      <c r="I585" s="5">
        <f>prices!I586/prices!I585-1</f>
        <v>-9.7752884911369575E-3</v>
      </c>
      <c r="J585" s="5">
        <f>prices!J586/prices!J585-1</f>
        <v>-5.1594839854118835E-3</v>
      </c>
      <c r="K585" s="8">
        <f>SUMPRODUCT(B585:I585,weights!$B$5:$I$5)</f>
        <v>-1.8265415292302504E-3</v>
      </c>
      <c r="L585" s="4">
        <f t="shared" si="18"/>
        <v>140.59921338732556</v>
      </c>
      <c r="M585" s="4">
        <f>L585/MAX(L$2:L585)-1</f>
        <v>-3.7395152014207067E-2</v>
      </c>
      <c r="N585" s="4">
        <f t="shared" si="17"/>
        <v>4.3185371276475149E-2</v>
      </c>
    </row>
    <row r="586" spans="1:14">
      <c r="A586" s="3">
        <f>prices!A587</f>
        <v>44336</v>
      </c>
      <c r="B586" s="5">
        <f>prices!B587/prices!B586-1</f>
        <v>-5.8356261649064045E-3</v>
      </c>
      <c r="C586" s="5">
        <f>prices!C587/prices!C586-1</f>
        <v>-7.1356296243355599E-3</v>
      </c>
      <c r="D586" s="5">
        <f>prices!D587/prices!D586-1</f>
        <v>-1.7413704276146413E-2</v>
      </c>
      <c r="E586" s="5">
        <f>prices!E587/prices!E586-1</f>
        <v>1.718660486432988E-3</v>
      </c>
      <c r="F586" s="5">
        <f>prices!F587/prices!F586-1</f>
        <v>-3.5853566486350186E-3</v>
      </c>
      <c r="G586" s="5">
        <f>prices!G587/prices!G586-1</f>
        <v>-5.6145698866197913E-3</v>
      </c>
      <c r="H586" s="5">
        <f>prices!H587/prices!H586-1</f>
        <v>-2.3526769000374426E-2</v>
      </c>
      <c r="I586" s="5">
        <f>prices!I587/prices!I586-1</f>
        <v>4.4885549430968563E-3</v>
      </c>
      <c r="J586" s="5">
        <f>prices!J587/prices!J586-1</f>
        <v>-8.2567372913776582E-3</v>
      </c>
      <c r="K586" s="8">
        <f>SUMPRODUCT(B586:I586,weights!$B$5:$I$5)</f>
        <v>-6.5737124972473021E-3</v>
      </c>
      <c r="L586" s="4">
        <f t="shared" si="18"/>
        <v>139.67495458117816</v>
      </c>
      <c r="M586" s="4">
        <f>L586/MAX(L$2:L586)-1</f>
        <v>-4.3723039533322128E-2</v>
      </c>
      <c r="N586" s="4">
        <f t="shared" si="17"/>
        <v>3.1071583470589026E-2</v>
      </c>
    </row>
    <row r="587" spans="1:14">
      <c r="A587" s="3">
        <f>prices!A588</f>
        <v>44337</v>
      </c>
      <c r="B587" s="5">
        <f>prices!B588/prices!B587-1</f>
        <v>8.6374288583863645E-3</v>
      </c>
      <c r="C587" s="5">
        <f>prices!C588/prices!C587-1</f>
        <v>6.6981875492513332E-3</v>
      </c>
      <c r="D587" s="5">
        <f>prices!D588/prices!D587-1</f>
        <v>4.5017377756471744E-2</v>
      </c>
      <c r="E587" s="5">
        <f>prices!E588/prices!E587-1</f>
        <v>1.1351426293716216E-2</v>
      </c>
      <c r="F587" s="5">
        <f>prices!F588/prices!F587-1</f>
        <v>9.9109904677734395E-3</v>
      </c>
      <c r="G587" s="5">
        <f>prices!G588/prices!G587-1</f>
        <v>1.1397334834834849E-2</v>
      </c>
      <c r="H587" s="5">
        <f>prices!H588/prices!H587-1</f>
        <v>5.1683945770197859E-3</v>
      </c>
      <c r="I587" s="5">
        <f>prices!I588/prices!I587-1</f>
        <v>5.887547836326279E-3</v>
      </c>
      <c r="J587" s="5">
        <f>prices!J588/prices!J587-1</f>
        <v>1.8063135438295186E-2</v>
      </c>
      <c r="K587" s="8">
        <f>SUMPRODUCT(B587:I587,weights!$B$5:$I$5)</f>
        <v>1.0980110440655139E-2</v>
      </c>
      <c r="L587" s="4">
        <f t="shared" si="18"/>
        <v>141.20860100827298</v>
      </c>
      <c r="M587" s="4">
        <f>L587/MAX(L$2:L587)-1</f>
        <v>-3.322301289554408E-2</v>
      </c>
      <c r="N587" s="4">
        <f t="shared" si="17"/>
        <v>4.0400049587105302E-2</v>
      </c>
    </row>
    <row r="588" spans="1:14">
      <c r="A588" s="3">
        <f>prices!A589</f>
        <v>44340</v>
      </c>
      <c r="B588" s="5">
        <f>prices!B589/prices!B588-1</f>
        <v>-8.4417596034696007E-3</v>
      </c>
      <c r="C588" s="5">
        <f>prices!C589/prices!C588-1</f>
        <v>3.2364895378589331E-4</v>
      </c>
      <c r="D588" s="5">
        <f>prices!D589/prices!D588-1</f>
        <v>8.4435970583596198E-3</v>
      </c>
      <c r="E588" s="5">
        <f>prices!E589/prices!E588-1</f>
        <v>-4.7637815514849358E-3</v>
      </c>
      <c r="F588" s="5">
        <f>prices!F589/prices!F588-1</f>
        <v>1.1688961120140062E-2</v>
      </c>
      <c r="G588" s="5">
        <f>prices!G589/prices!G588-1</f>
        <v>8.3569551857505253E-3</v>
      </c>
      <c r="H588" s="5">
        <f>prices!H589/prices!H588-1</f>
        <v>7.9339649990073369E-4</v>
      </c>
      <c r="I588" s="5">
        <f>prices!I589/prices!I588-1</f>
        <v>1.7769373344439066E-2</v>
      </c>
      <c r="J588" s="5">
        <f>prices!J589/prices!J588-1</f>
        <v>1.4760828451498842E-3</v>
      </c>
      <c r="K588" s="8">
        <f>SUMPRODUCT(B588:I588,weights!$B$5:$I$5)</f>
        <v>5.3997610598187397E-3</v>
      </c>
      <c r="L588" s="4">
        <f t="shared" si="18"/>
        <v>141.97109371330893</v>
      </c>
      <c r="M588" s="4">
        <f>L588/MAX(L$2:L588)-1</f>
        <v>-2.8002648167048561E-2</v>
      </c>
      <c r="N588" s="4">
        <f t="shared" si="17"/>
        <v>5.0117502653543644E-2</v>
      </c>
    </row>
    <row r="589" spans="1:14">
      <c r="A589" s="3">
        <f>prices!A590</f>
        <v>44341</v>
      </c>
      <c r="B589" s="5">
        <f>prices!B590/prices!B589-1</f>
        <v>-1.1325470592829956E-2</v>
      </c>
      <c r="C589" s="5">
        <f>prices!C590/prices!C589-1</f>
        <v>1.5492502050367563E-2</v>
      </c>
      <c r="D589" s="5">
        <f>prices!D590/prices!D589-1</f>
        <v>-2.0527108861911225E-2</v>
      </c>
      <c r="E589" s="5">
        <f>prices!E590/prices!E589-1</f>
        <v>1.0055269546652035E-2</v>
      </c>
      <c r="F589" s="5">
        <f>prices!F590/prices!F589-1</f>
        <v>-2.8421377818969029E-3</v>
      </c>
      <c r="G589" s="5">
        <f>prices!G590/prices!G589-1</f>
        <v>5.8507693416618434E-3</v>
      </c>
      <c r="H589" s="5">
        <f>prices!H590/prices!H589-1</f>
        <v>7.4550638025401295E-3</v>
      </c>
      <c r="I589" s="5">
        <f>prices!I590/prices!I589-1</f>
        <v>5.3380126962125907E-3</v>
      </c>
      <c r="J589" s="5">
        <f>prices!J590/prices!J589-1</f>
        <v>7.0734387440207769E-4</v>
      </c>
      <c r="K589" s="8">
        <f>SUMPRODUCT(B589:I589,weights!$B$5:$I$5)</f>
        <v>2.3201419929563373E-3</v>
      </c>
      <c r="L589" s="4">
        <f t="shared" si="18"/>
        <v>142.30048680961912</v>
      </c>
      <c r="M589" s="4">
        <f>L589/MAX(L$2:L589)-1</f>
        <v>-2.5747476294018523E-2</v>
      </c>
      <c r="N589" s="4">
        <f t="shared" si="17"/>
        <v>5.0258439027591084E-2</v>
      </c>
    </row>
    <row r="590" spans="1:14">
      <c r="A590" s="3">
        <f>prices!A591</f>
        <v>44342</v>
      </c>
      <c r="B590" s="5">
        <f>prices!B591/prices!B590-1</f>
        <v>3.5099203214230545E-3</v>
      </c>
      <c r="C590" s="5">
        <f>prices!C591/prices!C590-1</f>
        <v>1.4289207332434328E-2</v>
      </c>
      <c r="D590" s="5">
        <f>prices!D591/prices!D590-1</f>
        <v>-1.291689646164107E-3</v>
      </c>
      <c r="E590" s="5">
        <f>prices!E591/prices!E590-1</f>
        <v>2.6174931387757283E-2</v>
      </c>
      <c r="F590" s="5">
        <f>prices!F591/prices!F590-1</f>
        <v>-1.42511927628719E-3</v>
      </c>
      <c r="G590" s="5">
        <f>prices!G591/prices!G590-1</f>
        <v>1.7723132469132485E-2</v>
      </c>
      <c r="H590" s="5">
        <f>prices!H591/prices!H590-1</f>
        <v>1.10620138615658E-2</v>
      </c>
      <c r="I590" s="5">
        <f>prices!I591/prices!I590-1</f>
        <v>1.5129624876242254E-2</v>
      </c>
      <c r="J590" s="5">
        <f>prices!J591/prices!J590-1</f>
        <v>6.115021583396052E-3</v>
      </c>
      <c r="K590" s="8">
        <f>SUMPRODUCT(B590:I590,weights!$B$5:$I$5)</f>
        <v>1.179849351487507E-2</v>
      </c>
      <c r="L590" s="4">
        <f t="shared" si="18"/>
        <v>143.97941818040599</v>
      </c>
      <c r="M590" s="4">
        <f>L590/MAX(L$2:L590)-1</f>
        <v>-1.425276421122279E-2</v>
      </c>
      <c r="N590" s="4">
        <f t="shared" si="17"/>
        <v>5.0054438906356857E-2</v>
      </c>
    </row>
    <row r="591" spans="1:14">
      <c r="A591" s="3">
        <f>prices!A592</f>
        <v>44343</v>
      </c>
      <c r="B591" s="5">
        <f>prices!B592/prices!B591-1</f>
        <v>3.0702790242584932E-3</v>
      </c>
      <c r="C591" s="5">
        <f>prices!C592/prices!C591-1</f>
        <v>6.8083614275642468E-3</v>
      </c>
      <c r="D591" s="5">
        <f>prices!D592/prices!D591-1</f>
        <v>3.7928879717494812E-3</v>
      </c>
      <c r="E591" s="5">
        <f>prices!E592/prices!E591-1</f>
        <v>3.5798234175270505E-3</v>
      </c>
      <c r="F591" s="5">
        <f>prices!F592/prices!F591-1</f>
        <v>2.6681558699428454E-3</v>
      </c>
      <c r="G591" s="5">
        <f>prices!G592/prices!G591-1</f>
        <v>-9.2975175658061016E-3</v>
      </c>
      <c r="H591" s="5">
        <f>prices!H592/prices!H591-1</f>
        <v>-6.1215631688443795E-3</v>
      </c>
      <c r="I591" s="5">
        <f>prices!I592/prices!I591-1</f>
        <v>6.7549018191275234E-3</v>
      </c>
      <c r="J591" s="5">
        <f>prices!J592/prices!J591-1</f>
        <v>2.3788595198495077E-3</v>
      </c>
      <c r="K591" s="8">
        <f>SUMPRODUCT(B591:I591,weights!$B$5:$I$5)</f>
        <v>3.9710540213644093E-4</v>
      </c>
      <c r="L591" s="4">
        <f t="shared" si="18"/>
        <v>144.03659318516188</v>
      </c>
      <c r="M591" s="4">
        <f>L591/MAX(L$2:L591)-1</f>
        <v>-1.3861318658750066E-2</v>
      </c>
      <c r="N591" s="4">
        <f t="shared" si="17"/>
        <v>4.7056098740390739E-2</v>
      </c>
    </row>
    <row r="592" spans="1:14">
      <c r="A592" s="3">
        <f>prices!A593</f>
        <v>44344</v>
      </c>
      <c r="B592" s="5">
        <f>prices!B593/prices!B592-1</f>
        <v>6.0073999327278971E-2</v>
      </c>
      <c r="C592" s="5">
        <f>prices!C593/prices!C592-1</f>
        <v>-1.1449509332656094E-2</v>
      </c>
      <c r="D592" s="5">
        <f>prices!D593/prices!D592-1</f>
        <v>1.4028433274459129E-2</v>
      </c>
      <c r="E592" s="5">
        <f>prices!E593/prices!E592-1</f>
        <v>2.0028470222135386E-3</v>
      </c>
      <c r="F592" s="5">
        <f>prices!F593/prices!F592-1</f>
        <v>8.2307073457514868E-3</v>
      </c>
      <c r="G592" s="5">
        <f>prices!G593/prices!G592-1</f>
        <v>1.5878200591568081E-4</v>
      </c>
      <c r="H592" s="5">
        <f>prices!H593/prices!H592-1</f>
        <v>-4.2527558580808367E-2</v>
      </c>
      <c r="I592" s="5">
        <f>prices!I593/prices!I592-1</f>
        <v>-3.2076812124605114E-3</v>
      </c>
      <c r="J592" s="5">
        <f>prices!J593/prices!J592-1</f>
        <v>6.3763826090357245E-3</v>
      </c>
      <c r="K592" s="8">
        <f>SUMPRODUCT(B592:I592,weights!$B$5:$I$5)</f>
        <v>1.5270925321094395E-3</v>
      </c>
      <c r="L592" s="4">
        <f t="shared" si="18"/>
        <v>144.2565503909654</v>
      </c>
      <c r="M592" s="4">
        <f>L592/MAX(L$2:L592)-1</f>
        <v>-1.2355393642849766E-2</v>
      </c>
      <c r="N592" s="4">
        <f t="shared" si="17"/>
        <v>5.0422417255111984E-2</v>
      </c>
    </row>
    <row r="593" spans="1:14">
      <c r="A593" s="3">
        <f>prices!A594</f>
        <v>44347</v>
      </c>
      <c r="B593" s="5">
        <f>prices!B594/prices!B593-1</f>
        <v>3.1264542877691648E-2</v>
      </c>
      <c r="C593" s="5">
        <f>prices!C594/prices!C593-1</f>
        <v>4.9469886857818057E-3</v>
      </c>
      <c r="D593" s="5">
        <f>prices!D594/prices!D593-1</f>
        <v>8.2520737261397858E-3</v>
      </c>
      <c r="E593" s="5">
        <f>prices!E594/prices!E593-1</f>
        <v>2.659618402577113E-3</v>
      </c>
      <c r="F593" s="5">
        <f>prices!F594/prices!F593-1</f>
        <v>1.7431868401669659E-2</v>
      </c>
      <c r="G593" s="5">
        <f>prices!G594/prices!G593-1</f>
        <v>1.6686095474826468E-2</v>
      </c>
      <c r="H593" s="5">
        <f>prices!H594/prices!H593-1</f>
        <v>-2.1547656495753964E-3</v>
      </c>
      <c r="I593" s="5">
        <f>prices!I594/prices!I593-1</f>
        <v>-7.0335334686766338E-3</v>
      </c>
      <c r="J593" s="5">
        <f>prices!J594/prices!J593-1</f>
        <v>9.5331262369904302E-3</v>
      </c>
      <c r="K593" s="8">
        <f>SUMPRODUCT(B593:I593,weights!$B$5:$I$5)</f>
        <v>8.2432606852492103E-3</v>
      </c>
      <c r="L593" s="4">
        <f t="shared" si="18"/>
        <v>145.44569474139291</v>
      </c>
      <c r="M593" s="4">
        <f>L593/MAX(L$2:L593)-1</f>
        <v>-4.2139816882674763E-3</v>
      </c>
      <c r="N593" s="4">
        <f t="shared" si="17"/>
        <v>7.1429400592697201E-2</v>
      </c>
    </row>
    <row r="594" spans="1:14">
      <c r="A594" s="3">
        <f>prices!A595</f>
        <v>44348</v>
      </c>
      <c r="B594" s="5">
        <f>prices!B595/prices!B594-1</f>
        <v>3.9793239251721957E-3</v>
      </c>
      <c r="C594" s="5">
        <f>prices!C595/prices!C594-1</f>
        <v>-1.9464133773010595E-3</v>
      </c>
      <c r="D594" s="5">
        <f>prices!D595/prices!D594-1</f>
        <v>-2.7470582404668376E-3</v>
      </c>
      <c r="E594" s="5">
        <f>prices!E595/prices!E594-1</f>
        <v>-4.7037696059049061E-3</v>
      </c>
      <c r="F594" s="5">
        <f>prices!F595/prices!F594-1</f>
        <v>-6.2741312741312338E-3</v>
      </c>
      <c r="G594" s="5">
        <f>prices!G595/prices!G594-1</f>
        <v>6.8409116258316693E-4</v>
      </c>
      <c r="H594" s="5">
        <f>prices!H595/prices!H594-1</f>
        <v>4.1139290386646987E-3</v>
      </c>
      <c r="I594" s="5">
        <f>prices!I595/prices!I594-1</f>
        <v>4.7343198312175261E-3</v>
      </c>
      <c r="J594" s="5">
        <f>prices!J595/prices!J594-1</f>
        <v>-5.1017788844098799E-4</v>
      </c>
      <c r="K594" s="8">
        <f>SUMPRODUCT(B594:I594,weights!$B$5:$I$5)</f>
        <v>8.9420036153863654E-4</v>
      </c>
      <c r="L594" s="4">
        <f t="shared" si="18"/>
        <v>145.57575233421491</v>
      </c>
      <c r="M594" s="4">
        <f>L594/MAX(L$2:L594)-1</f>
        <v>-3.3235494706779223E-3</v>
      </c>
      <c r="N594" s="4">
        <f t="shared" si="17"/>
        <v>6.945378056475926E-2</v>
      </c>
    </row>
    <row r="595" spans="1:14">
      <c r="A595" s="3">
        <f>prices!A596</f>
        <v>44349</v>
      </c>
      <c r="B595" s="5">
        <f>prices!B596/prices!B595-1</f>
        <v>1.4914395456216978E-2</v>
      </c>
      <c r="C595" s="5">
        <f>prices!C596/prices!C595-1</f>
        <v>-7.467874601176705E-3</v>
      </c>
      <c r="D595" s="5">
        <f>prices!D596/prices!D595-1</f>
        <v>-5.0832777201924584E-3</v>
      </c>
      <c r="E595" s="5">
        <f>prices!E596/prices!E595-1</f>
        <v>-6.1578699067215137E-3</v>
      </c>
      <c r="F595" s="5">
        <f>prices!F596/prices!F595-1</f>
        <v>-2.9018941233608597E-2</v>
      </c>
      <c r="G595" s="5">
        <f>prices!G596/prices!G595-1</f>
        <v>1.3192447446443323E-2</v>
      </c>
      <c r="H595" s="5">
        <f>prices!H596/prices!H595-1</f>
        <v>9.5284440537486415E-3</v>
      </c>
      <c r="I595" s="5">
        <f>prices!I596/prices!I595-1</f>
        <v>-2.4389891905153283E-3</v>
      </c>
      <c r="J595" s="5">
        <f>prices!J596/prices!J595-1</f>
        <v>8.667820235830348E-5</v>
      </c>
      <c r="K595" s="8">
        <f>SUMPRODUCT(B595:I595,weights!$B$5:$I$5)</f>
        <v>1.4376048496491786E-3</v>
      </c>
      <c r="L595" s="4">
        <f t="shared" si="18"/>
        <v>145.78503274176191</v>
      </c>
      <c r="M595" s="4">
        <f>L595/MAX(L$2:L595)-1</f>
        <v>-1.8907225718658438E-3</v>
      </c>
      <c r="N595" s="4">
        <f t="shared" si="17"/>
        <v>8.4344878868344964E-2</v>
      </c>
    </row>
    <row r="596" spans="1:14">
      <c r="A596" s="3">
        <f>prices!A597</f>
        <v>44350</v>
      </c>
      <c r="B596" s="5">
        <f>prices!B597/prices!B596-1</f>
        <v>3.8147193815927238E-3</v>
      </c>
      <c r="C596" s="5">
        <f>prices!C597/prices!C596-1</f>
        <v>3.7712478295970353E-3</v>
      </c>
      <c r="D596" s="5">
        <f>prices!D597/prices!D596-1</f>
        <v>1.100343946681126E-2</v>
      </c>
      <c r="E596" s="5">
        <f>prices!E597/prices!E596-1</f>
        <v>7.9782139793631579E-3</v>
      </c>
      <c r="F596" s="5">
        <f>prices!F597/prices!F596-1</f>
        <v>2.5009378516949177E-4</v>
      </c>
      <c r="G596" s="5">
        <f>prices!G597/prices!G596-1</f>
        <v>3.4513510579938789E-3</v>
      </c>
      <c r="H596" s="5">
        <f>prices!H597/prices!H596-1</f>
        <v>-2.8766462969009865E-3</v>
      </c>
      <c r="I596" s="5">
        <f>prices!I597/prices!I596-1</f>
        <v>2.7053615346777971E-2</v>
      </c>
      <c r="J596" s="5">
        <f>prices!J597/prices!J596-1</f>
        <v>7.3284883347670693E-3</v>
      </c>
      <c r="K596" s="8">
        <f>SUMPRODUCT(B596:I596,weights!$B$5:$I$5)</f>
        <v>7.8982261358246791E-3</v>
      </c>
      <c r="L596" s="4">
        <f t="shared" si="18"/>
        <v>146.93647589757495</v>
      </c>
      <c r="M596" s="4">
        <f>L596/MAX(L$2:L596)-1</f>
        <v>0</v>
      </c>
      <c r="N596" s="4">
        <f t="shared" si="17"/>
        <v>7.6354637270148906E-2</v>
      </c>
    </row>
    <row r="597" spans="1:14">
      <c r="A597" s="3">
        <f>prices!A598</f>
        <v>44351</v>
      </c>
      <c r="B597" s="5">
        <f>prices!B598/prices!B597-1</f>
        <v>-8.6633042885361222E-3</v>
      </c>
      <c r="C597" s="5">
        <f>prices!C598/prices!C597-1</f>
        <v>7.9328353275598396E-4</v>
      </c>
      <c r="D597" s="5">
        <f>prices!D598/prices!D597-1</f>
        <v>-1.2888198757763925E-2</v>
      </c>
      <c r="E597" s="5">
        <f>prices!E598/prices!E597-1</f>
        <v>-2.8834634609823384E-3</v>
      </c>
      <c r="F597" s="5">
        <f>prices!F598/prices!F597-1</f>
        <v>-1.4376797099636685E-3</v>
      </c>
      <c r="G597" s="5">
        <f>prices!G598/prices!G597-1</f>
        <v>7.2210081638335311E-4</v>
      </c>
      <c r="H597" s="5">
        <f>prices!H598/prices!H597-1</f>
        <v>-2.2923619124848305E-3</v>
      </c>
      <c r="I597" s="5">
        <f>prices!I598/prices!I597-1</f>
        <v>1.7671005183682809E-2</v>
      </c>
      <c r="J597" s="5">
        <f>prices!J598/prices!J597-1</f>
        <v>-1.2810421692314167E-3</v>
      </c>
      <c r="K597" s="8">
        <f>SUMPRODUCT(B597:I597,weights!$B$5:$I$5)</f>
        <v>9.1970450622436877E-4</v>
      </c>
      <c r="L597" s="4">
        <f t="shared" si="18"/>
        <v>147.07161403658668</v>
      </c>
      <c r="M597" s="4">
        <f>L597/MAX(L$2:L597)-1</f>
        <v>0</v>
      </c>
      <c r="N597" s="4">
        <f t="shared" si="17"/>
        <v>7.2548270729293485E-2</v>
      </c>
    </row>
    <row r="598" spans="1:14">
      <c r="A598" s="3">
        <f>prices!A599</f>
        <v>44354</v>
      </c>
      <c r="B598" s="5">
        <f>prices!B599/prices!B598-1</f>
        <v>1.6840806335784553E-2</v>
      </c>
      <c r="C598" s="5">
        <f>prices!C599/prices!C598-1</f>
        <v>1.2550366602813945E-2</v>
      </c>
      <c r="D598" s="5">
        <f>prices!D599/prices!D598-1</f>
        <v>-7.4363264547305796E-4</v>
      </c>
      <c r="E598" s="5">
        <f>prices!E599/prices!E598-1</f>
        <v>2.891801865999355E-3</v>
      </c>
      <c r="F598" s="5">
        <f>prices!F599/prices!F598-1</f>
        <v>1.2957746478873267E-2</v>
      </c>
      <c r="G598" s="5">
        <f>prices!G599/prices!G598-1</f>
        <v>8.4471574285467366E-3</v>
      </c>
      <c r="H598" s="5">
        <f>prices!H599/prices!H598-1</f>
        <v>2.0788071085826587E-3</v>
      </c>
      <c r="I598" s="5">
        <f>prices!I599/prices!I598-1</f>
        <v>1.3170188175205766E-2</v>
      </c>
      <c r="J598" s="5">
        <f>prices!J599/prices!J598-1</f>
        <v>5.1945565641899893E-3</v>
      </c>
      <c r="K598" s="8">
        <f>SUMPRODUCT(B598:I598,weights!$B$5:$I$5)</f>
        <v>9.0685508050534214E-3</v>
      </c>
      <c r="L598" s="4">
        <f t="shared" si="18"/>
        <v>148.40534044045867</v>
      </c>
      <c r="M598" s="4">
        <f>L598/MAX(L$2:L598)-1</f>
        <v>0</v>
      </c>
      <c r="N598" s="4">
        <f t="shared" si="17"/>
        <v>7.8626225838690278E-2</v>
      </c>
    </row>
    <row r="599" spans="1:14">
      <c r="A599" s="3">
        <f>prices!A600</f>
        <v>44355</v>
      </c>
      <c r="B599" s="5">
        <f>prices!B600/prices!B599-1</f>
        <v>-5.7394660406637765E-3</v>
      </c>
      <c r="C599" s="5">
        <f>prices!C600/prices!C599-1</f>
        <v>5.3239683678720784E-3</v>
      </c>
      <c r="D599" s="5">
        <f>prices!D600/prices!D599-1</f>
        <v>-1.1191413237924941E-2</v>
      </c>
      <c r="E599" s="5">
        <f>prices!E600/prices!E599-1</f>
        <v>1.6763746023877646E-2</v>
      </c>
      <c r="F599" s="5">
        <f>prices!F600/prices!F599-1</f>
        <v>1.0381905821282844E-2</v>
      </c>
      <c r="G599" s="5">
        <f>prices!G600/prices!G599-1</f>
        <v>8.3981274406423889E-3</v>
      </c>
      <c r="H599" s="5">
        <f>prices!H600/prices!H599-1</f>
        <v>5.0380583978038018E-3</v>
      </c>
      <c r="I599" s="5">
        <f>prices!I600/prices!I599-1</f>
        <v>-5.5534304215962838E-3</v>
      </c>
      <c r="J599" s="5">
        <f>prices!J600/prices!J599-1</f>
        <v>-7.3325651598399322E-4</v>
      </c>
      <c r="K599" s="8">
        <f>SUMPRODUCT(B599:I599,weights!$B$5:$I$5)</f>
        <v>2.4920565075108423E-3</v>
      </c>
      <c r="L599" s="4">
        <f t="shared" si="18"/>
        <v>148.77517493485269</v>
      </c>
      <c r="M599" s="4">
        <f>L599/MAX(L$2:L599)-1</f>
        <v>0</v>
      </c>
      <c r="N599" s="4">
        <f t="shared" ref="N599:N662" si="19">L599/L579-1</f>
        <v>6.7307354588034052E-2</v>
      </c>
    </row>
    <row r="600" spans="1:14">
      <c r="A600" s="3">
        <f>prices!A601</f>
        <v>44356</v>
      </c>
      <c r="B600" s="5">
        <f>prices!B601/prices!B600-1</f>
        <v>-1.7888049622330038E-2</v>
      </c>
      <c r="C600" s="5">
        <f>prices!C601/prices!C600-1</f>
        <v>3.2445176664008812E-5</v>
      </c>
      <c r="D600" s="5">
        <f>prices!D601/prices!D600-1</f>
        <v>-1.8525755141620692E-3</v>
      </c>
      <c r="E600" s="5">
        <f>prices!E601/prices!E600-1</f>
        <v>1.6657999089904063E-3</v>
      </c>
      <c r="F600" s="5">
        <f>prices!F601/prices!F600-1</f>
        <v>-5.3822629969418889E-3</v>
      </c>
      <c r="G600" s="5">
        <f>prices!G601/prices!G600-1</f>
        <v>-1.3323948921989626E-2</v>
      </c>
      <c r="H600" s="5">
        <f>prices!H601/prices!H600-1</f>
        <v>-8.7064483588111807E-3</v>
      </c>
      <c r="I600" s="5">
        <f>prices!I601/prices!I600-1</f>
        <v>-1.9267359513129967E-2</v>
      </c>
      <c r="J600" s="5">
        <f>prices!J601/prices!J600-1</f>
        <v>-6.6549767790547998E-3</v>
      </c>
      <c r="K600" s="8">
        <f>SUMPRODUCT(B600:I600,weights!$B$5:$I$5)</f>
        <v>-1.0419265876602014E-2</v>
      </c>
      <c r="L600" s="4">
        <f t="shared" si="18"/>
        <v>147.22504683136847</v>
      </c>
      <c r="M600" s="4">
        <f>L600/MAX(L$2:L600)-1</f>
        <v>-1.0419265876602024E-2</v>
      </c>
      <c r="N600" s="4">
        <f t="shared" si="19"/>
        <v>5.8817219062935022E-2</v>
      </c>
    </row>
    <row r="601" spans="1:14">
      <c r="A601" s="3">
        <f>prices!A602</f>
        <v>44357</v>
      </c>
      <c r="B601" s="5">
        <f>prices!B602/prices!B601-1</f>
        <v>3.677406867888422E-3</v>
      </c>
      <c r="C601" s="5">
        <f>prices!C602/prices!C601-1</f>
        <v>5.1694304253786516E-3</v>
      </c>
      <c r="D601" s="5">
        <f>prices!D602/prices!D601-1</f>
        <v>5.0750380627850866E-4</v>
      </c>
      <c r="E601" s="5">
        <f>prices!E602/prices!E601-1</f>
        <v>6.3600743090312939E-3</v>
      </c>
      <c r="F601" s="5">
        <f>prices!F602/prices!F601-1</f>
        <v>1.3405485180174592E-2</v>
      </c>
      <c r="G601" s="5">
        <f>prices!G602/prices!G601-1</f>
        <v>-5.4009672244269558E-3</v>
      </c>
      <c r="H601" s="5">
        <f>prices!H602/prices!H601-1</f>
        <v>4.7593700097066094E-3</v>
      </c>
      <c r="I601" s="5">
        <f>prices!I602/prices!I601-1</f>
        <v>2.661474456850943E-4</v>
      </c>
      <c r="J601" s="5">
        <f>prices!J602/prices!J601-1</f>
        <v>6.5492617690041666E-3</v>
      </c>
      <c r="K601" s="8">
        <f>SUMPRODUCT(B601:I601,weights!$B$5:$I$5)</f>
        <v>2.3400488575920789E-3</v>
      </c>
      <c r="L601" s="4">
        <f t="shared" si="18"/>
        <v>147.56956063401515</v>
      </c>
      <c r="M601" s="4">
        <f>L601/MAX(L$2:L601)-1</f>
        <v>-8.1035986102215851E-3</v>
      </c>
      <c r="N601" s="4">
        <f t="shared" si="19"/>
        <v>6.2994307044127007E-2</v>
      </c>
    </row>
    <row r="602" spans="1:14">
      <c r="A602" s="3">
        <f>prices!A603</f>
        <v>44358</v>
      </c>
      <c r="B602" s="5">
        <f>prices!B603/prices!B602-1</f>
        <v>1.7355472556024765E-2</v>
      </c>
      <c r="C602" s="5">
        <f>prices!C603/prices!C602-1</f>
        <v>1.7720220633064887E-2</v>
      </c>
      <c r="D602" s="5">
        <f>prices!D603/prices!D602-1</f>
        <v>3.5652173913043317E-3</v>
      </c>
      <c r="E602" s="5">
        <f>prices!E603/prices!E602-1</f>
        <v>1.5864187081328085E-2</v>
      </c>
      <c r="F602" s="5">
        <f>prices!F603/prices!F602-1</f>
        <v>-6.6747572815535339E-3</v>
      </c>
      <c r="G602" s="5">
        <f>prices!G603/prices!G602-1</f>
        <v>3.3196526952419259E-3</v>
      </c>
      <c r="H602" s="5">
        <f>prices!H603/prices!H602-1</f>
        <v>7.7752500856991258E-3</v>
      </c>
      <c r="I602" s="5">
        <f>prices!I603/prices!I602-1</f>
        <v>-1.0692079318843861E-2</v>
      </c>
      <c r="J602" s="5">
        <f>prices!J603/prices!J602-1</f>
        <v>3.9141554542421186E-3</v>
      </c>
      <c r="K602" s="8">
        <f>SUMPRODUCT(B602:I602,weights!$B$5:$I$5)</f>
        <v>4.5280939851901486E-3</v>
      </c>
      <c r="L602" s="4">
        <f t="shared" si="18"/>
        <v>148.23776947391917</v>
      </c>
      <c r="M602" s="4">
        <f>L602/MAX(L$2:L602)-1</f>
        <v>-3.612198481156792E-3</v>
      </c>
      <c r="N602" s="4">
        <f t="shared" si="19"/>
        <v>6.5174669741955515E-2</v>
      </c>
    </row>
    <row r="603" spans="1:14">
      <c r="A603" s="3">
        <f>prices!A604</f>
        <v>44361</v>
      </c>
      <c r="B603" s="5">
        <f>prices!B604/prices!B603-1</f>
        <v>1.434585686067158E-2</v>
      </c>
      <c r="C603" s="5">
        <f>prices!C604/prices!C603-1</f>
        <v>7.7878601004321979E-4</v>
      </c>
      <c r="D603" s="5">
        <f>prices!D604/prices!D603-1</f>
        <v>-4.635646824365347E-3</v>
      </c>
      <c r="E603" s="5">
        <f>prices!E604/prices!E603-1</f>
        <v>1.0299870656477861E-2</v>
      </c>
      <c r="F603" s="5">
        <f>prices!F604/prices!F603-1</f>
        <v>-2.871105681124031E-3</v>
      </c>
      <c r="G603" s="5">
        <f>prices!G604/prices!G603-1</f>
        <v>-6.3605807385276325E-3</v>
      </c>
      <c r="H603" s="5">
        <f>prices!H604/prices!H603-1</f>
        <v>-6.1691173059975624E-3</v>
      </c>
      <c r="I603" s="5">
        <f>prices!I604/prices!I603-1</f>
        <v>8.1818117475529473E-3</v>
      </c>
      <c r="J603" s="5">
        <f>prices!J604/prices!J603-1</f>
        <v>7.911717887127967E-4</v>
      </c>
      <c r="K603" s="8">
        <f>SUMPRODUCT(B603:I603,weights!$B$5:$I$5)</f>
        <v>1.6276171218251646E-3</v>
      </c>
      <c r="L603" s="4">
        <f t="shared" si="18"/>
        <v>148.4790438056161</v>
      </c>
      <c r="M603" s="4">
        <f>L603/MAX(L$2:L603)-1</f>
        <v>-1.9904606354269605E-3</v>
      </c>
      <c r="N603" s="4">
        <f t="shared" si="19"/>
        <v>6.6477730650758016E-2</v>
      </c>
    </row>
    <row r="604" spans="1:14">
      <c r="A604" s="3">
        <f>prices!A605</f>
        <v>44362</v>
      </c>
      <c r="B604" s="5">
        <f>prices!B605/prices!B604-1</f>
        <v>2.2719225775995611E-3</v>
      </c>
      <c r="C604" s="5">
        <f>prices!C605/prices!C604-1</f>
        <v>-4.1514669220693579E-3</v>
      </c>
      <c r="D604" s="5">
        <f>prices!D605/prices!D604-1</f>
        <v>7.2977874501269913E-3</v>
      </c>
      <c r="E604" s="5">
        <f>prices!E605/prices!E604-1</f>
        <v>8.2784187748883298E-3</v>
      </c>
      <c r="F604" s="5">
        <f>prices!F605/prices!F604-1</f>
        <v>-1.2252649635482449E-3</v>
      </c>
      <c r="G604" s="5">
        <f>prices!G605/prices!G604-1</f>
        <v>-1.6164742362489992E-3</v>
      </c>
      <c r="H604" s="5">
        <f>prices!H605/prices!H604-1</f>
        <v>-5.7562463051120671E-3</v>
      </c>
      <c r="I604" s="5">
        <f>prices!I605/prices!I604-1</f>
        <v>-3.2714380989153913E-3</v>
      </c>
      <c r="J604" s="5">
        <f>prices!J605/prices!J604-1</f>
        <v>3.6301887508418673E-3</v>
      </c>
      <c r="K604" s="8">
        <f>SUMPRODUCT(B604:I604,weights!$B$5:$I$5)</f>
        <v>-7.6028223634128284E-4</v>
      </c>
      <c r="L604" s="4">
        <f t="shared" si="18"/>
        <v>148.36615782614174</v>
      </c>
      <c r="M604" s="4">
        <f>L604/MAX(L$2:L604)-1</f>
        <v>-2.7492295599050864E-3</v>
      </c>
      <c r="N604" s="4">
        <f t="shared" si="19"/>
        <v>5.3314291804495539E-2</v>
      </c>
    </row>
    <row r="605" spans="1:14">
      <c r="A605" s="3">
        <f>prices!A606</f>
        <v>44363</v>
      </c>
      <c r="B605" s="5">
        <f>prices!B606/prices!B605-1</f>
        <v>-1.7074391356825425E-2</v>
      </c>
      <c r="C605" s="5">
        <f>prices!C606/prices!C605-1</f>
        <v>3.5570704731326952E-3</v>
      </c>
      <c r="D605" s="5">
        <f>prices!D606/prices!D605-1</f>
        <v>-3.7880970213746146E-3</v>
      </c>
      <c r="E605" s="5">
        <f>prices!E606/prices!E605-1</f>
        <v>4.5414534208907398E-3</v>
      </c>
      <c r="F605" s="5">
        <f>prices!F606/prices!F605-1</f>
        <v>3.8643194504077716E-3</v>
      </c>
      <c r="G605" s="5">
        <f>prices!G606/prices!G605-1</f>
        <v>-7.2557649802722501E-3</v>
      </c>
      <c r="H605" s="5">
        <f>prices!H606/prices!H605-1</f>
        <v>-6.9161920260375487E-3</v>
      </c>
      <c r="I605" s="5">
        <f>prices!I606/prices!I605-1</f>
        <v>-1.3170961902816636E-2</v>
      </c>
      <c r="J605" s="5">
        <f>prices!J606/prices!J605-1</f>
        <v>-6.4086204452006301E-3</v>
      </c>
      <c r="K605" s="8">
        <f>SUMPRODUCT(B605:I605,weights!$B$5:$I$5)</f>
        <v>-6.4828047024798824E-3</v>
      </c>
      <c r="L605" s="4">
        <f t="shared" si="18"/>
        <v>147.40432900049757</v>
      </c>
      <c r="M605" s="4">
        <f>L605/MAX(L$2:L605)-1</f>
        <v>-9.2142115440657646E-3</v>
      </c>
      <c r="N605" s="4">
        <f t="shared" si="19"/>
        <v>4.8400808576539722E-2</v>
      </c>
    </row>
    <row r="606" spans="1:14">
      <c r="A606" s="3">
        <f>prices!A607</f>
        <v>44364</v>
      </c>
      <c r="B606" s="5">
        <f>prices!B607/prices!B606-1</f>
        <v>1.8369323230205126E-3</v>
      </c>
      <c r="C606" s="5">
        <f>prices!C607/prices!C606-1</f>
        <v>1.3254739749773536E-2</v>
      </c>
      <c r="D606" s="5">
        <f>prices!D607/prices!D606-1</f>
        <v>-1.2462950914479909E-2</v>
      </c>
      <c r="E606" s="5">
        <f>prices!E607/prices!E606-1</f>
        <v>9.933620769875029E-3</v>
      </c>
      <c r="F606" s="5">
        <f>prices!F607/prices!F606-1</f>
        <v>-1.0570695344005787E-2</v>
      </c>
      <c r="G606" s="5">
        <f>prices!G607/prices!G606-1</f>
        <v>-2.0368046904279069E-2</v>
      </c>
      <c r="H606" s="5">
        <f>prices!H607/prices!H606-1</f>
        <v>-5.2311473860018332E-3</v>
      </c>
      <c r="I606" s="5">
        <f>prices!I607/prices!I606-1</f>
        <v>-2.241112276870072E-3</v>
      </c>
      <c r="J606" s="5">
        <f>prices!J607/prices!J606-1</f>
        <v>-4.8295391484409755E-3</v>
      </c>
      <c r="K606" s="8">
        <f>SUMPRODUCT(B606:I606,weights!$B$5:$I$5)</f>
        <v>-4.7607436962720569E-3</v>
      </c>
      <c r="L606" s="4">
        <f t="shared" si="18"/>
        <v>146.70257477040522</v>
      </c>
      <c r="M606" s="4">
        <f>L606/MAX(L$2:L606)-1</f>
        <v>-1.3931088740813391E-2</v>
      </c>
      <c r="N606" s="4">
        <f t="shared" si="19"/>
        <v>5.0314103987359138E-2</v>
      </c>
    </row>
    <row r="607" spans="1:14">
      <c r="A607" s="3">
        <f>prices!A608</f>
        <v>44365</v>
      </c>
      <c r="B607" s="5">
        <f>prices!B608/prices!B607-1</f>
        <v>4.5141553148448921E-3</v>
      </c>
      <c r="C607" s="5">
        <f>prices!C608/prices!C607-1</f>
        <v>-6.1651337865327172E-3</v>
      </c>
      <c r="D607" s="5">
        <f>prices!D608/prices!D607-1</f>
        <v>9.3407317394551548E-3</v>
      </c>
      <c r="E607" s="5">
        <f>prices!E608/prices!E607-1</f>
        <v>5.3441034421861655E-3</v>
      </c>
      <c r="F607" s="5">
        <f>prices!F608/prices!F607-1</f>
        <v>-5.3726919039090992E-3</v>
      </c>
      <c r="G607" s="5">
        <f>prices!G608/prices!G607-1</f>
        <v>-1.4349935810877845E-3</v>
      </c>
      <c r="H607" s="5">
        <f>prices!H608/prices!H607-1</f>
        <v>5.1952988880792361E-3</v>
      </c>
      <c r="I607" s="5">
        <f>prices!I608/prices!I607-1</f>
        <v>-7.7685181873458076E-3</v>
      </c>
      <c r="J607" s="5">
        <f>prices!J608/prices!J607-1</f>
        <v>-5.1301987075713651E-4</v>
      </c>
      <c r="K607" s="8">
        <f>SUMPRODUCT(B607:I607,weights!$B$5:$I$5)</f>
        <v>-2.9404361085886232E-4</v>
      </c>
      <c r="L607" s="4">
        <f t="shared" si="18"/>
        <v>146.65943781559744</v>
      </c>
      <c r="M607" s="4">
        <f>L607/MAX(L$2:L607)-1</f>
        <v>-1.4221036004035681E-2</v>
      </c>
      <c r="N607" s="4">
        <f t="shared" si="19"/>
        <v>3.8601308761674558E-2</v>
      </c>
    </row>
    <row r="608" spans="1:14">
      <c r="A608" s="3">
        <f>prices!A609</f>
        <v>44368</v>
      </c>
      <c r="B608" s="5">
        <f>prices!B609/prices!B608-1</f>
        <v>5.2081266616403887E-3</v>
      </c>
      <c r="C608" s="5">
        <f>prices!C609/prices!C608-1</f>
        <v>-7.3369907491637187E-3</v>
      </c>
      <c r="D608" s="5">
        <f>prices!D609/prices!D608-1</f>
        <v>6.0196399820136026E-3</v>
      </c>
      <c r="E608" s="5">
        <f>prices!E609/prices!E608-1</f>
        <v>-1.99338593020848E-3</v>
      </c>
      <c r="F608" s="5">
        <f>prices!F609/prices!F608-1</f>
        <v>-4.9670930088174803E-4</v>
      </c>
      <c r="G608" s="5">
        <f>prices!G609/prices!G608-1</f>
        <v>-8.5420774162676683E-3</v>
      </c>
      <c r="H608" s="5">
        <f>prices!H609/prices!H608-1</f>
        <v>4.2545145126218209E-3</v>
      </c>
      <c r="I608" s="5">
        <f>prices!I609/prices!I608-1</f>
        <v>-6.0630528660720051E-3</v>
      </c>
      <c r="J608" s="5">
        <f>prices!J609/prices!J608-1</f>
        <v>4.0265632023770426E-3</v>
      </c>
      <c r="K608" s="8">
        <f>SUMPRODUCT(B608:I608,weights!$B$5:$I$5)</f>
        <v>-1.9571483693703574E-3</v>
      </c>
      <c r="L608" s="4">
        <f t="shared" si="18"/>
        <v>146.37240353602388</v>
      </c>
      <c r="M608" s="4">
        <f>L608/MAX(L$2:L608)-1</f>
        <v>-1.6150351695979892E-2</v>
      </c>
      <c r="N608" s="4">
        <f t="shared" si="19"/>
        <v>3.1001450419215537E-2</v>
      </c>
    </row>
    <row r="609" spans="1:14">
      <c r="A609" s="3">
        <f>prices!A610</f>
        <v>44369</v>
      </c>
      <c r="B609" s="5">
        <f>prices!B610/prices!B609-1</f>
        <v>-5.1416672423491017E-3</v>
      </c>
      <c r="C609" s="5">
        <f>prices!C610/prices!C609-1</f>
        <v>8.5825564386796671E-3</v>
      </c>
      <c r="D609" s="5">
        <f>prices!D610/prices!D609-1</f>
        <v>-3.2873868158486141E-3</v>
      </c>
      <c r="E609" s="5">
        <f>prices!E610/prices!E609-1</f>
        <v>7.6986653605974897E-3</v>
      </c>
      <c r="F609" s="5">
        <f>prices!F610/prices!F609-1</f>
        <v>3.1680954155797192E-3</v>
      </c>
      <c r="G609" s="5">
        <f>prices!G610/prices!G609-1</f>
        <v>5.2970887547213463E-2</v>
      </c>
      <c r="H609" s="5">
        <f>prices!H610/prices!H609-1</f>
        <v>-6.778384485031097E-3</v>
      </c>
      <c r="I609" s="5">
        <f>prices!I610/prices!I609-1</f>
        <v>2.1912263904604323E-2</v>
      </c>
      <c r="J609" s="5">
        <f>prices!J610/prices!J609-1</f>
        <v>1.6670371193598932E-3</v>
      </c>
      <c r="K609" s="8">
        <f>SUMPRODUCT(B609:I609,weights!$B$5:$I$5)</f>
        <v>1.4362594437432631E-2</v>
      </c>
      <c r="L609" s="4">
        <f t="shared" si="18"/>
        <v>148.474691004844</v>
      </c>
      <c r="M609" s="4">
        <f>L609/MAX(L$2:L609)-1</f>
        <v>-2.0197182099787048E-3</v>
      </c>
      <c r="N609" s="4">
        <f t="shared" si="19"/>
        <v>4.3388496649946262E-2</v>
      </c>
    </row>
    <row r="610" spans="1:14">
      <c r="A610" s="3">
        <f>prices!A611</f>
        <v>44370</v>
      </c>
      <c r="B610" s="5">
        <f>prices!B611/prices!B610-1</f>
        <v>-9.1659392111737015E-3</v>
      </c>
      <c r="C610" s="5">
        <f>prices!C611/prices!C610-1</f>
        <v>-1.2056613664162108E-2</v>
      </c>
      <c r="D610" s="5">
        <f>prices!D611/prices!D610-1</f>
        <v>1.1428075454231745E-3</v>
      </c>
      <c r="E610" s="5">
        <f>prices!E611/prices!E610-1</f>
        <v>-5.7564665319946862E-3</v>
      </c>
      <c r="F610" s="5">
        <f>prices!F611/prices!F610-1</f>
        <v>-5.5731005015791091E-3</v>
      </c>
      <c r="G610" s="5">
        <f>prices!G611/prices!G610-1</f>
        <v>2.3028085968039846E-2</v>
      </c>
      <c r="H610" s="5">
        <f>prices!H611/prices!H610-1</f>
        <v>-2.322274881516595E-3</v>
      </c>
      <c r="I610" s="5">
        <f>prices!I611/prices!I610-1</f>
        <v>-1.3301251339707165E-2</v>
      </c>
      <c r="J610" s="5">
        <f>prices!J611/prices!J610-1</f>
        <v>-5.4397616141762528E-3</v>
      </c>
      <c r="K610" s="8">
        <f>SUMPRODUCT(B610:I610,weights!$B$5:$I$5)</f>
        <v>-1.5883651702009185E-3</v>
      </c>
      <c r="L610" s="4">
        <f t="shared" si="18"/>
        <v>148.23885897699557</v>
      </c>
      <c r="M610" s="4">
        <f>L610/MAX(L$2:L610)-1</f>
        <v>-3.6048753301212155E-3</v>
      </c>
      <c r="N610" s="4">
        <f t="shared" si="19"/>
        <v>2.958367835083564E-2</v>
      </c>
    </row>
    <row r="611" spans="1:14">
      <c r="A611" s="3">
        <f>prices!A612</f>
        <v>44371</v>
      </c>
      <c r="B611" s="5">
        <f>prices!B612/prices!B611-1</f>
        <v>-2.3507268431380401E-2</v>
      </c>
      <c r="C611" s="5">
        <f>prices!C612/prices!C611-1</f>
        <v>3.4403961796958038E-2</v>
      </c>
      <c r="D611" s="5">
        <f>prices!D612/prices!D611-1</f>
        <v>1.3972575028537548E-2</v>
      </c>
      <c r="E611" s="5">
        <f>prices!E612/prices!E611-1</f>
        <v>3.7289948059883837E-2</v>
      </c>
      <c r="F611" s="5">
        <f>prices!F612/prices!F611-1</f>
        <v>-3.4248707889658059E-3</v>
      </c>
      <c r="G611" s="5">
        <f>prices!G612/prices!G611-1</f>
        <v>1.2747857279578056E-2</v>
      </c>
      <c r="H611" s="5">
        <f>prices!H612/prices!H611-1</f>
        <v>-6.8088610200611743E-4</v>
      </c>
      <c r="I611" s="5">
        <f>prices!I612/prices!I611-1</f>
        <v>1.6760781210660713E-2</v>
      </c>
      <c r="J611" s="5">
        <f>prices!J612/prices!J611-1</f>
        <v>6.5978408804769906E-3</v>
      </c>
      <c r="K611" s="8">
        <f>SUMPRODUCT(B611:I611,weights!$B$5:$I$5)</f>
        <v>9.6181836015850029E-3</v>
      </c>
      <c r="L611" s="4">
        <f t="shared" si="18"/>
        <v>149.66464753952579</v>
      </c>
      <c r="M611" s="4">
        <f>L611/MAX(L$2:L611)-1</f>
        <v>0</v>
      </c>
      <c r="N611" s="4">
        <f t="shared" si="19"/>
        <v>3.9073781390600804E-2</v>
      </c>
    </row>
    <row r="612" spans="1:14">
      <c r="A612" s="3">
        <f>prices!A613</f>
        <v>44372</v>
      </c>
      <c r="B612" s="5">
        <f>prices!B613/prices!B612-1</f>
        <v>-2.2781332020997414E-2</v>
      </c>
      <c r="C612" s="5">
        <f>prices!C613/prices!C612-1</f>
        <v>2.1338731850109038E-3</v>
      </c>
      <c r="D612" s="5">
        <f>prices!D613/prices!D612-1</f>
        <v>5.8711203579673299E-3</v>
      </c>
      <c r="E612" s="5">
        <f>prices!E613/prices!E612-1</f>
        <v>9.6243059748750692E-3</v>
      </c>
      <c r="F612" s="5">
        <f>prices!F613/prices!F612-1</f>
        <v>8.8102974256436539E-3</v>
      </c>
      <c r="G612" s="5">
        <f>prices!G613/prices!G612-1</f>
        <v>1.6147593540962513E-2</v>
      </c>
      <c r="H612" s="5">
        <f>prices!H613/prices!H612-1</f>
        <v>1.1218507368087272E-2</v>
      </c>
      <c r="I612" s="5">
        <f>prices!I613/prices!I612-1</f>
        <v>1.3166365983939832E-2</v>
      </c>
      <c r="J612" s="5">
        <f>prices!J613/prices!J612-1</f>
        <v>4.4267262807582419E-3</v>
      </c>
      <c r="K612" s="8">
        <f>SUMPRODUCT(B612:I612,weights!$B$5:$I$5)</f>
        <v>6.7010319767872393E-3</v>
      </c>
      <c r="L612" s="4">
        <f t="shared" si="18"/>
        <v>150.66755512848275</v>
      </c>
      <c r="M612" s="4">
        <f>L612/MAX(L$2:L612)-1</f>
        <v>0</v>
      </c>
      <c r="N612" s="4">
        <f t="shared" si="19"/>
        <v>4.4441688922563172E-2</v>
      </c>
    </row>
    <row r="613" spans="1:14">
      <c r="A613" s="3">
        <f>prices!A614</f>
        <v>44375</v>
      </c>
      <c r="B613" s="5">
        <f>prices!B614/prices!B613-1</f>
        <v>-8.7605178672598427E-3</v>
      </c>
      <c r="C613" s="5">
        <f>prices!C614/prices!C613-1</f>
        <v>-1.3028493431155086E-2</v>
      </c>
      <c r="D613" s="5">
        <f>prices!D614/prices!D613-1</f>
        <v>-4.4626413169750467E-3</v>
      </c>
      <c r="E613" s="5">
        <f>prices!E614/prices!E613-1</f>
        <v>-1.5316281206921856E-3</v>
      </c>
      <c r="F613" s="5">
        <f>prices!F614/prices!F613-1</f>
        <v>-7.0610096004953826E-3</v>
      </c>
      <c r="G613" s="5">
        <f>prices!G614/prices!G613-1</f>
        <v>-6.8970268110549737E-3</v>
      </c>
      <c r="H613" s="5">
        <f>prices!H614/prices!H613-1</f>
        <v>6.0171111598608107E-3</v>
      </c>
      <c r="I613" s="5">
        <f>prices!I614/prices!I613-1</f>
        <v>-6.1729257154029549E-3</v>
      </c>
      <c r="J613" s="5">
        <f>prices!J614/prices!J613-1</f>
        <v>-2.8782466969518028E-3</v>
      </c>
      <c r="K613" s="8">
        <f>SUMPRODUCT(B613:I613,weights!$B$5:$I$5)</f>
        <v>-4.9599209078395488E-3</v>
      </c>
      <c r="L613" s="4">
        <f t="shared" si="18"/>
        <v>149.9202559716679</v>
      </c>
      <c r="M613" s="4">
        <f>L613/MAX(L$2:L613)-1</f>
        <v>-4.9599209078396989E-3</v>
      </c>
      <c r="N613" s="4">
        <f t="shared" si="19"/>
        <v>3.0764480435332864E-2</v>
      </c>
    </row>
    <row r="614" spans="1:14">
      <c r="A614" s="3">
        <f>prices!A615</f>
        <v>44376</v>
      </c>
      <c r="B614" s="5">
        <f>prices!B615/prices!B614-1</f>
        <v>8.5733337567095447E-4</v>
      </c>
      <c r="C614" s="5">
        <f>prices!C615/prices!C614-1</f>
        <v>1.2273883940918662E-3</v>
      </c>
      <c r="D614" s="5">
        <f>prices!D615/prices!D614-1</f>
        <v>1.4230621451227776E-4</v>
      </c>
      <c r="E614" s="5">
        <f>prices!E615/prices!E614-1</f>
        <v>-5.5661473056779487E-3</v>
      </c>
      <c r="F614" s="5">
        <f>prices!F615/prices!F614-1</f>
        <v>-1.4347202295551531E-3</v>
      </c>
      <c r="G614" s="5">
        <f>prices!G615/prices!G614-1</f>
        <v>-1.4315759682803075E-2</v>
      </c>
      <c r="H614" s="5">
        <f>prices!H615/prices!H614-1</f>
        <v>1.9158281673468114E-3</v>
      </c>
      <c r="I614" s="5">
        <f>prices!I615/prices!I614-1</f>
        <v>-2.339764758786389E-3</v>
      </c>
      <c r="J614" s="5">
        <f>prices!J615/prices!J614-1</f>
        <v>-4.1891404832212764E-3</v>
      </c>
      <c r="K614" s="8">
        <f>SUMPRODUCT(B614:I614,weights!$B$5:$I$5)</f>
        <v>-3.3189487053797099E-3</v>
      </c>
      <c r="L614" s="4">
        <f t="shared" si="18"/>
        <v>149.42267833220052</v>
      </c>
      <c r="M614" s="4">
        <f>L614/MAX(L$2:L614)-1</f>
        <v>-8.2624078901436526E-3</v>
      </c>
      <c r="N614" s="4">
        <f t="shared" si="19"/>
        <v>2.6425595858531326E-2</v>
      </c>
    </row>
    <row r="615" spans="1:14">
      <c r="A615" s="3">
        <f>prices!A616</f>
        <v>44377</v>
      </c>
      <c r="B615" s="5">
        <f>prices!B616/prices!B615-1</f>
        <v>1.0945431472081157E-2</v>
      </c>
      <c r="C615" s="5">
        <f>prices!C616/prices!C615-1</f>
        <v>1.4676073166268733E-3</v>
      </c>
      <c r="D615" s="5">
        <f>prices!D616/prices!D615-1</f>
        <v>-2.7603477469015925E-3</v>
      </c>
      <c r="E615" s="5">
        <f>prices!E616/prices!E615-1</f>
        <v>1.135620734994891E-2</v>
      </c>
      <c r="F615" s="5">
        <f>prices!F616/prices!F615-1</f>
        <v>-2.9985007496252658E-3</v>
      </c>
      <c r="G615" s="5">
        <f>prices!G616/prices!G615-1</f>
        <v>3.7931301416618268E-3</v>
      </c>
      <c r="H615" s="5">
        <f>prices!H616/prices!H615-1</f>
        <v>-3.1713952584531135E-3</v>
      </c>
      <c r="I615" s="5">
        <f>prices!I616/prices!I615-1</f>
        <v>-6.8526435146384346E-3</v>
      </c>
      <c r="J615" s="5">
        <f>prices!J616/prices!J615-1</f>
        <v>-1.7112795227467448E-3</v>
      </c>
      <c r="K615" s="8">
        <f>SUMPRODUCT(B615:I615,weights!$B$5:$I$5)</f>
        <v>9.377187340906131E-4</v>
      </c>
      <c r="L615" s="4">
        <f t="shared" si="18"/>
        <v>149.56279477697063</v>
      </c>
      <c r="M615" s="4">
        <f>L615/MAX(L$2:L615)-1</f>
        <v>-7.3324369707201686E-3</v>
      </c>
      <c r="N615" s="4">
        <f t="shared" si="19"/>
        <v>2.5913236524770733E-2</v>
      </c>
    </row>
    <row r="616" spans="1:14">
      <c r="A616" s="3">
        <f>prices!A617</f>
        <v>44378</v>
      </c>
      <c r="B616" s="5">
        <f>prices!B617/prices!B616-1</f>
        <v>-6.0149589413672766E-3</v>
      </c>
      <c r="C616" s="5">
        <f>prices!C617/prices!C616-1</f>
        <v>-1.2689130104960311E-3</v>
      </c>
      <c r="D616" s="5">
        <f>prices!D617/prices!D616-1</f>
        <v>-7.4478861985818323E-3</v>
      </c>
      <c r="E616" s="5">
        <f>prices!E617/prices!E616-1</f>
        <v>-1.2899195979169553E-2</v>
      </c>
      <c r="F616" s="5">
        <f>prices!F617/prices!F616-1</f>
        <v>1.5037593984963404E-3</v>
      </c>
      <c r="G616" s="5">
        <f>prices!G617/prices!G616-1</f>
        <v>9.1139808466187411E-3</v>
      </c>
      <c r="H616" s="5">
        <f>prices!H617/prices!H616-1</f>
        <v>1.2881895166950041E-2</v>
      </c>
      <c r="I616" s="5">
        <f>prices!I617/prices!I616-1</f>
        <v>-5.4958302603960174E-3</v>
      </c>
      <c r="J616" s="5">
        <f>prices!J617/prices!J616-1</f>
        <v>-2.639697229908089E-3</v>
      </c>
      <c r="K616" s="8">
        <f>SUMPRODUCT(B616:I616,weights!$B$5:$I$5)</f>
        <v>2.3351859877342846E-4</v>
      </c>
      <c r="L616" s="4">
        <f t="shared" si="18"/>
        <v>149.59772047123559</v>
      </c>
      <c r="M616" s="4">
        <f>L616/MAX(L$2:L616)-1</f>
        <v>-7.1006306323537771E-3</v>
      </c>
      <c r="N616" s="4">
        <f t="shared" si="19"/>
        <v>1.811153124099496E-2</v>
      </c>
    </row>
    <row r="617" spans="1:14">
      <c r="A617" s="3">
        <f>prices!A618</f>
        <v>44379</v>
      </c>
      <c r="B617" s="5">
        <f>prices!B618/prices!B617-1</f>
        <v>1.4817933066722633E-2</v>
      </c>
      <c r="C617" s="5">
        <f>prices!C618/prices!C617-1</f>
        <v>-4.805899656129653E-3</v>
      </c>
      <c r="D617" s="5">
        <f>prices!D618/prices!D617-1</f>
        <v>-4.2693883418386536E-3</v>
      </c>
      <c r="E617" s="5">
        <f>prices!E618/prices!E617-1</f>
        <v>4.7385344389914152E-3</v>
      </c>
      <c r="F617" s="5">
        <f>prices!F618/prices!F617-1</f>
        <v>-2.940440440440395E-3</v>
      </c>
      <c r="G617" s="5">
        <f>prices!G618/prices!G617-1</f>
        <v>-1.3908766274367546E-3</v>
      </c>
      <c r="H617" s="5">
        <f>prices!H618/prices!H617-1</f>
        <v>-4.2342217500422885E-3</v>
      </c>
      <c r="I617" s="5">
        <f>prices!I618/prices!I617-1</f>
        <v>-4.4566139716630815E-3</v>
      </c>
      <c r="J617" s="5">
        <f>prices!J618/prices!J617-1</f>
        <v>2.6913265306123257E-3</v>
      </c>
      <c r="K617" s="8">
        <f>SUMPRODUCT(B617:I617,weights!$B$5:$I$5)</f>
        <v>-4.8431857822044133E-4</v>
      </c>
      <c r="L617" s="4">
        <f t="shared" si="18"/>
        <v>149.52526751595195</v>
      </c>
      <c r="M617" s="4">
        <f>L617/MAX(L$2:L617)-1</f>
        <v>-7.5815102432418291E-3</v>
      </c>
      <c r="N617" s="4">
        <f t="shared" si="19"/>
        <v>1.6683392614123882E-2</v>
      </c>
    </row>
    <row r="618" spans="1:14">
      <c r="A618" s="3">
        <f>prices!A619</f>
        <v>44382</v>
      </c>
      <c r="B618" s="5">
        <f>prices!B619/prices!B618-1</f>
        <v>9.9348736881403887E-3</v>
      </c>
      <c r="C618" s="5">
        <f>prices!C619/prices!C618-1</f>
        <v>-1.3356368732914126E-3</v>
      </c>
      <c r="D618" s="5">
        <f>prices!D619/prices!D618-1</f>
        <v>1.016342322573216E-2</v>
      </c>
      <c r="E618" s="5">
        <f>prices!E619/prices!E618-1</f>
        <v>7.1108962951571542E-3</v>
      </c>
      <c r="F618" s="5">
        <f>prices!F619/prices!F618-1</f>
        <v>6.1492125243143292E-3</v>
      </c>
      <c r="G618" s="5">
        <f>prices!G619/prices!G618-1</f>
        <v>3.3797651000642137E-3</v>
      </c>
      <c r="H618" s="5">
        <f>prices!H619/prices!H618-1</f>
        <v>-1.5462642256308667E-3</v>
      </c>
      <c r="I618" s="5">
        <f>prices!I619/prices!I618-1</f>
        <v>1.5012606005042173E-2</v>
      </c>
      <c r="J618" s="5">
        <f>prices!J619/prices!J618-1</f>
        <v>7.1332256300009611E-3</v>
      </c>
      <c r="K618" s="8">
        <f>SUMPRODUCT(B618:I618,weights!$B$5:$I$5)</f>
        <v>6.4009832378371968E-3</v>
      </c>
      <c r="L618" s="4">
        <f t="shared" si="18"/>
        <v>150.48237624695466</v>
      </c>
      <c r="M618" s="4">
        <f>L618/MAX(L$2:L618)-1</f>
        <v>-1.2290561253892607E-3</v>
      </c>
      <c r="N618" s="4">
        <f t="shared" si="19"/>
        <v>1.3995694496784727E-2</v>
      </c>
    </row>
    <row r="619" spans="1:14">
      <c r="A619" s="3">
        <f>prices!A620</f>
        <v>44383</v>
      </c>
      <c r="B619" s="5">
        <f>prices!B620/prices!B619-1</f>
        <v>-1.1808678865545374E-2</v>
      </c>
      <c r="C619" s="5">
        <f>prices!C620/prices!C619-1</f>
        <v>-1.7678302827347281E-2</v>
      </c>
      <c r="D619" s="5">
        <f>prices!D620/prices!D619-1</f>
        <v>2.6239067055393583E-2</v>
      </c>
      <c r="E619" s="5">
        <f>prices!E620/prices!E619-1</f>
        <v>-1.0609211617050307E-2</v>
      </c>
      <c r="F619" s="5">
        <f>prices!F620/prices!F619-1</f>
        <v>-5.6127221702526597E-3</v>
      </c>
      <c r="G619" s="5">
        <f>prices!G620/prices!G619-1</f>
        <v>-1.1118846014105954E-2</v>
      </c>
      <c r="H619" s="5">
        <f>prices!H620/prices!H619-1</f>
        <v>-1.0221148485411669E-2</v>
      </c>
      <c r="I619" s="5">
        <f>prices!I620/prices!I619-1</f>
        <v>-1.6300666139775766E-3</v>
      </c>
      <c r="J619" s="5">
        <f>prices!J620/prices!J619-1</f>
        <v>-1.0167768174885738E-3</v>
      </c>
      <c r="K619" s="8">
        <f>SUMPRODUCT(B619:I619,weights!$B$5:$I$5)</f>
        <v>-6.4966989639397062E-3</v>
      </c>
      <c r="L619" s="4">
        <f t="shared" si="18"/>
        <v>149.5047375490999</v>
      </c>
      <c r="M619" s="4">
        <f>L619/MAX(L$2:L619)-1</f>
        <v>-7.7177702816724203E-3</v>
      </c>
      <c r="N619" s="4">
        <f t="shared" si="19"/>
        <v>4.9037926829302858E-3</v>
      </c>
    </row>
    <row r="620" spans="1:14">
      <c r="A620" s="3">
        <f>prices!A621</f>
        <v>44384</v>
      </c>
      <c r="B620" s="5">
        <f>prices!B621/prices!B620-1</f>
        <v>-6.9412693794422831E-3</v>
      </c>
      <c r="C620" s="5">
        <f>prices!C621/prices!C620-1</f>
        <v>3.8793682676869778E-3</v>
      </c>
      <c r="D620" s="5">
        <f>prices!D621/prices!D620-1</f>
        <v>3.1333556149732988E-3</v>
      </c>
      <c r="E620" s="5">
        <f>prices!E621/prices!E620-1</f>
        <v>1.536053151848682E-3</v>
      </c>
      <c r="F620" s="5">
        <f>prices!F621/prices!F620-1</f>
        <v>6.1461273126373062E-3</v>
      </c>
      <c r="G620" s="5">
        <f>prices!G621/prices!G620-1</f>
        <v>-8.7238816435282196E-3</v>
      </c>
      <c r="H620" s="5">
        <f>prices!H621/prices!H620-1</f>
        <v>1.0185880585805496E-2</v>
      </c>
      <c r="I620" s="5">
        <f>prices!I621/prices!I620-1</f>
        <v>7.2730614004707927E-3</v>
      </c>
      <c r="J620" s="5">
        <f>prices!J621/prices!J620-1</f>
        <v>3.8815924644002298E-3</v>
      </c>
      <c r="K620" s="8">
        <f>SUMPRODUCT(B620:I620,weights!$B$5:$I$5)</f>
        <v>1.6074125643378359E-3</v>
      </c>
      <c r="L620" s="4">
        <f t="shared" si="18"/>
        <v>149.74505334266436</v>
      </c>
      <c r="M620" s="4">
        <f>L620/MAX(L$2:L620)-1</f>
        <v>-6.1227633582540131E-3</v>
      </c>
      <c r="N620" s="4">
        <f t="shared" si="19"/>
        <v>1.7116696958380251E-2</v>
      </c>
    </row>
    <row r="621" spans="1:14">
      <c r="A621" s="3">
        <f>prices!A622</f>
        <v>44385</v>
      </c>
      <c r="B621" s="5">
        <f>prices!B622/prices!B621-1</f>
        <v>-8.2663653105641277E-3</v>
      </c>
      <c r="C621" s="5">
        <f>prices!C622/prices!C621-1</f>
        <v>-5.0233377366799559E-3</v>
      </c>
      <c r="D621" s="5">
        <f>prices!D622/prices!D621-1</f>
        <v>-1.2369330723418503E-2</v>
      </c>
      <c r="E621" s="5">
        <f>prices!E622/prices!E621-1</f>
        <v>-2.458318656804126E-3</v>
      </c>
      <c r="F621" s="5">
        <f>prices!F622/prices!F621-1</f>
        <v>-8.6018824409399564E-3</v>
      </c>
      <c r="G621" s="5">
        <f>prices!G622/prices!G621-1</f>
        <v>-6.4692825787722175E-3</v>
      </c>
      <c r="H621" s="5">
        <f>prices!H622/prices!H621-1</f>
        <v>-1.9407400523519636E-2</v>
      </c>
      <c r="I621" s="5">
        <f>prices!I622/prices!I621-1</f>
        <v>-1.0385236123780728E-2</v>
      </c>
      <c r="J621" s="5">
        <f>prices!J622/prices!J621-1</f>
        <v>-9.5562559628203925E-3</v>
      </c>
      <c r="K621" s="8">
        <f>SUMPRODUCT(B621:I621,weights!$B$5:$I$5)</f>
        <v>-9.5709756853016199E-3</v>
      </c>
      <c r="L621" s="4">
        <f t="shared" si="18"/>
        <v>148.31184707812753</v>
      </c>
      <c r="M621" s="4">
        <f>L621/MAX(L$2:L621)-1</f>
        <v>-1.5635138224326939E-2</v>
      </c>
      <c r="N621" s="4">
        <f t="shared" si="19"/>
        <v>5.0300782961150148E-3</v>
      </c>
    </row>
    <row r="622" spans="1:14">
      <c r="A622" s="3">
        <f>prices!A623</f>
        <v>44386</v>
      </c>
      <c r="B622" s="5">
        <f>prices!B623/prices!B622-1</f>
        <v>-1.0234442592162662E-2</v>
      </c>
      <c r="C622" s="5">
        <f>prices!C623/prices!C622-1</f>
        <v>-1.5450576918310865E-2</v>
      </c>
      <c r="D622" s="5">
        <f>prices!D623/prices!D622-1</f>
        <v>-1.2144724635236526E-2</v>
      </c>
      <c r="E622" s="5">
        <f>prices!E623/prices!E622-1</f>
        <v>1.3756372437232489E-3</v>
      </c>
      <c r="F622" s="5">
        <f>prices!F623/prices!F622-1</f>
        <v>-3.206538824269245E-3</v>
      </c>
      <c r="G622" s="5">
        <f>prices!G623/prices!G622-1</f>
        <v>3.3090988828230472E-3</v>
      </c>
      <c r="H622" s="5">
        <f>prices!H623/prices!H622-1</f>
        <v>1.5005528352549646E-3</v>
      </c>
      <c r="I622" s="5">
        <f>prices!I623/prices!I622-1</f>
        <v>-7.3034106218528017E-4</v>
      </c>
      <c r="J622" s="5">
        <f>prices!J623/prices!J622-1</f>
        <v>-2.4224467347834233E-3</v>
      </c>
      <c r="K622" s="8">
        <f>SUMPRODUCT(B622:I622,weights!$B$5:$I$5)</f>
        <v>-2.9878273462844405E-3</v>
      </c>
      <c r="L622" s="4">
        <f t="shared" si="18"/>
        <v>147.86871688564955</v>
      </c>
      <c r="M622" s="4">
        <f>L622/MAX(L$2:L622)-1</f>
        <v>-1.8576250477061684E-2</v>
      </c>
      <c r="N622" s="4">
        <f t="shared" si="19"/>
        <v>-2.489598903028245E-3</v>
      </c>
    </row>
    <row r="623" spans="1:14">
      <c r="A623" s="3">
        <f>prices!A624</f>
        <v>44389</v>
      </c>
      <c r="B623" s="5">
        <f>prices!B624/prices!B623-1</f>
        <v>6.2361419068734936E-3</v>
      </c>
      <c r="C623" s="5">
        <f>prices!C624/prices!C623-1</f>
        <v>-4.6928097524137069E-3</v>
      </c>
      <c r="D623" s="5">
        <f>prices!D624/prices!D623-1</f>
        <v>-9.9746720168473191E-3</v>
      </c>
      <c r="E623" s="5">
        <f>prices!E624/prices!E623-1</f>
        <v>-9.6309247450853119E-3</v>
      </c>
      <c r="F623" s="5">
        <f>prices!F624/prices!F623-1</f>
        <v>-1.2615112905259851E-3</v>
      </c>
      <c r="G623" s="5">
        <f>prices!G624/prices!G623-1</f>
        <v>5.9804436370860525E-3</v>
      </c>
      <c r="H623" s="5">
        <f>prices!H624/prices!H623-1</f>
        <v>9.6206923744190931E-4</v>
      </c>
      <c r="I623" s="5">
        <f>prices!I624/prices!I623-1</f>
        <v>7.6635421175486051E-4</v>
      </c>
      <c r="J623" s="5">
        <f>prices!J624/prices!J623-1</f>
        <v>1.7845989113962624E-4</v>
      </c>
      <c r="K623" s="8">
        <f>SUMPRODUCT(B623:I623,weights!$B$5:$I$5)</f>
        <v>1.769410268795368E-4</v>
      </c>
      <c r="L623" s="4">
        <f t="shared" si="18"/>
        <v>147.89488092825866</v>
      </c>
      <c r="M623" s="4">
        <f>L623/MAX(L$2:L623)-1</f>
        <v>-1.8402596351017153E-2</v>
      </c>
      <c r="N623" s="4">
        <f t="shared" si="19"/>
        <v>-3.934311956657055E-3</v>
      </c>
    </row>
    <row r="624" spans="1:14">
      <c r="A624" s="3">
        <f>prices!A625</f>
        <v>44390</v>
      </c>
      <c r="B624" s="5">
        <f>prices!B625/prices!B624-1</f>
        <v>7.4793681734874884E-3</v>
      </c>
      <c r="C624" s="5">
        <f>prices!C625/prices!C624-1</f>
        <v>-1.7378423296482426E-3</v>
      </c>
      <c r="D624" s="5">
        <f>prices!D625/prices!D624-1</f>
        <v>9.9745605588055231E-3</v>
      </c>
      <c r="E624" s="5">
        <f>prices!E625/prices!E624-1</f>
        <v>-1.8692559322915914E-3</v>
      </c>
      <c r="F624" s="5">
        <f>prices!F625/prices!F624-1</f>
        <v>3.7261588985726402E-3</v>
      </c>
      <c r="G624" s="5">
        <f>prices!G625/prices!G624-1</f>
        <v>-5.3213400973979308E-3</v>
      </c>
      <c r="H624" s="5">
        <f>prices!H625/prices!H624-1</f>
        <v>2.1617874137333404E-2</v>
      </c>
      <c r="I624" s="5">
        <f>prices!I625/prices!I624-1</f>
        <v>8.5652497606978351E-3</v>
      </c>
      <c r="J624" s="5">
        <f>prices!J625/prices!J624-1</f>
        <v>7.6309853051756971E-3</v>
      </c>
      <c r="K624" s="8">
        <f>SUMPRODUCT(B624:I624,weights!$B$5:$I$5)</f>
        <v>5.6077563927172634E-3</v>
      </c>
      <c r="L624" s="4">
        <f t="shared" si="18"/>
        <v>148.72423939223427</v>
      </c>
      <c r="M624" s="4">
        <f>L624/MAX(L$2:L624)-1</f>
        <v>-1.2898037235629767E-2</v>
      </c>
      <c r="N624" s="4">
        <f t="shared" si="19"/>
        <v>2.4134989497546222E-3</v>
      </c>
    </row>
    <row r="625" spans="1:14">
      <c r="A625" s="3">
        <f>prices!A626</f>
        <v>44391</v>
      </c>
      <c r="B625" s="5">
        <f>prices!B626/prices!B625-1</f>
        <v>-6.5195217615328094E-3</v>
      </c>
      <c r="C625" s="5">
        <f>prices!C626/prices!C625-1</f>
        <v>8.4690860263700873E-3</v>
      </c>
      <c r="D625" s="5">
        <f>prices!D626/prices!D625-1</f>
        <v>-1.7930583028560321E-3</v>
      </c>
      <c r="E625" s="5">
        <f>prices!E626/prices!E625-1</f>
        <v>2.068206984193055E-2</v>
      </c>
      <c r="F625" s="5">
        <f>prices!F626/prices!F625-1</f>
        <v>1.1199899326747698E-2</v>
      </c>
      <c r="G625" s="5">
        <f>prices!G626/prices!G625-1</f>
        <v>-1.3943256858874098E-2</v>
      </c>
      <c r="H625" s="5">
        <f>prices!H626/prices!H625-1</f>
        <v>4.3184552268731302E-3</v>
      </c>
      <c r="I625" s="5">
        <f>prices!I626/prices!I625-1</f>
        <v>2.054231139669449E-2</v>
      </c>
      <c r="J625" s="5">
        <f>prices!J626/prices!J625-1</f>
        <v>2.6308549962530403E-3</v>
      </c>
      <c r="K625" s="8">
        <f>SUMPRODUCT(B625:I625,weights!$B$5:$I$5)</f>
        <v>4.4575584231501394E-3</v>
      </c>
      <c r="L625" s="4">
        <f t="shared" si="18"/>
        <v>149.38718637826372</v>
      </c>
      <c r="M625" s="4">
        <f>L625/MAX(L$2:L625)-1</f>
        <v>-8.4979725670014661E-3</v>
      </c>
      <c r="N625" s="4">
        <f t="shared" si="19"/>
        <v>1.3451825948473051E-2</v>
      </c>
    </row>
    <row r="626" spans="1:14">
      <c r="A626" s="3">
        <f>prices!A627</f>
        <v>44392</v>
      </c>
      <c r="B626" s="5">
        <f>prices!B627/prices!B626-1</f>
        <v>-1.7570042019919851E-3</v>
      </c>
      <c r="C626" s="5">
        <f>prices!C627/prices!C626-1</f>
        <v>-1.431960350130379E-3</v>
      </c>
      <c r="D626" s="5">
        <f>prices!D627/prices!D626-1</f>
        <v>1.4370233088601969E-2</v>
      </c>
      <c r="E626" s="5">
        <f>prices!E627/prices!E626-1</f>
        <v>2.4682548928238734E-3</v>
      </c>
      <c r="F626" s="5">
        <f>prices!F627/prices!F626-1</f>
        <v>1.0515835977848331E-2</v>
      </c>
      <c r="G626" s="5">
        <f>prices!G627/prices!G626-1</f>
        <v>-2.6954681901670829E-3</v>
      </c>
      <c r="H626" s="5">
        <f>prices!H627/prices!H626-1</f>
        <v>-4.2998863601461101E-3</v>
      </c>
      <c r="I626" s="5">
        <f>prices!I627/prices!I626-1</f>
        <v>4.1855819240175007E-2</v>
      </c>
      <c r="J626" s="5">
        <f>prices!J627/prices!J626-1</f>
        <v>4.4310723825924381E-3</v>
      </c>
      <c r="K626" s="8">
        <f>SUMPRODUCT(B626:I626,weights!$B$5:$I$5)</f>
        <v>8.8803432691127396E-3</v>
      </c>
      <c r="L626" s="4">
        <f t="shared" si="18"/>
        <v>150.71379587330961</v>
      </c>
      <c r="M626" s="4">
        <f>L626/MAX(L$2:L626)-1</f>
        <v>0</v>
      </c>
      <c r="N626" s="4">
        <f t="shared" si="19"/>
        <v>2.7342540573552343E-2</v>
      </c>
    </row>
    <row r="627" spans="1:14">
      <c r="A627" s="3">
        <f>prices!A628</f>
        <v>44393</v>
      </c>
      <c r="B627" s="5">
        <f>prices!B628/prices!B627-1</f>
        <v>1.4430672335733252E-2</v>
      </c>
      <c r="C627" s="5">
        <f>prices!C628/prices!C627-1</f>
        <v>-2.5445658424381179E-3</v>
      </c>
      <c r="D627" s="5">
        <f>prices!D628/prices!D627-1</f>
        <v>1.0962292524558936E-3</v>
      </c>
      <c r="E627" s="5">
        <f>prices!E628/prices!E627-1</f>
        <v>-1.6036838244372853E-2</v>
      </c>
      <c r="F627" s="5">
        <f>prices!F628/prices!F627-1</f>
        <v>8.0049261083743328E-3</v>
      </c>
      <c r="G627" s="5">
        <f>prices!G628/prices!G627-1</f>
        <v>-4.7161171500809118E-4</v>
      </c>
      <c r="H627" s="5">
        <f>prices!H628/prices!H627-1</f>
        <v>8.2050649310589918E-3</v>
      </c>
      <c r="I627" s="5">
        <f>prices!I628/prices!I627-1</f>
        <v>5.8383639357051376E-3</v>
      </c>
      <c r="J627" s="5">
        <f>prices!J628/prices!J627-1</f>
        <v>-5.023800253711741E-5</v>
      </c>
      <c r="K627" s="8">
        <f>SUMPRODUCT(B627:I627,weights!$B$5:$I$5)</f>
        <v>3.3009969638743758E-3</v>
      </c>
      <c r="L627" s="4">
        <f t="shared" si="18"/>
        <v>151.21130165590139</v>
      </c>
      <c r="M627" s="4">
        <f>L627/MAX(L$2:L627)-1</f>
        <v>0</v>
      </c>
      <c r="N627" s="4">
        <f t="shared" si="19"/>
        <v>3.1036965012966045E-2</v>
      </c>
    </row>
    <row r="628" spans="1:14">
      <c r="A628" s="3">
        <f>prices!A629</f>
        <v>44396</v>
      </c>
      <c r="B628" s="5">
        <f>prices!B629/prices!B628-1</f>
        <v>-6.3653657210945847E-3</v>
      </c>
      <c r="C628" s="5">
        <f>prices!C629/prices!C628-1</f>
        <v>-3.1924246573368231E-3</v>
      </c>
      <c r="D628" s="5">
        <f>prices!D629/prices!D628-1</f>
        <v>-3.3735311872639673E-2</v>
      </c>
      <c r="E628" s="5">
        <f>prices!E629/prices!E628-1</f>
        <v>-8.8355785200221471E-3</v>
      </c>
      <c r="F628" s="5">
        <f>prices!F629/prices!F628-1</f>
        <v>-7.3304825901021609E-4</v>
      </c>
      <c r="G628" s="5">
        <f>prices!G629/prices!G628-1</f>
        <v>-1.8895013274846995E-2</v>
      </c>
      <c r="H628" s="5">
        <f>prices!H629/prices!H628-1</f>
        <v>9.3314976288794149E-4</v>
      </c>
      <c r="I628" s="5">
        <f>prices!I629/prices!I628-1</f>
        <v>-5.6532828482027675E-3</v>
      </c>
      <c r="J628" s="5">
        <f>prices!J629/prices!J628-1</f>
        <v>-1.0738912543803436E-2</v>
      </c>
      <c r="K628" s="8">
        <f>SUMPRODUCT(B628:I628,weights!$B$5:$I$5)</f>
        <v>-9.0546236928339772E-3</v>
      </c>
      <c r="L628" s="4">
        <f t="shared" si="18"/>
        <v>149.84214022130362</v>
      </c>
      <c r="M628" s="4">
        <f>L628/MAX(L$2:L628)-1</f>
        <v>-9.0546236928338297E-3</v>
      </c>
      <c r="N628" s="4">
        <f t="shared" si="19"/>
        <v>2.3704855570167549E-2</v>
      </c>
    </row>
    <row r="629" spans="1:14">
      <c r="A629" s="3">
        <f>prices!A630</f>
        <v>44397</v>
      </c>
      <c r="B629" s="5">
        <f>prices!B630/prices!B629-1</f>
        <v>-2.4509546100035529E-3</v>
      </c>
      <c r="C629" s="5">
        <f>prices!C630/prices!C629-1</f>
        <v>6.6547139665853461E-3</v>
      </c>
      <c r="D629" s="5">
        <f>prices!D630/prices!D629-1</f>
        <v>-1.8931248910327159E-2</v>
      </c>
      <c r="E629" s="5">
        <f>prices!E630/prices!E629-1</f>
        <v>5.4141408123444812E-3</v>
      </c>
      <c r="F629" s="5">
        <f>prices!F630/prices!F629-1</f>
        <v>-4.5849125810001334E-3</v>
      </c>
      <c r="G629" s="5">
        <f>prices!G630/prices!G629-1</f>
        <v>9.3713462118258928E-3</v>
      </c>
      <c r="H629" s="5">
        <f>prices!H630/prices!H629-1</f>
        <v>-1.8569179746603215E-2</v>
      </c>
      <c r="I629" s="5">
        <f>prices!I630/prices!I629-1</f>
        <v>-1.1959223609054437E-2</v>
      </c>
      <c r="J629" s="5">
        <f>prices!J630/prices!J629-1</f>
        <v>-7.6369315151976203E-3</v>
      </c>
      <c r="K629" s="8">
        <f>SUMPRODUCT(B629:I629,weights!$B$5:$I$5)</f>
        <v>-4.3948564193869184E-3</v>
      </c>
      <c r="L629" s="4">
        <f t="shared" si="18"/>
        <v>149.18360552945734</v>
      </c>
      <c r="M629" s="4">
        <f>L629/MAX(L$2:L629)-1</f>
        <v>-1.3409686341159244E-2</v>
      </c>
      <c r="N629" s="4">
        <f t="shared" si="19"/>
        <v>4.7746489305049433E-3</v>
      </c>
    </row>
    <row r="630" spans="1:14">
      <c r="A630" s="3">
        <f>prices!A631</f>
        <v>44399</v>
      </c>
      <c r="B630" s="5">
        <f>prices!B631/prices!B630-1</f>
        <v>1.2843765817445618E-2</v>
      </c>
      <c r="C630" s="5">
        <f>prices!C631/prices!C630-1</f>
        <v>3.29279284131756E-3</v>
      </c>
      <c r="D630" s="5">
        <f>prices!D631/prices!D630-1</f>
        <v>3.8356164383561708E-3</v>
      </c>
      <c r="E630" s="5">
        <f>prices!E631/prices!E630-1</f>
        <v>2.5902744342802153E-2</v>
      </c>
      <c r="F630" s="5">
        <f>prices!F631/prices!F630-1</f>
        <v>9.8261991033599116E-4</v>
      </c>
      <c r="G630" s="5">
        <f>prices!G631/prices!G630-1</f>
        <v>9.2420849257703885E-3</v>
      </c>
      <c r="H630" s="5">
        <f>prices!H631/prices!H630-1</f>
        <v>1.60396162950045E-2</v>
      </c>
      <c r="I630" s="5">
        <f>prices!I631/prices!I630-1</f>
        <v>3.2571677093439444E-2</v>
      </c>
      <c r="J630" s="5">
        <f>prices!J631/prices!J630-1</f>
        <v>1.2279220322285456E-2</v>
      </c>
      <c r="K630" s="8">
        <f>SUMPRODUCT(B630:I630,weights!$B$5:$I$5)</f>
        <v>1.5118904956631861E-2</v>
      </c>
      <c r="L630" s="4">
        <f t="shared" si="18"/>
        <v>151.43909828254485</v>
      </c>
      <c r="M630" s="4">
        <f>L630/MAX(L$2:L630)-1</f>
        <v>0</v>
      </c>
      <c r="N630" s="4">
        <f t="shared" si="19"/>
        <v>2.1588396778242203E-2</v>
      </c>
    </row>
    <row r="631" spans="1:14">
      <c r="A631" s="3">
        <f>prices!A632</f>
        <v>44400</v>
      </c>
      <c r="B631" s="5">
        <f>prices!B632/prices!B631-1</f>
        <v>-7.0692347735553662E-3</v>
      </c>
      <c r="C631" s="5">
        <f>prices!C632/prices!C631-1</f>
        <v>-1.0880302357876293E-3</v>
      </c>
      <c r="D631" s="5">
        <f>prices!D632/prices!D631-1</f>
        <v>-4.1012628348874314E-3</v>
      </c>
      <c r="E631" s="5">
        <f>prices!E632/prices!E631-1</f>
        <v>1.5884247158881593E-4</v>
      </c>
      <c r="F631" s="5">
        <f>prices!F632/prices!F631-1</f>
        <v>2.607521933860979E-2</v>
      </c>
      <c r="G631" s="5">
        <f>prices!G632/prices!G631-1</f>
        <v>-7.8104697831560266E-4</v>
      </c>
      <c r="H631" s="5">
        <f>prices!H632/prices!H631-1</f>
        <v>9.747723998406066E-3</v>
      </c>
      <c r="I631" s="5">
        <f>prices!I632/prices!I631-1</f>
        <v>-1.8513118588933564E-2</v>
      </c>
      <c r="J631" s="5">
        <f>prices!J632/prices!J631-1</f>
        <v>2.022238301825352E-3</v>
      </c>
      <c r="K631" s="8">
        <f>SUMPRODUCT(B631:I631,weights!$B$5:$I$5)</f>
        <v>-1.4350412616318934E-3</v>
      </c>
      <c r="L631" s="4">
        <f t="shared" si="18"/>
        <v>151.22177692788509</v>
      </c>
      <c r="M631" s="4">
        <f>L631/MAX(L$2:L631)-1</f>
        <v>-1.4350412616317421E-3</v>
      </c>
      <c r="N631" s="4">
        <f t="shared" si="19"/>
        <v>1.0404122910509406E-2</v>
      </c>
    </row>
    <row r="632" spans="1:14">
      <c r="A632" s="3">
        <f>prices!A633</f>
        <v>44403</v>
      </c>
      <c r="B632" s="5">
        <f>prices!B633/prices!B632-1</f>
        <v>-1.3704375543928449E-2</v>
      </c>
      <c r="C632" s="5">
        <f>prices!C633/prices!C632-1</f>
        <v>-4.7617341454675444E-3</v>
      </c>
      <c r="D632" s="5">
        <f>prices!D633/prices!D632-1</f>
        <v>-5.6883832548216828E-3</v>
      </c>
      <c r="E632" s="5">
        <f>prices!E633/prices!E632-1</f>
        <v>8.453408795587869E-3</v>
      </c>
      <c r="F632" s="5">
        <f>prices!F633/prices!F632-1</f>
        <v>-5.8598421430280379E-3</v>
      </c>
      <c r="G632" s="5">
        <f>prices!G633/prices!G632-1</f>
        <v>-7.958169043184804E-3</v>
      </c>
      <c r="H632" s="5">
        <f>prices!H633/prices!H632-1</f>
        <v>1.3554536899304637E-2</v>
      </c>
      <c r="I632" s="5">
        <f>prices!I633/prices!I632-1</f>
        <v>-8.7742463655211544E-3</v>
      </c>
      <c r="J632" s="5">
        <f>prices!J633/prices!J632-1</f>
        <v>-1.9929301433836422E-3</v>
      </c>
      <c r="K632" s="8">
        <f>SUMPRODUCT(B632:I632,weights!$B$5:$I$5)</f>
        <v>-3.5896995642507364E-3</v>
      </c>
      <c r="L632" s="4">
        <f t="shared" si="18"/>
        <v>150.67893618114184</v>
      </c>
      <c r="M632" s="4">
        <f>L632/MAX(L$2:L632)-1</f>
        <v>-5.0195894588909162E-3</v>
      </c>
      <c r="N632" s="4">
        <f t="shared" si="19"/>
        <v>7.5537514691692564E-5</v>
      </c>
    </row>
    <row r="633" spans="1:14">
      <c r="A633" s="3">
        <f>prices!A634</f>
        <v>44404</v>
      </c>
      <c r="B633" s="5">
        <f>prices!B634/prices!B633-1</f>
        <v>-1.0514118047286969E-2</v>
      </c>
      <c r="C633" s="5">
        <f>prices!C634/prices!C633-1</f>
        <v>-4.5685114716799147E-3</v>
      </c>
      <c r="D633" s="5">
        <f>prices!D634/prices!D633-1</f>
        <v>3.6351717767646452E-3</v>
      </c>
      <c r="E633" s="5">
        <f>prices!E634/prices!E633-1</f>
        <v>-8.3753892408466868E-4</v>
      </c>
      <c r="F633" s="5">
        <f>prices!F634/prices!F633-1</f>
        <v>-1.1848911343678603E-2</v>
      </c>
      <c r="G633" s="5">
        <f>prices!G634/prices!G633-1</f>
        <v>6.1461293221354296E-4</v>
      </c>
      <c r="H633" s="5">
        <f>prices!H634/prices!H633-1</f>
        <v>-2.1475102957693837E-2</v>
      </c>
      <c r="I633" s="5">
        <f>prices!I634/prices!I633-1</f>
        <v>6.6605833338884146E-3</v>
      </c>
      <c r="J633" s="5">
        <f>prices!J634/prices!J633-1</f>
        <v>-4.929081263487789E-3</v>
      </c>
      <c r="K633" s="8">
        <f>SUMPRODUCT(B633:I633,weights!$B$5:$I$5)</f>
        <v>-4.3383556175504634E-3</v>
      </c>
      <c r="L633" s="4">
        <f t="shared" si="18"/>
        <v>150.02523737191385</v>
      </c>
      <c r="M633" s="4">
        <f>L633/MAX(L$2:L633)-1</f>
        <v>-9.3361683123146522E-3</v>
      </c>
      <c r="N633" s="4">
        <f t="shared" si="19"/>
        <v>7.0024827242676224E-4</v>
      </c>
    </row>
    <row r="634" spans="1:14">
      <c r="A634" s="3">
        <f>prices!A635</f>
        <v>44405</v>
      </c>
      <c r="B634" s="5">
        <f>prices!B635/prices!B634-1</f>
        <v>-8.5952189094815612E-3</v>
      </c>
      <c r="C634" s="5">
        <f>prices!C635/prices!C634-1</f>
        <v>4.6654273748472086E-3</v>
      </c>
      <c r="D634" s="5">
        <f>prices!D635/prices!D634-1</f>
        <v>-1.5601341923225376E-2</v>
      </c>
      <c r="E634" s="5">
        <f>prices!E635/prices!E634-1</f>
        <v>1.8985800054449609E-3</v>
      </c>
      <c r="F634" s="5">
        <f>prices!F635/prices!F634-1</f>
        <v>2.1303792074989225E-3</v>
      </c>
      <c r="G634" s="5">
        <f>prices!G635/prices!G634-1</f>
        <v>-1.0386691760075561E-2</v>
      </c>
      <c r="H634" s="5">
        <f>prices!H635/prices!H634-1</f>
        <v>-7.1930334705605503E-4</v>
      </c>
      <c r="I634" s="5">
        <f>prices!I635/prices!I634-1</f>
        <v>2.487809073886682E-3</v>
      </c>
      <c r="J634" s="5">
        <f>prices!J635/prices!J634-1</f>
        <v>-2.3529112911164773E-3</v>
      </c>
      <c r="K634" s="8">
        <f>SUMPRODUCT(B634:I634,weights!$B$5:$I$5)</f>
        <v>-3.1427882985233008E-3</v>
      </c>
      <c r="L634" s="4">
        <f t="shared" si="18"/>
        <v>149.55373981141821</v>
      </c>
      <c r="M634" s="4">
        <f>L634/MAX(L$2:L634)-1</f>
        <v>-1.2449615010313053E-2</v>
      </c>
      <c r="N634" s="4">
        <f t="shared" si="19"/>
        <v>8.7711906037668541E-4</v>
      </c>
    </row>
    <row r="635" spans="1:14">
      <c r="A635" s="3">
        <f>prices!A636</f>
        <v>44406</v>
      </c>
      <c r="B635" s="5">
        <f>prices!B636/prices!B635-1</f>
        <v>7.8027634787320999E-3</v>
      </c>
      <c r="C635" s="5">
        <f>prices!C636/prices!C635-1</f>
        <v>-6.2276811427253165E-4</v>
      </c>
      <c r="D635" s="5">
        <f>prices!D636/prices!D635-1</f>
        <v>6.785795068988687E-4</v>
      </c>
      <c r="E635" s="5">
        <f>prices!E636/prices!E635-1</f>
        <v>7.1008202055160563E-3</v>
      </c>
      <c r="F635" s="5">
        <f>prices!F636/prices!F635-1</f>
        <v>-1.4577259475218485E-2</v>
      </c>
      <c r="G635" s="5">
        <f>prices!G636/prices!G635-1</f>
        <v>-2.3941861782005303E-2</v>
      </c>
      <c r="H635" s="5">
        <f>prices!H636/prices!H635-1</f>
        <v>2.2100039819891393E-2</v>
      </c>
      <c r="I635" s="5">
        <f>prices!I636/prices!I635-1</f>
        <v>1.1286160263475065E-3</v>
      </c>
      <c r="J635" s="5">
        <f>prices!J636/prices!J635-1</f>
        <v>4.3954574967854931E-3</v>
      </c>
      <c r="K635" s="8">
        <f>SUMPRODUCT(B635:I635,weights!$B$5:$I$5)</f>
        <v>-7.2614249649691925E-4</v>
      </c>
      <c r="L635" s="4">
        <f t="shared" si="18"/>
        <v>149.44514248543109</v>
      </c>
      <c r="M635" s="4">
        <f>L635/MAX(L$2:L635)-1</f>
        <v>-1.3166717312285914E-2</v>
      </c>
      <c r="N635" s="4">
        <f t="shared" si="19"/>
        <v>-7.8664143522444441E-4</v>
      </c>
    </row>
    <row r="636" spans="1:14">
      <c r="A636" s="3">
        <f>prices!A637</f>
        <v>44407</v>
      </c>
      <c r="B636" s="5">
        <f>prices!B637/prices!B636-1</f>
        <v>-8.7424055056722905E-3</v>
      </c>
      <c r="C636" s="5">
        <f>prices!C637/prices!C636-1</f>
        <v>-8.8718711615559664E-3</v>
      </c>
      <c r="D636" s="5">
        <f>prices!D637/prices!D636-1</f>
        <v>5.771549125979325E-3</v>
      </c>
      <c r="E636" s="5">
        <f>prices!E637/prices!E636-1</f>
        <v>-4.0188588145075865E-3</v>
      </c>
      <c r="F636" s="5">
        <f>prices!F637/prices!F636-1</f>
        <v>-5.3007889546351494E-3</v>
      </c>
      <c r="G636" s="5">
        <f>prices!G637/prices!G636-1</f>
        <v>-2.2603331128252524E-3</v>
      </c>
      <c r="H636" s="5">
        <f>prices!H637/prices!H636-1</f>
        <v>0.10091853094984793</v>
      </c>
      <c r="I636" s="5">
        <f>prices!I637/prices!I636-1</f>
        <v>3.4149943303183328E-3</v>
      </c>
      <c r="J636" s="5">
        <f>prices!J637/prices!J636-1</f>
        <v>-9.7601475430109108E-4</v>
      </c>
      <c r="K636" s="8">
        <f>SUMPRODUCT(B636:I636,weights!$B$5:$I$5)</f>
        <v>1.3208558944151353E-2</v>
      </c>
      <c r="L636" s="4">
        <f t="shared" si="18"/>
        <v>151.41909745886699</v>
      </c>
      <c r="M636" s="4">
        <f>L636/MAX(L$2:L636)-1</f>
        <v>-1.3207172985507665E-4</v>
      </c>
      <c r="N636" s="4">
        <f t="shared" si="19"/>
        <v>1.2175165382828146E-2</v>
      </c>
    </row>
    <row r="637" spans="1:14">
      <c r="A637" s="3">
        <f>prices!A638</f>
        <v>44410</v>
      </c>
      <c r="B637" s="5">
        <f>prices!B638/prices!B637-1</f>
        <v>1.827905664880336E-2</v>
      </c>
      <c r="C637" s="5">
        <f>prices!C638/prices!C637-1</f>
        <v>1.6401604907761547E-2</v>
      </c>
      <c r="D637" s="5">
        <f>prices!D638/prices!D637-1</f>
        <v>-2.651963501790422E-3</v>
      </c>
      <c r="E637" s="5">
        <f>prices!E638/prices!E637-1</f>
        <v>1.3074784344478507E-2</v>
      </c>
      <c r="F637" s="5">
        <f>prices!F638/prices!F637-1</f>
        <v>1.1463626223819467E-2</v>
      </c>
      <c r="G637" s="5">
        <f>prices!G638/prices!G637-1</f>
        <v>1.42240292152922E-2</v>
      </c>
      <c r="H637" s="5">
        <f>prices!H638/prices!H637-1</f>
        <v>1.3610627177700341E-3</v>
      </c>
      <c r="I637" s="5">
        <f>prices!I638/prices!I637-1</f>
        <v>7.8054164859857611E-3</v>
      </c>
      <c r="J637" s="5">
        <f>prices!J638/prices!J637-1</f>
        <v>7.7459628688609783E-3</v>
      </c>
      <c r="K637" s="8">
        <f>SUMPRODUCT(B637:I637,weights!$B$5:$I$5)</f>
        <v>1.0143845237445097E-2</v>
      </c>
      <c r="L637" s="4">
        <f t="shared" si="18"/>
        <v>152.95506934948335</v>
      </c>
      <c r="M637" s="4">
        <f>L637/MAX(L$2:L637)-1</f>
        <v>0</v>
      </c>
      <c r="N637" s="4">
        <f t="shared" si="19"/>
        <v>2.2937941463074152E-2</v>
      </c>
    </row>
    <row r="638" spans="1:14">
      <c r="A638" s="3">
        <f>prices!A639</f>
        <v>44411</v>
      </c>
      <c r="B638" s="5">
        <f>prices!B639/prices!B638-1</f>
        <v>7.3614795402006106E-3</v>
      </c>
      <c r="C638" s="5">
        <f>prices!C639/prices!C638-1</f>
        <v>2.0345479835090829E-2</v>
      </c>
      <c r="D638" s="5">
        <f>prices!D639/prices!D638-1</f>
        <v>8.4577712345641487E-3</v>
      </c>
      <c r="E638" s="5">
        <f>prices!E639/prices!E638-1</f>
        <v>1.448938805381994E-2</v>
      </c>
      <c r="F638" s="5">
        <f>prices!F639/prices!F638-1</f>
        <v>1.2497702628193386E-2</v>
      </c>
      <c r="G638" s="5">
        <f>prices!G639/prices!G638-1</f>
        <v>1.7303588633239775E-2</v>
      </c>
      <c r="H638" s="5">
        <f>prices!H639/prices!H638-1</f>
        <v>2.5539607459359459E-2</v>
      </c>
      <c r="I638" s="5">
        <f>prices!I639/prices!I638-1</f>
        <v>1.2640980507203858E-2</v>
      </c>
      <c r="J638" s="5">
        <f>prices!J639/prices!J638-1</f>
        <v>1.5460980853186701E-2</v>
      </c>
      <c r="K638" s="8">
        <f>SUMPRODUCT(B638:I638,weights!$B$5:$I$5)</f>
        <v>1.5330790966748636E-2</v>
      </c>
      <c r="L638" s="4">
        <f t="shared" si="18"/>
        <v>155.29999154498481</v>
      </c>
      <c r="M638" s="4">
        <f>L638/MAX(L$2:L638)-1</f>
        <v>0</v>
      </c>
      <c r="N638" s="4">
        <f t="shared" si="19"/>
        <v>3.2014481816289297E-2</v>
      </c>
    </row>
    <row r="639" spans="1:14">
      <c r="A639" s="3">
        <f>prices!A640</f>
        <v>44412</v>
      </c>
      <c r="B639" s="5">
        <f>prices!B640/prices!B639-1</f>
        <v>7.667251845428158E-3</v>
      </c>
      <c r="C639" s="5">
        <f>prices!C640/prices!C639-1</f>
        <v>-3.3326441429918363E-3</v>
      </c>
      <c r="D639" s="5">
        <f>prices!D640/prices!D639-1</f>
        <v>2.1332062148996744E-2</v>
      </c>
      <c r="E639" s="5">
        <f>prices!E640/prices!E639-1</f>
        <v>-3.5931549704154575E-3</v>
      </c>
      <c r="F639" s="5">
        <f>prices!F640/prices!F639-1</f>
        <v>-6.1717190052641424E-3</v>
      </c>
      <c r="G639" s="5">
        <f>prices!G640/prices!G639-1</f>
        <v>-1.3403946676971756E-2</v>
      </c>
      <c r="H639" s="5">
        <f>prices!H640/prices!H639-1</f>
        <v>-1.1384872301228643E-2</v>
      </c>
      <c r="I639" s="5">
        <f>prices!I640/prices!I639-1</f>
        <v>-6.8242247101313325E-3</v>
      </c>
      <c r="J639" s="5">
        <f>prices!J640/prices!J639-1</f>
        <v>7.9382545758877043E-3</v>
      </c>
      <c r="K639" s="8">
        <f>SUMPRODUCT(B639:I639,weights!$B$5:$I$5)</f>
        <v>-4.2181297680380135E-3</v>
      </c>
      <c r="L639" s="4">
        <f t="shared" si="18"/>
        <v>154.64491602767285</v>
      </c>
      <c r="M639" s="4">
        <f>L639/MAX(L$2:L639)-1</f>
        <v>-4.218129768038037E-3</v>
      </c>
      <c r="N639" s="4">
        <f t="shared" si="19"/>
        <v>3.4381375218192289E-2</v>
      </c>
    </row>
    <row r="640" spans="1:14">
      <c r="A640" s="3">
        <f>prices!A641</f>
        <v>44413</v>
      </c>
      <c r="B640" s="5">
        <f>prices!B641/prices!B640-1</f>
        <v>1.4493666236369496E-2</v>
      </c>
      <c r="C640" s="5">
        <f>prices!C641/prices!C640-1</f>
        <v>3.0519535315463031E-3</v>
      </c>
      <c r="D640" s="5">
        <f>prices!D641/prices!D640-1</f>
        <v>1.3345779670658198E-2</v>
      </c>
      <c r="E640" s="5">
        <f>prices!E641/prices!E640-1</f>
        <v>2.6106025270633548E-3</v>
      </c>
      <c r="F640" s="5">
        <f>prices!F641/prices!F640-1</f>
        <v>3.1902587519025971E-2</v>
      </c>
      <c r="G640" s="5">
        <f>prices!G641/prices!G640-1</f>
        <v>-4.3011869436201389E-3</v>
      </c>
      <c r="H640" s="5">
        <f>prices!H641/prices!H640-1</f>
        <v>5.0943800943792361E-4</v>
      </c>
      <c r="I640" s="5">
        <f>prices!I641/prices!I640-1</f>
        <v>2.5863913035022446E-3</v>
      </c>
      <c r="J640" s="5">
        <f>prices!J641/prices!J640-1</f>
        <v>2.201884517922581E-3</v>
      </c>
      <c r="K640" s="8">
        <f>SUMPRODUCT(B640:I640,weights!$B$5:$I$5)</f>
        <v>5.7441078182300575E-3</v>
      </c>
      <c r="L640" s="4">
        <f t="shared" si="18"/>
        <v>155.53321309887693</v>
      </c>
      <c r="M640" s="4">
        <f>L640/MAX(L$2:L640)-1</f>
        <v>0</v>
      </c>
      <c r="N640" s="4">
        <f t="shared" si="19"/>
        <v>3.8653428791182831E-2</v>
      </c>
    </row>
    <row r="641" spans="1:14">
      <c r="A641" s="3">
        <f>prices!A642</f>
        <v>44414</v>
      </c>
      <c r="B641" s="5">
        <f>prices!B642/prices!B641-1</f>
        <v>-2.1176446246793046E-2</v>
      </c>
      <c r="C641" s="5">
        <f>prices!C642/prices!C641-1</f>
        <v>7.8730773005788457E-3</v>
      </c>
      <c r="D641" s="5">
        <f>prices!D642/prices!D641-1</f>
        <v>5.2536127583626691E-3</v>
      </c>
      <c r="E641" s="5">
        <f>prices!E642/prices!E641-1</f>
        <v>-2.0274961810859971E-3</v>
      </c>
      <c r="F641" s="5">
        <f>prices!F642/prices!F641-1</f>
        <v>-4.6610419493776645E-3</v>
      </c>
      <c r="G641" s="5">
        <f>prices!G642/prices!G641-1</f>
        <v>1.0423170282863436E-2</v>
      </c>
      <c r="H641" s="5">
        <f>prices!H642/prices!H641-1</f>
        <v>-1.2059493501273E-3</v>
      </c>
      <c r="I641" s="5">
        <f>prices!I642/prices!I641-1</f>
        <v>-1.0474047637520356E-2</v>
      </c>
      <c r="J641" s="5">
        <f>prices!J642/prices!J641-1</f>
        <v>-3.4612693775851744E-3</v>
      </c>
      <c r="K641" s="8">
        <f>SUMPRODUCT(B641:I641,weights!$B$5:$I$5)</f>
        <v>-2.3944849219058898E-3</v>
      </c>
      <c r="L641" s="4">
        <f t="shared" si="18"/>
        <v>155.16079116525609</v>
      </c>
      <c r="M641" s="4">
        <f>L641/MAX(L$2:L641)-1</f>
        <v>-2.3944849219059705E-3</v>
      </c>
      <c r="N641" s="4">
        <f t="shared" si="19"/>
        <v>4.6179345898919921E-2</v>
      </c>
    </row>
    <row r="642" spans="1:14">
      <c r="A642" s="3">
        <f>prices!A643</f>
        <v>44417</v>
      </c>
      <c r="B642" s="5">
        <f>prices!B643/prices!B642-1</f>
        <v>-5.6966507075895123E-3</v>
      </c>
      <c r="C642" s="5">
        <f>prices!C643/prices!C642-1</f>
        <v>3.8953540946433662E-3</v>
      </c>
      <c r="D642" s="5">
        <f>prices!D643/prices!D642-1</f>
        <v>7.5313927349265342E-3</v>
      </c>
      <c r="E642" s="5">
        <f>prices!E643/prices!E642-1</f>
        <v>7.9386062562618598E-3</v>
      </c>
      <c r="F642" s="5">
        <f>prices!F643/prices!F642-1</f>
        <v>-2.1339656194426793E-3</v>
      </c>
      <c r="G642" s="5">
        <f>prices!G643/prices!G642-1</f>
        <v>-2.6825110308864586E-3</v>
      </c>
      <c r="H642" s="5">
        <f>prices!H643/prices!H642-1</f>
        <v>4.5881405956533783E-3</v>
      </c>
      <c r="I642" s="5">
        <f>prices!I643/prices!I642-1</f>
        <v>-8.0105587789451871E-3</v>
      </c>
      <c r="J642" s="5">
        <f>prices!J643/prices!J642-1</f>
        <v>1.2347427670553746E-3</v>
      </c>
      <c r="K642" s="8">
        <f>SUMPRODUCT(B642:I642,weights!$B$5:$I$5)</f>
        <v>-7.3615042337457637E-4</v>
      </c>
      <c r="L642" s="4">
        <f t="shared" si="18"/>
        <v>155.04656948314863</v>
      </c>
      <c r="M642" s="4">
        <f>L642/MAX(L$2:L642)-1</f>
        <v>-3.1288726441915937E-3</v>
      </c>
      <c r="N642" s="4">
        <f t="shared" si="19"/>
        <v>4.854206318061105E-2</v>
      </c>
    </row>
    <row r="643" spans="1:14">
      <c r="A643" s="3">
        <f>prices!A644</f>
        <v>44418</v>
      </c>
      <c r="B643" s="5">
        <f>prices!B644/prices!B643-1</f>
        <v>5.2509619677290065E-3</v>
      </c>
      <c r="C643" s="5">
        <f>prices!C644/prices!C643-1</f>
        <v>3.3709577954699199E-3</v>
      </c>
      <c r="D643" s="5">
        <f>prices!D644/prices!D643-1</f>
        <v>2.5011724245740385E-3</v>
      </c>
      <c r="E643" s="5">
        <f>prices!E644/prices!E643-1</f>
        <v>8.3868874638466373E-3</v>
      </c>
      <c r="F643" s="5">
        <f>prices!F644/prices!F643-1</f>
        <v>-1.8474515860758101E-2</v>
      </c>
      <c r="G643" s="5">
        <f>prices!G644/prices!G643-1</f>
        <v>-1.1267572311345897E-2</v>
      </c>
      <c r="H643" s="5">
        <f>prices!H644/prices!H643-1</f>
        <v>5.7690766806441918E-3</v>
      </c>
      <c r="I643" s="5">
        <f>prices!I644/prices!I643-1</f>
        <v>-5.6381815547154046E-3</v>
      </c>
      <c r="J643" s="5">
        <f>prices!J644/prices!J643-1</f>
        <v>1.3439330801285898E-3</v>
      </c>
      <c r="K643" s="8">
        <f>SUMPRODUCT(B643:I643,weights!$B$5:$I$5)</f>
        <v>-2.1143005679607938E-3</v>
      </c>
      <c r="L643" s="4">
        <f t="shared" si="18"/>
        <v>154.71875443323003</v>
      </c>
      <c r="M643" s="4">
        <f>L643/MAX(L$2:L643)-1</f>
        <v>-5.2365578349437003E-3</v>
      </c>
      <c r="N643" s="4">
        <f t="shared" si="19"/>
        <v>4.6140025010612318E-2</v>
      </c>
    </row>
    <row r="644" spans="1:14">
      <c r="A644" s="3">
        <f>prices!A645</f>
        <v>44419</v>
      </c>
      <c r="B644" s="5">
        <f>prices!B645/prices!B644-1</f>
        <v>1.3999915408366093E-2</v>
      </c>
      <c r="C644" s="5">
        <f>prices!C645/prices!C644-1</f>
        <v>3.0903095488838961E-3</v>
      </c>
      <c r="D644" s="5">
        <f>prices!D645/prices!D644-1</f>
        <v>-8.4203960704817282E-3</v>
      </c>
      <c r="E644" s="5">
        <f>prices!E645/prices!E644-1</f>
        <v>1.7797979244815743E-4</v>
      </c>
      <c r="F644" s="5">
        <f>prices!F645/prices!F644-1</f>
        <v>-5.6890395206681266E-3</v>
      </c>
      <c r="G644" s="5">
        <f>prices!G645/prices!G644-1</f>
        <v>2.7921639943946364E-3</v>
      </c>
      <c r="H644" s="5">
        <f>prices!H645/prices!H644-1</f>
        <v>-1.739384443795311E-2</v>
      </c>
      <c r="I644" s="5">
        <f>prices!I645/prices!I644-1</f>
        <v>-3.239139938794211E-3</v>
      </c>
      <c r="J644" s="5">
        <f>prices!J645/prices!J644-1</f>
        <v>1.3206307086566227E-4</v>
      </c>
      <c r="K644" s="8">
        <f>SUMPRODUCT(B644:I644,weights!$B$5:$I$5)</f>
        <v>-1.7522288350273541E-3</v>
      </c>
      <c r="L644" s="4">
        <f t="shared" ref="L644:L707" si="20">L643*(1+K644)</f>
        <v>154.44765177039261</v>
      </c>
      <c r="M644" s="4">
        <f>L644/MAX(L$2:L644)-1</f>
        <v>-6.9796110223363517E-3</v>
      </c>
      <c r="N644" s="4">
        <f t="shared" si="19"/>
        <v>3.8483386444248868E-2</v>
      </c>
    </row>
    <row r="645" spans="1:14">
      <c r="A645" s="3">
        <f>prices!A646</f>
        <v>44420</v>
      </c>
      <c r="B645" s="5">
        <f>prices!B646/prices!B645-1</f>
        <v>-3.2118127971969557E-3</v>
      </c>
      <c r="C645" s="5">
        <f>prices!C646/prices!C645-1</f>
        <v>2.2580978279576058E-3</v>
      </c>
      <c r="D645" s="5">
        <f>prices!D646/prices!D645-1</f>
        <v>4.3031351413171937E-3</v>
      </c>
      <c r="E645" s="5">
        <f>prices!E646/prices!E645-1</f>
        <v>7.1795222777359946E-3</v>
      </c>
      <c r="F645" s="5">
        <f>prices!F646/prices!F645-1</f>
        <v>1.2173595471423049E-3</v>
      </c>
      <c r="G645" s="5">
        <f>prices!G646/prices!G645-1</f>
        <v>-1.354164802452984E-3</v>
      </c>
      <c r="H645" s="5">
        <f>prices!H646/prices!H645-1</f>
        <v>-1.1620993459813267E-3</v>
      </c>
      <c r="I645" s="5">
        <f>prices!I646/prices!I645-1</f>
        <v>2.535935724396432E-2</v>
      </c>
      <c r="J645" s="5">
        <f>prices!J646/prices!J645-1</f>
        <v>5.0453714934974858E-3</v>
      </c>
      <c r="K645" s="8">
        <f>SUMPRODUCT(B645:I645,weights!$B$5:$I$5)</f>
        <v>5.3767736467085119E-3</v>
      </c>
      <c r="L645" s="4">
        <f t="shared" si="20"/>
        <v>155.27808183422766</v>
      </c>
      <c r="M645" s="4">
        <f>L645/MAX(L$2:L645)-1</f>
        <v>-1.6403651642371564E-3</v>
      </c>
      <c r="N645" s="4">
        <f t="shared" si="19"/>
        <v>3.943373992631205E-2</v>
      </c>
    </row>
    <row r="646" spans="1:14">
      <c r="A646" s="3">
        <f>prices!A647</f>
        <v>44421</v>
      </c>
      <c r="B646" s="5">
        <f>prices!B647/prices!B646-1</f>
        <v>1.6654810227225036E-2</v>
      </c>
      <c r="C646" s="5">
        <f>prices!C647/prices!C646-1</f>
        <v>3.3310894816015679E-2</v>
      </c>
      <c r="D646" s="5">
        <f>prices!D647/prices!D646-1</f>
        <v>1.6526690391459153E-2</v>
      </c>
      <c r="E646" s="5">
        <f>prices!E647/prices!E646-1</f>
        <v>1.3380085485767079E-2</v>
      </c>
      <c r="F646" s="5">
        <f>prices!F647/prices!F646-1</f>
        <v>1.2158793847650395E-2</v>
      </c>
      <c r="G646" s="5">
        <f>prices!G647/prices!G646-1</f>
        <v>-1.3963226685144159E-3</v>
      </c>
      <c r="H646" s="5">
        <f>prices!H647/prices!H646-1</f>
        <v>-4.4644065045040815E-4</v>
      </c>
      <c r="I646" s="5">
        <f>prices!I647/prices!I646-1</f>
        <v>2.7687581419766349E-2</v>
      </c>
      <c r="J646" s="5">
        <f>prices!J647/prices!J646-1</f>
        <v>1.006453032191823E-2</v>
      </c>
      <c r="K646" s="8">
        <f>SUMPRODUCT(B646:I646,weights!$B$5:$I$5)</f>
        <v>1.3539137375663332E-2</v>
      </c>
      <c r="L646" s="4">
        <f t="shared" si="20"/>
        <v>157.38041311561076</v>
      </c>
      <c r="M646" s="4">
        <f>L646/MAX(L$2:L646)-1</f>
        <v>0</v>
      </c>
      <c r="N646" s="4">
        <f t="shared" si="19"/>
        <v>4.4233623097815977E-2</v>
      </c>
    </row>
    <row r="647" spans="1:14">
      <c r="A647" s="3">
        <f>prices!A648</f>
        <v>44424</v>
      </c>
      <c r="B647" s="5">
        <f>prices!B648/prices!B647-1</f>
        <v>1.2986211154558447E-2</v>
      </c>
      <c r="C647" s="5">
        <f>prices!C648/prices!C647-1</f>
        <v>2.7587123793062496E-3</v>
      </c>
      <c r="D647" s="5">
        <f>prices!D648/prices!D647-1</f>
        <v>2.8847096385709037E-3</v>
      </c>
      <c r="E647" s="5">
        <f>prices!E648/prices!E647-1</f>
        <v>-4.5531355613969149E-3</v>
      </c>
      <c r="F647" s="5">
        <f>prices!F648/prices!F647-1</f>
        <v>-2.5827377019641551E-3</v>
      </c>
      <c r="G647" s="5">
        <f>prices!G648/prices!G647-1</f>
        <v>-2.504333157365024E-2</v>
      </c>
      <c r="H647" s="5">
        <f>prices!H648/prices!H647-1</f>
        <v>3.2076876226567741E-3</v>
      </c>
      <c r="I647" s="5">
        <f>prices!I648/prices!I647-1</f>
        <v>-7.3723709519755154E-3</v>
      </c>
      <c r="J647" s="5">
        <f>prices!J648/prices!J647-1</f>
        <v>2.0539533307923907E-3</v>
      </c>
      <c r="K647" s="8">
        <f>SUMPRODUCT(B647:I647,weights!$B$5:$I$5)</f>
        <v>-4.3286518473560579E-3</v>
      </c>
      <c r="L647" s="4">
        <f t="shared" si="20"/>
        <v>156.69916809964022</v>
      </c>
      <c r="M647" s="4">
        <f>L647/MAX(L$2:L647)-1</f>
        <v>-4.3286518473560909E-3</v>
      </c>
      <c r="N647" s="4">
        <f t="shared" si="19"/>
        <v>3.6292700238948372E-2</v>
      </c>
    </row>
    <row r="648" spans="1:14">
      <c r="A648" s="3">
        <f>prices!A649</f>
        <v>44425</v>
      </c>
      <c r="B648" s="5">
        <f>prices!B649/prices!B648-1</f>
        <v>-4.2563133621827953E-3</v>
      </c>
      <c r="C648" s="5">
        <f>prices!C649/prices!C648-1</f>
        <v>2.3063027229486943E-2</v>
      </c>
      <c r="D648" s="5">
        <f>prices!D649/prices!D648-1</f>
        <v>-1.0430484382199623E-2</v>
      </c>
      <c r="E648" s="5">
        <f>prices!E649/prices!E648-1</f>
        <v>2.1852622786276754E-2</v>
      </c>
      <c r="F648" s="5">
        <f>prices!F649/prices!F648-1</f>
        <v>-8.0693725159580731E-3</v>
      </c>
      <c r="G648" s="5">
        <f>prices!G649/prices!G648-1</f>
        <v>8.5775422396403567E-3</v>
      </c>
      <c r="H648" s="5">
        <f>prices!H649/prices!H648-1</f>
        <v>4.2902242249263089E-3</v>
      </c>
      <c r="I648" s="5">
        <f>prices!I649/prices!I648-1</f>
        <v>-1.0476759256906165E-2</v>
      </c>
      <c r="J648" s="5">
        <f>prices!J649/prices!J648-1</f>
        <v>3.1123494766964743E-3</v>
      </c>
      <c r="K648" s="8">
        <f>SUMPRODUCT(B648:I648,weights!$B$5:$I$5)</f>
        <v>2.1353986618334111E-3</v>
      </c>
      <c r="L648" s="4">
        <f t="shared" si="20"/>
        <v>157.0337832935106</v>
      </c>
      <c r="M648" s="4">
        <f>L648/MAX(L$2:L648)-1</f>
        <v>-2.2024965828850718E-3</v>
      </c>
      <c r="N648" s="4">
        <f t="shared" si="19"/>
        <v>4.7994796801390738E-2</v>
      </c>
    </row>
    <row r="649" spans="1:14">
      <c r="A649" s="3">
        <f>prices!A650</f>
        <v>44426</v>
      </c>
      <c r="B649" s="5">
        <f>prices!B650/prices!B649-1</f>
        <v>3.8766411964539227E-3</v>
      </c>
      <c r="C649" s="5">
        <f>prices!C650/prices!C649-1</f>
        <v>2.109164660638152E-3</v>
      </c>
      <c r="D649" s="5">
        <f>prices!D650/prices!D649-1</f>
        <v>-1.0864964018626466E-3</v>
      </c>
      <c r="E649" s="5">
        <f>prices!E650/prices!E649-1</f>
        <v>-4.7068750700428597E-3</v>
      </c>
      <c r="F649" s="5">
        <f>prices!F650/prices!F649-1</f>
        <v>-1.1534725594949391E-3</v>
      </c>
      <c r="G649" s="5">
        <f>prices!G650/prices!G649-1</f>
        <v>-6.5791975082392096E-3</v>
      </c>
      <c r="H649" s="5">
        <f>prices!H650/prices!H649-1</f>
        <v>-1.5851692638365611E-3</v>
      </c>
      <c r="I649" s="5">
        <f>prices!I650/prices!I649-1</f>
        <v>-3.6019955440554918E-3</v>
      </c>
      <c r="J649" s="5">
        <f>prices!J650/prices!J649-1</f>
        <v>-2.7536022534397908E-3</v>
      </c>
      <c r="K649" s="8">
        <f>SUMPRODUCT(B649:I649,weights!$B$5:$I$5)</f>
        <v>-2.1251112467909183E-3</v>
      </c>
      <c r="L649" s="4">
        <f t="shared" si="20"/>
        <v>156.70006903450744</v>
      </c>
      <c r="M649" s="4">
        <f>L649/MAX(L$2:L649)-1</f>
        <v>-4.3229272794166329E-3</v>
      </c>
      <c r="N649" s="4">
        <f t="shared" si="19"/>
        <v>5.0383978040843935E-2</v>
      </c>
    </row>
    <row r="650" spans="1:14">
      <c r="A650" s="3">
        <f>prices!A651</f>
        <v>44428</v>
      </c>
      <c r="B650" s="5">
        <f>prices!B651/prices!B650-1</f>
        <v>-1.1229332439051554E-2</v>
      </c>
      <c r="C650" s="5">
        <f>prices!C651/prices!C650-1</f>
        <v>-2.9420893360576628E-4</v>
      </c>
      <c r="D650" s="5">
        <f>prices!D651/prices!D650-1</f>
        <v>1.1583066122358154E-3</v>
      </c>
      <c r="E650" s="5">
        <f>prices!E651/prices!E650-1</f>
        <v>-2.9143125865194186E-4</v>
      </c>
      <c r="F650" s="5">
        <f>prices!F651/prices!F650-1</f>
        <v>-2.4311675682242573E-4</v>
      </c>
      <c r="G650" s="5">
        <f>prices!G651/prices!G650-1</f>
        <v>1.5783809271570082E-3</v>
      </c>
      <c r="H650" s="5">
        <f>prices!H651/prices!H650-1</f>
        <v>-2.7784505260891712E-2</v>
      </c>
      <c r="I650" s="5">
        <f>prices!I651/prices!I650-1</f>
        <v>-2.4035673321046946E-2</v>
      </c>
      <c r="J650" s="5">
        <f>prices!J651/prices!J650-1</f>
        <v>-7.1429218080916179E-3</v>
      </c>
      <c r="K650" s="8">
        <f>SUMPRODUCT(B650:I650,weights!$B$5:$I$5)</f>
        <v>-1.0032861987072796E-2</v>
      </c>
      <c r="L650" s="4">
        <f t="shared" si="20"/>
        <v>155.12791886851946</v>
      </c>
      <c r="M650" s="4">
        <f>L650/MAX(L$2:L650)-1</f>
        <v>-1.4312417933714738E-2</v>
      </c>
      <c r="N650" s="4">
        <f t="shared" si="19"/>
        <v>2.4358442620229237E-2</v>
      </c>
    </row>
    <row r="651" spans="1:14">
      <c r="A651" s="3">
        <f>prices!A652</f>
        <v>44431</v>
      </c>
      <c r="B651" s="5">
        <f>prices!B652/prices!B651-1</f>
        <v>6.56745256839808E-3</v>
      </c>
      <c r="C651" s="5">
        <f>prices!C652/prices!C651-1</f>
        <v>2.1884590880719701E-2</v>
      </c>
      <c r="D651" s="5">
        <f>prices!D652/prices!D651-1</f>
        <v>6.5044091710757534E-3</v>
      </c>
      <c r="E651" s="5">
        <f>prices!E652/prices!E651-1</f>
        <v>3.3458111107431687E-3</v>
      </c>
      <c r="F651" s="5">
        <f>prices!F652/prices!F651-1</f>
        <v>-1.2462763693841694E-2</v>
      </c>
      <c r="G651" s="5">
        <f>prices!G652/prices!G651-1</f>
        <v>-3.6485528069553075E-3</v>
      </c>
      <c r="H651" s="5">
        <f>prices!H652/prices!H651-1</f>
        <v>2.6295030239276151E-4</v>
      </c>
      <c r="I651" s="5">
        <f>prices!I652/prices!I651-1</f>
        <v>-8.0617473061483924E-3</v>
      </c>
      <c r="J651" s="5">
        <f>prices!J652/prices!J651-1</f>
        <v>2.7932281693565653E-3</v>
      </c>
      <c r="K651" s="8">
        <f>SUMPRODUCT(B651:I651,weights!$B$5:$I$5)</f>
        <v>2.2456557084818635E-4</v>
      </c>
      <c r="L651" s="4">
        <f t="shared" si="20"/>
        <v>155.16275525817466</v>
      </c>
      <c r="M651" s="4">
        <f>L651/MAX(L$2:L651)-1</f>
        <v>-1.409106643917013E-2</v>
      </c>
      <c r="N651" s="4">
        <f t="shared" si="19"/>
        <v>2.6060918012945633E-2</v>
      </c>
    </row>
    <row r="652" spans="1:14">
      <c r="A652" s="3">
        <f>prices!A653</f>
        <v>44432</v>
      </c>
      <c r="B652" s="5">
        <f>prices!B653/prices!B652-1</f>
        <v>9.8736943136914501E-3</v>
      </c>
      <c r="C652" s="5">
        <f>prices!C653/prices!C652-1</f>
        <v>-6.652319767073811E-3</v>
      </c>
      <c r="D652" s="5">
        <f>prices!D653/prices!D652-1</f>
        <v>2.2457104407311856E-2</v>
      </c>
      <c r="E652" s="5">
        <f>prices!E653/prices!E652-1</f>
        <v>-1.0294506075013254E-2</v>
      </c>
      <c r="F652" s="5">
        <f>prices!F653/prices!F652-1</f>
        <v>-2.6471312484610543E-3</v>
      </c>
      <c r="G652" s="5">
        <f>prices!G653/prices!G652-1</f>
        <v>-3.325944051116303E-3</v>
      </c>
      <c r="H652" s="5">
        <f>prices!H653/prices!H652-1</f>
        <v>1.580054236537709E-2</v>
      </c>
      <c r="I652" s="5">
        <f>prices!I653/prices!I652-1</f>
        <v>1.5841847771824291E-2</v>
      </c>
      <c r="J652" s="5">
        <f>prices!J653/prices!J652-1</f>
        <v>7.7683380363653409E-3</v>
      </c>
      <c r="K652" s="8">
        <f>SUMPRODUCT(B652:I652,weights!$B$5:$I$5)</f>
        <v>6.1060156487013333E-3</v>
      </c>
      <c r="L652" s="4">
        <f t="shared" si="20"/>
        <v>156.11018146987669</v>
      </c>
      <c r="M652" s="4">
        <f>L652/MAX(L$2:L652)-1</f>
        <v>-8.0710910626531351E-3</v>
      </c>
      <c r="N652" s="4">
        <f t="shared" si="19"/>
        <v>3.6045152868650288E-2</v>
      </c>
    </row>
    <row r="653" spans="1:14">
      <c r="A653" s="3">
        <f>prices!A654</f>
        <v>44433</v>
      </c>
      <c r="B653" s="5">
        <f>prices!B654/prices!B653-1</f>
        <v>8.6548572352989073E-3</v>
      </c>
      <c r="C653" s="5">
        <f>prices!C654/prices!C653-1</f>
        <v>1.2676899942015707E-2</v>
      </c>
      <c r="D653" s="5">
        <f>prices!D654/prices!D653-1</f>
        <v>-9.1858839013947424E-4</v>
      </c>
      <c r="E653" s="5">
        <f>prices!E654/prices!E653-1</f>
        <v>8.5467804458203567E-3</v>
      </c>
      <c r="F653" s="5">
        <f>prices!F654/prices!F653-1</f>
        <v>3.1479538300105414E-3</v>
      </c>
      <c r="G653" s="5">
        <f>prices!G654/prices!G653-1</f>
        <v>-1.3486701853382632E-2</v>
      </c>
      <c r="H653" s="5">
        <f>prices!H654/prices!H653-1</f>
        <v>-2.9829197199595647E-3</v>
      </c>
      <c r="I653" s="5">
        <f>prices!I654/prices!I653-1</f>
        <v>-7.4697768895587435E-3</v>
      </c>
      <c r="J653" s="5">
        <f>prices!J654/prices!J653-1</f>
        <v>6.0452582317793713E-4</v>
      </c>
      <c r="K653" s="8">
        <f>SUMPRODUCT(B653:I653,weights!$B$5:$I$5)</f>
        <v>-1.4090946994405025E-3</v>
      </c>
      <c r="L653" s="4">
        <f t="shared" si="20"/>
        <v>155.89020744063879</v>
      </c>
      <c r="M653" s="4">
        <f>L653/MAX(L$2:L653)-1</f>
        <v>-9.4688128304586394E-3</v>
      </c>
      <c r="N653" s="4">
        <f t="shared" si="19"/>
        <v>3.90932230567691E-2</v>
      </c>
    </row>
    <row r="654" spans="1:14">
      <c r="A654" s="3">
        <f>prices!A655</f>
        <v>44434</v>
      </c>
      <c r="B654" s="5">
        <f>prices!B655/prices!B654-1</f>
        <v>1.2640336808340091E-2</v>
      </c>
      <c r="C654" s="5">
        <f>prices!C655/prices!C654-1</f>
        <v>3.5110128139383967E-3</v>
      </c>
      <c r="D654" s="5">
        <f>prices!D655/prices!D654-1</f>
        <v>-1.6741913792867047E-3</v>
      </c>
      <c r="E654" s="5">
        <f>prices!E655/prices!E654-1</f>
        <v>-4.5249467458752246E-3</v>
      </c>
      <c r="F654" s="5">
        <f>prices!F655/prices!F654-1</f>
        <v>-8.7373861678563536E-3</v>
      </c>
      <c r="G654" s="5">
        <f>prices!G655/prices!G654-1</f>
        <v>-1.5324965088974296E-2</v>
      </c>
      <c r="H654" s="5">
        <f>prices!H655/prices!H654-1</f>
        <v>-1.1052063552780766E-2</v>
      </c>
      <c r="I654" s="5">
        <f>prices!I655/prices!I654-1</f>
        <v>1.2213236507674363E-3</v>
      </c>
      <c r="J654" s="5">
        <f>prices!J655/prices!J654-1</f>
        <v>1.3525983414131026E-4</v>
      </c>
      <c r="K654" s="8">
        <f>SUMPRODUCT(B654:I654,weights!$B$5:$I$5)</f>
        <v>-3.726679549533477E-3</v>
      </c>
      <c r="L654" s="4">
        <f t="shared" si="20"/>
        <v>155.30925459259723</v>
      </c>
      <c r="M654" s="4">
        <f>L654/MAX(L$2:L654)-1</f>
        <v>-1.3160205148858517E-2</v>
      </c>
      <c r="N654" s="4">
        <f t="shared" si="19"/>
        <v>3.8484592818852414E-2</v>
      </c>
    </row>
    <row r="655" spans="1:14">
      <c r="A655" s="3">
        <f>prices!A656</f>
        <v>44435</v>
      </c>
      <c r="B655" s="5">
        <f>prices!B656/prices!B655-1</f>
        <v>-1.366052602924106E-3</v>
      </c>
      <c r="C655" s="5">
        <f>prices!C656/prices!C655-1</f>
        <v>1.3154718424443379E-2</v>
      </c>
      <c r="D655" s="5">
        <f>prices!D656/prices!D655-1</f>
        <v>-4.0825303440596983E-3</v>
      </c>
      <c r="E655" s="5">
        <f>prices!E656/prices!E655-1</f>
        <v>-1.0938476056300606E-2</v>
      </c>
      <c r="F655" s="5">
        <f>prices!F656/prices!F655-1</f>
        <v>6.3314711359405695E-3</v>
      </c>
      <c r="G655" s="5">
        <f>prices!G656/prices!G655-1</f>
        <v>2.4592255024218357E-3</v>
      </c>
      <c r="H655" s="5">
        <f>prices!H656/prices!H655-1</f>
        <v>1.4794861168669682E-2</v>
      </c>
      <c r="I655" s="5">
        <f>prices!I656/prices!I655-1</f>
        <v>2.6539628115521463E-2</v>
      </c>
      <c r="J655" s="5">
        <f>prices!J656/prices!J655-1</f>
        <v>4.1053321231718787E-3</v>
      </c>
      <c r="K655" s="8">
        <f>SUMPRODUCT(B655:I655,weights!$B$5:$I$5)</f>
        <v>8.2172276412665092E-3</v>
      </c>
      <c r="L655" s="4">
        <f t="shared" si="20"/>
        <v>156.58546609237999</v>
      </c>
      <c r="M655" s="4">
        <f>L655/MAX(L$2:L655)-1</f>
        <v>-5.0511179091060621E-3</v>
      </c>
      <c r="N655" s="4">
        <f t="shared" si="19"/>
        <v>4.7778893901787356E-2</v>
      </c>
    </row>
    <row r="656" spans="1:14">
      <c r="A656" s="3">
        <f>prices!A657</f>
        <v>44438</v>
      </c>
      <c r="B656" s="5">
        <f>prices!B657/prices!B656-1</f>
        <v>1.9240109830199303E-2</v>
      </c>
      <c r="C656" s="5">
        <f>prices!C657/prices!C656-1</f>
        <v>-5.0685554616934914E-3</v>
      </c>
      <c r="D656" s="5">
        <f>prices!D657/prices!D656-1</f>
        <v>1.2780875614199827E-2</v>
      </c>
      <c r="E656" s="5">
        <f>prices!E657/prices!E656-1</f>
        <v>-6.2956890991183734E-3</v>
      </c>
      <c r="F656" s="5">
        <f>prices!F657/prices!F656-1</f>
        <v>1.0239328892178712E-2</v>
      </c>
      <c r="G656" s="5">
        <f>prices!G657/prices!G656-1</f>
        <v>2.5970330912280959E-2</v>
      </c>
      <c r="H656" s="5">
        <f>prices!H657/prices!H656-1</f>
        <v>1.9956167217979548E-2</v>
      </c>
      <c r="I656" s="5">
        <f>prices!I657/prices!I656-1</f>
        <v>1.3430966374409881E-2</v>
      </c>
      <c r="J656" s="5">
        <f>prices!J657/prices!J656-1</f>
        <v>1.3519742355673658E-2</v>
      </c>
      <c r="K656" s="8">
        <f>SUMPRODUCT(B656:I656,weights!$B$5:$I$5)</f>
        <v>1.3980748570962907E-2</v>
      </c>
      <c r="L656" s="4">
        <f t="shared" si="20"/>
        <v>158.77464812368459</v>
      </c>
      <c r="M656" s="4">
        <f>L656/MAX(L$2:L656)-1</f>
        <v>0</v>
      </c>
      <c r="N656" s="4">
        <f t="shared" si="19"/>
        <v>4.8577430378725639E-2</v>
      </c>
    </row>
    <row r="657" spans="1:14">
      <c r="A657" s="3">
        <f>prices!A658</f>
        <v>44439</v>
      </c>
      <c r="B657" s="5">
        <f>prices!B658/prices!B657-1</f>
        <v>-5.3294950595191848E-3</v>
      </c>
      <c r="C657" s="5">
        <f>prices!C658/prices!C657-1</f>
        <v>2.3005557784474995E-2</v>
      </c>
      <c r="D657" s="5">
        <f>prices!D658/prices!D657-1</f>
        <v>8.394886750797248E-3</v>
      </c>
      <c r="E657" s="5">
        <f>prices!E658/prices!E657-1</f>
        <v>4.9494573853070545E-3</v>
      </c>
      <c r="F657" s="5">
        <f>prices!F658/prices!F657-1</f>
        <v>1.5874954206862801E-2</v>
      </c>
      <c r="G657" s="5">
        <f>prices!G658/prices!G657-1</f>
        <v>7.2395331818355668E-3</v>
      </c>
      <c r="H657" s="5">
        <f>prices!H658/prices!H657-1</f>
        <v>8.7018030883392328E-3</v>
      </c>
      <c r="I657" s="5">
        <f>prices!I658/prices!I657-1</f>
        <v>7.2888145218537037E-3</v>
      </c>
      <c r="J657" s="5">
        <f>prices!J658/prices!J657-1</f>
        <v>1.1880539009689439E-2</v>
      </c>
      <c r="K657" s="8">
        <f>SUMPRODUCT(B657:I657,weights!$B$5:$I$5)</f>
        <v>7.8677642433204759E-3</v>
      </c>
      <c r="L657" s="4">
        <f t="shared" si="20"/>
        <v>160.02384962293789</v>
      </c>
      <c r="M657" s="4">
        <f>L657/MAX(L$2:L657)-1</f>
        <v>0</v>
      </c>
      <c r="N657" s="4">
        <f t="shared" si="19"/>
        <v>4.6214749883858097E-2</v>
      </c>
    </row>
    <row r="658" spans="1:14">
      <c r="A658" s="3">
        <f>prices!A659</f>
        <v>44440</v>
      </c>
      <c r="B658" s="5">
        <f>prices!B659/prices!B658-1</f>
        <v>3.9598732840548934E-3</v>
      </c>
      <c r="C658" s="5">
        <f>prices!C659/prices!C658-1</f>
        <v>-1.8882551804650261E-2</v>
      </c>
      <c r="D658" s="5">
        <f>prices!D659/prices!D658-1</f>
        <v>-1.4595778036057272E-3</v>
      </c>
      <c r="E658" s="5">
        <f>prices!E659/prices!E658-1</f>
        <v>-1.6820631513789541E-2</v>
      </c>
      <c r="F658" s="5">
        <f>prices!F659/prices!F658-1</f>
        <v>-8.5346796489962351E-3</v>
      </c>
      <c r="G658" s="5">
        <f>prices!G659/prices!G658-1</f>
        <v>-8.9403983639606555E-3</v>
      </c>
      <c r="H658" s="5">
        <f>prices!H659/prices!H658-1</f>
        <v>-6.9992987470064438E-3</v>
      </c>
      <c r="I658" s="5">
        <f>prices!I659/prices!I658-1</f>
        <v>8.4945194618879505E-3</v>
      </c>
      <c r="J658" s="5">
        <f>prices!J659/prices!J658-1</f>
        <v>-3.2657802267076486E-3</v>
      </c>
      <c r="K658" s="8">
        <f>SUMPRODUCT(B658:I658,weights!$B$5:$I$5)</f>
        <v>-4.5216256759188301E-3</v>
      </c>
      <c r="L658" s="4">
        <f t="shared" si="20"/>
        <v>159.30028167572343</v>
      </c>
      <c r="M658" s="4">
        <f>L658/MAX(L$2:L658)-1</f>
        <v>-4.521625675918961E-3</v>
      </c>
      <c r="N658" s="4">
        <f t="shared" si="19"/>
        <v>2.5758469726509192E-2</v>
      </c>
    </row>
    <row r="659" spans="1:14">
      <c r="A659" s="3">
        <f>prices!A660</f>
        <v>44441</v>
      </c>
      <c r="B659" s="5">
        <f>prices!B660/prices!B659-1</f>
        <v>1.203728050953945E-2</v>
      </c>
      <c r="C659" s="5">
        <f>prices!C660/prices!C659-1</f>
        <v>3.2787240833299647E-2</v>
      </c>
      <c r="D659" s="5">
        <f>prices!D660/prices!D659-1</f>
        <v>6.2664104160463641E-3</v>
      </c>
      <c r="E659" s="5">
        <f>prices!E660/prices!E659-1</f>
        <v>6.7680852956675253E-3</v>
      </c>
      <c r="F659" s="5">
        <f>prices!F660/prices!F659-1</f>
        <v>1.2124151309407249E-3</v>
      </c>
      <c r="G659" s="5">
        <f>prices!G660/prices!G659-1</f>
        <v>1.179141541743034E-3</v>
      </c>
      <c r="H659" s="5">
        <f>prices!H660/prices!H659-1</f>
        <v>1.8520986009327167E-3</v>
      </c>
      <c r="I659" s="5">
        <f>prices!I660/prices!I659-1</f>
        <v>-1.1854550899703664E-4</v>
      </c>
      <c r="J659" s="5">
        <f>prices!J660/prices!J659-1</f>
        <v>9.2467608520607758E-3</v>
      </c>
      <c r="K659" s="8">
        <f>SUMPRODUCT(B659:I659,weights!$B$5:$I$5)</f>
        <v>6.0365581315844161E-3</v>
      </c>
      <c r="L659" s="4">
        <f t="shared" si="20"/>
        <v>160.26190708643671</v>
      </c>
      <c r="M659" s="4">
        <f>L659/MAX(L$2:L659)-1</f>
        <v>0</v>
      </c>
      <c r="N659" s="4">
        <f t="shared" si="19"/>
        <v>3.6321860446797638E-2</v>
      </c>
    </row>
    <row r="660" spans="1:14">
      <c r="A660" s="3">
        <f>prices!A661</f>
        <v>44442</v>
      </c>
      <c r="B660" s="5">
        <f>prices!B661/prices!B660-1</f>
        <v>4.1013501159579135E-2</v>
      </c>
      <c r="C660" s="5">
        <f>prices!C661/prices!C660-1</f>
        <v>1.3801462955072008E-3</v>
      </c>
      <c r="D660" s="5">
        <f>prices!D661/prices!D660-1</f>
        <v>-8.1507484969536304E-3</v>
      </c>
      <c r="E660" s="5">
        <f>prices!E661/prices!E660-1</f>
        <v>6.8381413306506378E-3</v>
      </c>
      <c r="F660" s="5">
        <f>prices!F661/prices!F660-1</f>
        <v>3.9961249697262335E-3</v>
      </c>
      <c r="G660" s="5">
        <f>prices!G661/prices!G660-1</f>
        <v>1.0334626703232486E-2</v>
      </c>
      <c r="H660" s="5">
        <f>prices!H661/prices!H660-1</f>
        <v>-7.0489034300225129E-4</v>
      </c>
      <c r="I660" s="5">
        <f>prices!I661/prices!I660-1</f>
        <v>3.138708449552885E-3</v>
      </c>
      <c r="J660" s="5">
        <f>prices!J661/prices!J660-1</f>
        <v>5.1902762828452964E-3</v>
      </c>
      <c r="K660" s="8">
        <f>SUMPRODUCT(B660:I660,weights!$B$5:$I$5)</f>
        <v>8.1702109751632286E-3</v>
      </c>
      <c r="L660" s="4">
        <f t="shared" si="20"/>
        <v>161.5712806786149</v>
      </c>
      <c r="M660" s="4">
        <f>L660/MAX(L$2:L660)-1</f>
        <v>0</v>
      </c>
      <c r="N660" s="4">
        <f t="shared" si="19"/>
        <v>3.8821724694258153E-2</v>
      </c>
    </row>
    <row r="661" spans="1:14">
      <c r="A661" s="3">
        <f>prices!A662</f>
        <v>44445</v>
      </c>
      <c r="B661" s="5">
        <f>prices!B662/prices!B661-1</f>
        <v>1.553906026123375E-2</v>
      </c>
      <c r="C661" s="5">
        <f>prices!C662/prices!C661-1</f>
        <v>2.5916981765230496E-3</v>
      </c>
      <c r="D661" s="5">
        <f>prices!D662/prices!D661-1</f>
        <v>-6.5633348250002665E-3</v>
      </c>
      <c r="E661" s="5">
        <f>prices!E662/prices!E661-1</f>
        <v>1.7492337397550628E-2</v>
      </c>
      <c r="F661" s="5">
        <f>prices!F662/prices!F661-1</f>
        <v>-6.1512483415750996E-3</v>
      </c>
      <c r="G661" s="5">
        <f>prices!G662/prices!G661-1</f>
        <v>-2.360401405560375E-3</v>
      </c>
      <c r="H661" s="5">
        <f>prices!H662/prices!H661-1</f>
        <v>-6.5215076660988247E-3</v>
      </c>
      <c r="I661" s="5">
        <f>prices!I662/prices!I661-1</f>
        <v>1.5986563821848154E-3</v>
      </c>
      <c r="J661" s="5">
        <f>prices!J662/prices!J661-1</f>
        <v>3.1286799510494845E-3</v>
      </c>
      <c r="K661" s="8">
        <f>SUMPRODUCT(B661:I661,weights!$B$5:$I$5)</f>
        <v>1.558270231957007E-3</v>
      </c>
      <c r="L661" s="4">
        <f t="shared" si="20"/>
        <v>161.82305239563556</v>
      </c>
      <c r="M661" s="4">
        <f>L661/MAX(L$2:L661)-1</f>
        <v>0</v>
      </c>
      <c r="N661" s="4">
        <f t="shared" si="19"/>
        <v>4.2937788473144334E-2</v>
      </c>
    </row>
    <row r="662" spans="1:14">
      <c r="A662" s="3">
        <f>prices!A663</f>
        <v>44446</v>
      </c>
      <c r="B662" s="5">
        <f>prices!B663/prices!B662-1</f>
        <v>6.3080283997816178E-3</v>
      </c>
      <c r="C662" s="5">
        <f>prices!C663/prices!C662-1</f>
        <v>-9.3717407350959459E-3</v>
      </c>
      <c r="D662" s="5">
        <f>prices!D663/prices!D662-1</f>
        <v>2.2659331959211659E-3</v>
      </c>
      <c r="E662" s="5">
        <f>prices!E663/prices!E662-1</f>
        <v>-1.372144406919118E-2</v>
      </c>
      <c r="F662" s="5">
        <f>prices!F663/prices!F662-1</f>
        <v>1.1711165048543526E-2</v>
      </c>
      <c r="G662" s="5">
        <f>prices!G663/prices!G662-1</f>
        <v>4.4184445973847186E-3</v>
      </c>
      <c r="H662" s="5">
        <f>prices!H663/prices!H662-1</f>
        <v>-1.8299707954880451E-2</v>
      </c>
      <c r="I662" s="5">
        <f>prices!I663/prices!I662-1</f>
        <v>-7.3781029332307124E-3</v>
      </c>
      <c r="J662" s="5">
        <f>prices!J663/prices!J662-1</f>
        <v>-9.0345153011317514E-4</v>
      </c>
      <c r="K662" s="8">
        <f>SUMPRODUCT(B662:I662,weights!$B$5:$I$5)</f>
        <v>-3.3898417614683959E-3</v>
      </c>
      <c r="L662" s="4">
        <f t="shared" si="20"/>
        <v>161.27449785465654</v>
      </c>
      <c r="M662" s="4">
        <f>L662/MAX(L$2:L662)-1</f>
        <v>-3.3898417614683929E-3</v>
      </c>
      <c r="N662" s="4">
        <f t="shared" si="19"/>
        <v>4.0168114601109028E-2</v>
      </c>
    </row>
    <row r="663" spans="1:14">
      <c r="A663" s="3">
        <f>prices!A664</f>
        <v>44447</v>
      </c>
      <c r="B663" s="5">
        <f>prices!B664/prices!B663-1</f>
        <v>-3.9166734507429801E-3</v>
      </c>
      <c r="C663" s="5">
        <f>prices!C664/prices!C663-1</f>
        <v>-1.0941605553158928E-2</v>
      </c>
      <c r="D663" s="5">
        <f>prices!D664/prices!D663-1</f>
        <v>4.5624787197822148E-3</v>
      </c>
      <c r="E663" s="5">
        <f>prices!E664/prices!E663-1</f>
        <v>-7.8576474149820719E-3</v>
      </c>
      <c r="F663" s="5">
        <f>prices!F664/prices!F663-1</f>
        <v>-2.3391111377675244E-3</v>
      </c>
      <c r="G663" s="5">
        <f>prices!G664/prices!G663-1</f>
        <v>-1.3944656857594828E-2</v>
      </c>
      <c r="H663" s="5">
        <f>prices!H664/prices!H663-1</f>
        <v>9.8116812227075911E-3</v>
      </c>
      <c r="I663" s="5">
        <f>prices!I664/prices!I663-1</f>
        <v>-9.0096290410375257E-3</v>
      </c>
      <c r="J663" s="5">
        <f>prices!J664/prices!J663-1</f>
        <v>-4.9533178590144278E-4</v>
      </c>
      <c r="K663" s="8">
        <f>SUMPRODUCT(B663:I663,weights!$B$5:$I$5)</f>
        <v>-4.9869205741838469E-3</v>
      </c>
      <c r="L663" s="4">
        <f t="shared" si="20"/>
        <v>160.47023474321401</v>
      </c>
      <c r="M663" s="4">
        <f>L663/MAX(L$2:L663)-1</f>
        <v>-8.3598574640286749E-3</v>
      </c>
      <c r="N663" s="4">
        <f t="shared" ref="N663:N726" si="21">L663/L643-1</f>
        <v>3.7173775933324604E-2</v>
      </c>
    </row>
    <row r="664" spans="1:14">
      <c r="A664" s="3">
        <f>prices!A665</f>
        <v>44448</v>
      </c>
      <c r="B664" s="5">
        <f>prices!B665/prices!B664-1</f>
        <v>-2.3610606610970919E-3</v>
      </c>
      <c r="C664" s="5">
        <f>prices!C665/prices!C664-1</f>
        <v>4.569023363630853E-3</v>
      </c>
      <c r="D664" s="5">
        <f>prices!D665/prices!D664-1</f>
        <v>-4.9484815618221489E-3</v>
      </c>
      <c r="E664" s="5">
        <f>prices!E665/prices!E664-1</f>
        <v>-9.6964272395017037E-4</v>
      </c>
      <c r="F664" s="5">
        <f>prices!F665/prices!F664-1</f>
        <v>6.6129614043524132E-3</v>
      </c>
      <c r="G664" s="5">
        <f>prices!G665/prices!G664-1</f>
        <v>3.0961377804474832E-3</v>
      </c>
      <c r="H664" s="5">
        <f>prices!H665/prices!H664-1</f>
        <v>-1.4865065744131822E-3</v>
      </c>
      <c r="I664" s="5">
        <f>prices!I665/prices!I664-1</f>
        <v>2.1024187285731966E-3</v>
      </c>
      <c r="J664" s="5">
        <f>prices!J665/prices!J664-1</f>
        <v>9.0759789091543475E-4</v>
      </c>
      <c r="K664" s="8">
        <f>SUMPRODUCT(B664:I664,weights!$B$5:$I$5)</f>
        <v>9.9516177897272405E-4</v>
      </c>
      <c r="L664" s="4">
        <f t="shared" si="20"/>
        <v>160.62992858749323</v>
      </c>
      <c r="M664" s="4">
        <f>L664/MAX(L$2:L664)-1</f>
        <v>-7.3730150956817786E-3</v>
      </c>
      <c r="N664" s="4">
        <f t="shared" si="21"/>
        <v>4.0028299208403784E-2</v>
      </c>
    </row>
    <row r="665" spans="1:14">
      <c r="A665" s="3">
        <f>prices!A666</f>
        <v>44452</v>
      </c>
      <c r="B665" s="5">
        <f>prices!B666/prices!B665-1</f>
        <v>-2.2282905516111451E-2</v>
      </c>
      <c r="C665" s="5">
        <f>prices!C666/prices!C665-1</f>
        <v>1.4230715513210423E-2</v>
      </c>
      <c r="D665" s="5">
        <f>prices!D666/prices!D665-1</f>
        <v>-8.3248177668778789E-3</v>
      </c>
      <c r="E665" s="5">
        <f>prices!E666/prices!E665-1</f>
        <v>1.7646978972951644E-4</v>
      </c>
      <c r="F665" s="5">
        <f>prices!F666/prices!F665-1</f>
        <v>7.0473005255613508E-3</v>
      </c>
      <c r="G665" s="5">
        <f>prices!G666/prices!G665-1</f>
        <v>1.0503613070478757E-2</v>
      </c>
      <c r="H665" s="5">
        <f>prices!H666/prices!H665-1</f>
        <v>5.1563832234839957E-3</v>
      </c>
      <c r="I665" s="5">
        <f>prices!I666/prices!I665-1</f>
        <v>9.8285051851654259E-4</v>
      </c>
      <c r="J665" s="5">
        <f>prices!J666/prices!J665-1</f>
        <v>-8.0314348633370169E-4</v>
      </c>
      <c r="K665" s="8">
        <f>SUMPRODUCT(B665:I665,weights!$B$5:$I$5)</f>
        <v>1.4112061976826356E-3</v>
      </c>
      <c r="L665" s="4">
        <f t="shared" si="20"/>
        <v>160.85661053824919</v>
      </c>
      <c r="M665" s="4">
        <f>L665/MAX(L$2:L665)-1</f>
        <v>-5.9722137425980426E-3</v>
      </c>
      <c r="N665" s="4">
        <f t="shared" si="21"/>
        <v>3.5926053684621539E-2</v>
      </c>
    </row>
    <row r="666" spans="1:14">
      <c r="A666" s="3">
        <f>prices!A667</f>
        <v>44453</v>
      </c>
      <c r="B666" s="5">
        <f>prices!B667/prices!B666-1</f>
        <v>-1.312702491341633E-3</v>
      </c>
      <c r="C666" s="5">
        <f>prices!C667/prices!C666-1</f>
        <v>1.0546483258243589E-2</v>
      </c>
      <c r="D666" s="5">
        <f>prices!D667/prices!D666-1</f>
        <v>-4.5064849417455477E-3</v>
      </c>
      <c r="E666" s="5">
        <f>prices!E667/prices!E666-1</f>
        <v>-3.3998371335505206E-3</v>
      </c>
      <c r="F666" s="5">
        <f>prices!F667/prices!F666-1</f>
        <v>9.1329616890047927E-3</v>
      </c>
      <c r="G666" s="5">
        <f>prices!G667/prices!G666-1</f>
        <v>3.0194589044330034E-3</v>
      </c>
      <c r="H666" s="5">
        <f>prices!H667/prices!H666-1</f>
        <v>1.413760603204528E-3</v>
      </c>
      <c r="I666" s="5">
        <f>prices!I667/prices!I666-1</f>
        <v>1.4810105867395063E-2</v>
      </c>
      <c r="J666" s="5">
        <f>prices!J667/prices!J666-1</f>
        <v>1.4231963722897145E-3</v>
      </c>
      <c r="K666" s="8">
        <f>SUMPRODUCT(B666:I666,weights!$B$5:$I$5)</f>
        <v>4.6167718017450596E-3</v>
      </c>
      <c r="L666" s="4">
        <f t="shared" si="20"/>
        <v>161.59924880190647</v>
      </c>
      <c r="M666" s="4">
        <f>L666/MAX(L$2:L666)-1</f>
        <v>-1.3830142888536789E-3</v>
      </c>
      <c r="N666" s="4">
        <f t="shared" si="21"/>
        <v>2.6806612098524418E-2</v>
      </c>
    </row>
    <row r="667" spans="1:14">
      <c r="A667" s="3">
        <f>prices!A668</f>
        <v>44454</v>
      </c>
      <c r="B667" s="5">
        <f>prices!B668/prices!B667-1</f>
        <v>4.1576940645655647E-3</v>
      </c>
      <c r="C667" s="5">
        <f>prices!C668/prices!C667-1</f>
        <v>1.7664589060574443E-2</v>
      </c>
      <c r="D667" s="5">
        <f>prices!D668/prices!D667-1</f>
        <v>-1.1179198410068425E-3</v>
      </c>
      <c r="E667" s="5">
        <f>prices!E668/prices!E667-1</f>
        <v>1.5007592316439666E-2</v>
      </c>
      <c r="F667" s="5">
        <f>prices!F668/prices!F667-1</f>
        <v>-4.7014574518089436E-4</v>
      </c>
      <c r="G667" s="5">
        <f>prices!G668/prices!G667-1</f>
        <v>2.1096886196805276E-3</v>
      </c>
      <c r="H667" s="5">
        <f>prices!H668/prices!H667-1</f>
        <v>-9.6806722689080082E-4</v>
      </c>
      <c r="I667" s="5">
        <f>prices!I668/prices!I667-1</f>
        <v>1.211305518169592E-2</v>
      </c>
      <c r="J667" s="5">
        <f>prices!J668/prices!J667-1</f>
        <v>8.0235903337169123E-3</v>
      </c>
      <c r="K667" s="8">
        <f>SUMPRODUCT(B667:I667,weights!$B$5:$I$5)</f>
        <v>5.879782990833163E-3</v>
      </c>
      <c r="L667" s="4">
        <f t="shared" si="20"/>
        <v>162.54941731634335</v>
      </c>
      <c r="M667" s="4">
        <f>L667/MAX(L$2:L667)-1</f>
        <v>0</v>
      </c>
      <c r="N667" s="4">
        <f t="shared" si="21"/>
        <v>3.7334271059966007E-2</v>
      </c>
    </row>
    <row r="668" spans="1:14">
      <c r="A668" s="3">
        <f>prices!A669</f>
        <v>44455</v>
      </c>
      <c r="B668" s="5">
        <f>prices!B669/prices!B668-1</f>
        <v>2.0990187249923409E-2</v>
      </c>
      <c r="C668" s="5">
        <f>prices!C669/prices!C668-1</f>
        <v>-1.2959529125464608E-2</v>
      </c>
      <c r="D668" s="5">
        <f>prices!D669/prices!D668-1</f>
        <v>8.4974093264247319E-3</v>
      </c>
      <c r="E668" s="5">
        <f>prices!E669/prices!E668-1</f>
        <v>-5.3802754540027697E-3</v>
      </c>
      <c r="F668" s="5">
        <f>prices!F669/prices!F668-1</f>
        <v>6.8261994355597322E-2</v>
      </c>
      <c r="G668" s="5">
        <f>prices!G669/prices!G668-1</f>
        <v>3.1783321713299006E-3</v>
      </c>
      <c r="H668" s="5">
        <f>prices!H669/prices!H668-1</f>
        <v>5.1141945816457479E-4</v>
      </c>
      <c r="I668" s="5">
        <f>prices!I669/prices!I668-1</f>
        <v>2.4757329149918128E-3</v>
      </c>
      <c r="J668" s="5">
        <f>prices!J669/prices!J668-1</f>
        <v>6.2815898900936418E-3</v>
      </c>
      <c r="K668" s="8">
        <f>SUMPRODUCT(B668:I668,weights!$B$5:$I$5)</f>
        <v>8.6002156147351287E-3</v>
      </c>
      <c r="L668" s="4">
        <f t="shared" si="20"/>
        <v>163.94737735331347</v>
      </c>
      <c r="M668" s="4">
        <f>L668/MAX(L$2:L668)-1</f>
        <v>0</v>
      </c>
      <c r="N668" s="4">
        <f t="shared" si="21"/>
        <v>4.4026157396212851E-2</v>
      </c>
    </row>
    <row r="669" spans="1:14">
      <c r="A669" s="3">
        <f>prices!A670</f>
        <v>44456</v>
      </c>
      <c r="B669" s="5">
        <f>prices!B670/prices!B669-1</f>
        <v>-1.5512193347760439E-2</v>
      </c>
      <c r="C669" s="5">
        <f>prices!C670/prices!C669-1</f>
        <v>-1.9328828974958578E-2</v>
      </c>
      <c r="D669" s="5">
        <f>prices!D670/prices!D669-1</f>
        <v>1.4234826688587443E-2</v>
      </c>
      <c r="E669" s="5">
        <f>prices!E670/prices!E669-1</f>
        <v>-6.4278535825335048E-3</v>
      </c>
      <c r="F669" s="5">
        <f>prices!F670/prices!F669-1</f>
        <v>1.7612416753811644E-3</v>
      </c>
      <c r="G669" s="5">
        <f>prices!G670/prices!G669-1</f>
        <v>1.2046044808929679E-2</v>
      </c>
      <c r="H669" s="5">
        <f>prices!H670/prices!H669-1</f>
        <v>-1.4272070593615904E-2</v>
      </c>
      <c r="I669" s="5">
        <f>prices!I670/prices!I669-1</f>
        <v>-2.9342005526078463E-3</v>
      </c>
      <c r="J669" s="5">
        <f>prices!J670/prices!J669-1</f>
        <v>-2.5156697580758225E-3</v>
      </c>
      <c r="K669" s="8">
        <f>SUMPRODUCT(B669:I669,weights!$B$5:$I$5)</f>
        <v>-3.3996508642678462E-3</v>
      </c>
      <c r="L669" s="4">
        <f t="shared" si="20"/>
        <v>163.39001351019982</v>
      </c>
      <c r="M669" s="4">
        <f>L669/MAX(L$2:L669)-1</f>
        <v>-3.3996508642678558E-3</v>
      </c>
      <c r="N669" s="4">
        <f t="shared" si="21"/>
        <v>4.2692670889756812E-2</v>
      </c>
    </row>
    <row r="670" spans="1:14">
      <c r="A670" s="3">
        <f>prices!A671</f>
        <v>44459</v>
      </c>
      <c r="B670" s="5">
        <f>prices!B671/prices!B670-1</f>
        <v>1.5885916949904821E-3</v>
      </c>
      <c r="C670" s="5">
        <f>prices!C671/prices!C670-1</f>
        <v>-1.1367566348395863E-3</v>
      </c>
      <c r="D670" s="5">
        <f>prices!D671/prices!D670-1</f>
        <v>-1.4102581420794458E-2</v>
      </c>
      <c r="E670" s="5">
        <f>prices!E671/prices!E670-1</f>
        <v>-2.0433377684850873E-3</v>
      </c>
      <c r="F670" s="5">
        <f>prices!F671/prices!F670-1</f>
        <v>1.1208175374979534E-2</v>
      </c>
      <c r="G670" s="5">
        <f>prices!G671/prices!G670-1</f>
        <v>-9.1304023288796277E-3</v>
      </c>
      <c r="H670" s="5">
        <f>prices!H671/prices!H670-1</f>
        <v>-1.7399017467248923E-2</v>
      </c>
      <c r="I670" s="5">
        <f>prices!I671/prices!I670-1</f>
        <v>-6.9034014272751909E-3</v>
      </c>
      <c r="J670" s="5">
        <f>prices!J671/prices!J670-1</f>
        <v>-1.0705055117528173E-2</v>
      </c>
      <c r="K670" s="8">
        <f>SUMPRODUCT(B670:I670,weights!$B$5:$I$5)</f>
        <v>-5.9411171881221256E-3</v>
      </c>
      <c r="L670" s="4">
        <f t="shared" si="20"/>
        <v>162.41929429256686</v>
      </c>
      <c r="M670" s="4">
        <f>L670/MAX(L$2:L670)-1</f>
        <v>-9.3205703282067676E-3</v>
      </c>
      <c r="N670" s="4">
        <f t="shared" si="21"/>
        <v>4.7002341533552761E-2</v>
      </c>
    </row>
    <row r="671" spans="1:14">
      <c r="A671" s="3">
        <f>prices!A672</f>
        <v>44460</v>
      </c>
      <c r="B671" s="5">
        <f>prices!B672/prices!B671-1</f>
        <v>4.3248128066100122E-3</v>
      </c>
      <c r="C671" s="5">
        <f>prices!C672/prices!C671-1</f>
        <v>1.0317720768214134E-2</v>
      </c>
      <c r="D671" s="5">
        <f>prices!D672/prices!D671-1</f>
        <v>-5.0558333904228148E-3</v>
      </c>
      <c r="E671" s="5">
        <f>prices!E672/prices!E671-1</f>
        <v>1.8128388444087706E-2</v>
      </c>
      <c r="F671" s="5">
        <f>prices!F672/prices!F671-1</f>
        <v>3.314316761749514E-2</v>
      </c>
      <c r="G671" s="5">
        <f>prices!G672/prices!G671-1</f>
        <v>-2.4948247340048857E-2</v>
      </c>
      <c r="H671" s="5">
        <f>prices!H672/prices!H671-1</f>
        <v>1.0568710506214885E-2</v>
      </c>
      <c r="I671" s="5">
        <f>prices!I672/prices!I671-1</f>
        <v>9.7047820128162154E-3</v>
      </c>
      <c r="J671" s="5">
        <f>prices!J672/prices!J671-1</f>
        <v>9.4901965292666368E-3</v>
      </c>
      <c r="K671" s="8">
        <f>SUMPRODUCT(B671:I671,weights!$B$5:$I$5)</f>
        <v>4.0445922293344365E-3</v>
      </c>
      <c r="L671" s="4">
        <f t="shared" si="20"/>
        <v>163.07621410815656</v>
      </c>
      <c r="M671" s="4">
        <f>L671/MAX(L$2:L671)-1</f>
        <v>-5.3136760051947229E-3</v>
      </c>
      <c r="N671" s="4">
        <f t="shared" si="21"/>
        <v>5.1001020424100707E-2</v>
      </c>
    </row>
    <row r="672" spans="1:14">
      <c r="A672" s="3">
        <f>prices!A673</f>
        <v>44461</v>
      </c>
      <c r="B672" s="5">
        <f>prices!B673/prices!B672-1</f>
        <v>1.0733337618098693E-2</v>
      </c>
      <c r="C672" s="5">
        <f>prices!C673/prices!C672-1</f>
        <v>-2.0859780555104734E-4</v>
      </c>
      <c r="D672" s="5">
        <f>prices!D673/prices!D672-1</f>
        <v>-1.1760493555139306E-2</v>
      </c>
      <c r="E672" s="5">
        <f>prices!E673/prices!E672-1</f>
        <v>-9.019723127907664E-4</v>
      </c>
      <c r="F672" s="5">
        <f>prices!F673/prices!F672-1</f>
        <v>8.3092295556139728E-3</v>
      </c>
      <c r="G672" s="5">
        <f>prices!G673/prices!G672-1</f>
        <v>7.9684783868350095E-3</v>
      </c>
      <c r="H672" s="5">
        <f>prices!H673/prices!H672-1</f>
        <v>7.324849517631904E-3</v>
      </c>
      <c r="I672" s="5">
        <f>prices!I673/prices!I672-1</f>
        <v>-5.8084791567311056E-3</v>
      </c>
      <c r="J672" s="5">
        <f>prices!J673/prices!J672-1</f>
        <v>-8.7404623619169453E-4</v>
      </c>
      <c r="K672" s="8">
        <f>SUMPRODUCT(B672:I672,weights!$B$5:$I$5)</f>
        <v>2.6013222182305648E-3</v>
      </c>
      <c r="L672" s="4">
        <f t="shared" si="20"/>
        <v>163.50042788718105</v>
      </c>
      <c r="M672" s="4">
        <f>L672/MAX(L$2:L672)-1</f>
        <v>-2.7261763704168329E-3</v>
      </c>
      <c r="N672" s="4">
        <f t="shared" si="21"/>
        <v>4.7339938674854309E-2</v>
      </c>
    </row>
    <row r="673" spans="1:14">
      <c r="A673" s="3">
        <f>prices!A674</f>
        <v>44462</v>
      </c>
      <c r="B673" s="5">
        <f>prices!B674/prices!B673-1</f>
        <v>2.4436329281808167E-2</v>
      </c>
      <c r="C673" s="5">
        <f>prices!C674/prices!C673-1</f>
        <v>1.8390242739281248E-3</v>
      </c>
      <c r="D673" s="5">
        <f>prices!D674/prices!D673-1</f>
        <v>2.3661547894428869E-2</v>
      </c>
      <c r="E673" s="5">
        <f>prices!E674/prices!E673-1</f>
        <v>1.4939446424630853E-2</v>
      </c>
      <c r="F673" s="5">
        <f>prices!F674/prices!F673-1</f>
        <v>-4.1203776143534654E-3</v>
      </c>
      <c r="G673" s="5">
        <f>prices!G674/prices!G673-1</f>
        <v>2.2979096533668475E-3</v>
      </c>
      <c r="H673" s="5">
        <f>prices!H674/prices!H673-1</f>
        <v>-3.2742602218316375E-4</v>
      </c>
      <c r="I673" s="5">
        <f>prices!I674/prices!I673-1</f>
        <v>3.4365698260805377E-2</v>
      </c>
      <c r="J673" s="5">
        <f>prices!J674/prices!J673-1</f>
        <v>1.574659550398505E-2</v>
      </c>
      <c r="K673" s="8">
        <f>SUMPRODUCT(B673:I673,weights!$B$5:$I$5)</f>
        <v>1.3119936913322701E-2</v>
      </c>
      <c r="L673" s="4">
        <f t="shared" si="20"/>
        <v>165.64554318636215</v>
      </c>
      <c r="M673" s="4">
        <f>L673/MAX(L$2:L673)-1</f>
        <v>0</v>
      </c>
      <c r="N673" s="4">
        <f t="shared" si="21"/>
        <v>6.2578245971210755E-2</v>
      </c>
    </row>
    <row r="674" spans="1:14">
      <c r="A674" s="3">
        <f>prices!A675</f>
        <v>44463</v>
      </c>
      <c r="B674" s="5">
        <f>prices!B675/prices!B674-1</f>
        <v>-2.8907884935976957E-3</v>
      </c>
      <c r="C674" s="5">
        <f>prices!C675/prices!C674-1</f>
        <v>5.2957119608709746E-4</v>
      </c>
      <c r="D674" s="5">
        <f>prices!D675/prices!D674-1</f>
        <v>2.0092567383610094E-2</v>
      </c>
      <c r="E674" s="5">
        <f>prices!E675/prices!E674-1</f>
        <v>1.222236132067378E-2</v>
      </c>
      <c r="F674" s="5">
        <f>prices!F675/prices!F674-1</f>
        <v>-1.670681889598824E-2</v>
      </c>
      <c r="G674" s="5">
        <f>prices!G675/prices!G674-1</f>
        <v>1.5416827895893492E-2</v>
      </c>
      <c r="H674" s="5">
        <f>prices!H675/prices!H674-1</f>
        <v>7.7789150460594314E-4</v>
      </c>
      <c r="I674" s="5">
        <f>prices!I675/prices!I674-1</f>
        <v>-5.3510273972612321E-4</v>
      </c>
      <c r="J674" s="5">
        <f>prices!J675/prices!J674-1</f>
        <v>1.6972498940972525E-3</v>
      </c>
      <c r="K674" s="8">
        <f>SUMPRODUCT(B674:I674,weights!$B$5:$I$5)</f>
        <v>3.8201059450468536E-3</v>
      </c>
      <c r="L674" s="4">
        <f t="shared" si="20"/>
        <v>166.27832671065889</v>
      </c>
      <c r="M674" s="4">
        <f>L674/MAX(L$2:L674)-1</f>
        <v>0</v>
      </c>
      <c r="N674" s="4">
        <f t="shared" si="21"/>
        <v>7.0627292281038923E-2</v>
      </c>
    </row>
    <row r="675" spans="1:14">
      <c r="A675" s="3">
        <f>prices!A676</f>
        <v>44466</v>
      </c>
      <c r="B675" s="5">
        <f>prices!B676/prices!B675-1</f>
        <v>1.6816961030183153E-2</v>
      </c>
      <c r="C675" s="5">
        <f>prices!C676/prices!C675-1</f>
        <v>-8.8730564170573789E-3</v>
      </c>
      <c r="D675" s="5">
        <f>prices!D676/prices!D675-1</f>
        <v>1.4705882352941124E-2</v>
      </c>
      <c r="E675" s="5">
        <f>prices!E676/prices!E675-1</f>
        <v>-2.4208141850988851E-2</v>
      </c>
      <c r="F675" s="5">
        <f>prices!F676/prices!F675-1</f>
        <v>1.0652463382156974E-3</v>
      </c>
      <c r="G675" s="5">
        <f>prices!G676/prices!G675-1</f>
        <v>6.4898759020410868E-2</v>
      </c>
      <c r="H675" s="5">
        <f>prices!H676/prices!H675-1</f>
        <v>-9.6001745486282708E-3</v>
      </c>
      <c r="I675" s="5">
        <f>prices!I676/prices!I675-1</f>
        <v>-1.6478090683037738E-2</v>
      </c>
      <c r="J675" s="5">
        <f>prices!J676/prices!J675-1</f>
        <v>1.0642349830836118E-4</v>
      </c>
      <c r="K675" s="8">
        <f>SUMPRODUCT(B675:I675,weights!$B$5:$I$5)</f>
        <v>8.4131323175821553E-3</v>
      </c>
      <c r="L675" s="4">
        <f t="shared" si="20"/>
        <v>167.67724827482184</v>
      </c>
      <c r="M675" s="4">
        <f>L675/MAX(L$2:L675)-1</f>
        <v>0</v>
      </c>
      <c r="N675" s="4">
        <f t="shared" si="21"/>
        <v>7.0835323732395983E-2</v>
      </c>
    </row>
    <row r="676" spans="1:14">
      <c r="A676" s="3">
        <f>prices!A677</f>
        <v>44467</v>
      </c>
      <c r="B676" s="5">
        <f>prices!B677/prices!B676-1</f>
        <v>9.3495543874686504E-3</v>
      </c>
      <c r="C676" s="5">
        <f>prices!C677/prices!C676-1</f>
        <v>-1.5063828510568089E-2</v>
      </c>
      <c r="D676" s="5">
        <f>prices!D677/prices!D676-1</f>
        <v>-6.1811199663326377E-3</v>
      </c>
      <c r="E676" s="5">
        <f>prices!E677/prices!E676-1</f>
        <v>-1.9778929603020412E-2</v>
      </c>
      <c r="F676" s="5">
        <f>prices!F677/prices!F676-1</f>
        <v>-3.9904229848364281E-3</v>
      </c>
      <c r="G676" s="5">
        <f>prices!G677/prices!G676-1</f>
        <v>2.7553118962146961E-3</v>
      </c>
      <c r="H676" s="5">
        <f>prices!H677/prices!H676-1</f>
        <v>1.5792807181803203E-2</v>
      </c>
      <c r="I676" s="5">
        <f>prices!I677/prices!I676-1</f>
        <v>-1.409285558754414E-3</v>
      </c>
      <c r="J676" s="5">
        <f>prices!J677/prices!J676-1</f>
        <v>-5.9646823596619658E-3</v>
      </c>
      <c r="K676" s="8">
        <f>SUMPRODUCT(B676:I676,weights!$B$5:$I$5)</f>
        <v>3.7974172657808758E-5</v>
      </c>
      <c r="L676" s="4">
        <f t="shared" si="20"/>
        <v>167.6836156795986</v>
      </c>
      <c r="M676" s="4">
        <f>L676/MAX(L$2:L676)-1</f>
        <v>0</v>
      </c>
      <c r="N676" s="4">
        <f t="shared" si="21"/>
        <v>5.6110768697619662E-2</v>
      </c>
    </row>
    <row r="677" spans="1:14">
      <c r="A677" s="3">
        <f>prices!A678</f>
        <v>44468</v>
      </c>
      <c r="B677" s="5">
        <f>prices!B678/prices!B677-1</f>
        <v>-7.9285305789992266E-3</v>
      </c>
      <c r="C677" s="5">
        <f>prices!C678/prices!C677-1</f>
        <v>3.375023606889016E-3</v>
      </c>
      <c r="D677" s="5">
        <f>prices!D678/prices!D677-1</f>
        <v>-1.3127249629472759E-2</v>
      </c>
      <c r="E677" s="5">
        <f>prices!E678/prices!E677-1</f>
        <v>3.0488219841842135E-3</v>
      </c>
      <c r="F677" s="5">
        <f>prices!F678/prices!F677-1</f>
        <v>1.4957264957264904E-3</v>
      </c>
      <c r="G677" s="5">
        <f>prices!G678/prices!G677-1</f>
        <v>-5.3600697373283879E-3</v>
      </c>
      <c r="H677" s="5">
        <f>prices!H678/prices!H677-1</f>
        <v>4.6709589969501808E-2</v>
      </c>
      <c r="I677" s="5">
        <f>prices!I678/prices!I677-1</f>
        <v>-9.2974518319310917E-3</v>
      </c>
      <c r="J677" s="5">
        <f>prices!J678/prices!J677-1</f>
        <v>-2.1015742086699651E-3</v>
      </c>
      <c r="K677" s="8">
        <f>SUMPRODUCT(B677:I677,weights!$B$5:$I$5)</f>
        <v>2.8663502673138188E-3</v>
      </c>
      <c r="L677" s="4">
        <f t="shared" si="20"/>
        <v>168.16425565622598</v>
      </c>
      <c r="M677" s="4">
        <f>L677/MAX(L$2:L677)-1</f>
        <v>0</v>
      </c>
      <c r="N677" s="4">
        <f t="shared" si="21"/>
        <v>5.0869955025261593E-2</v>
      </c>
    </row>
    <row r="678" spans="1:14">
      <c r="A678" s="3">
        <f>prices!A679</f>
        <v>44469</v>
      </c>
      <c r="B678" s="5">
        <f>prices!B679/prices!B678-1</f>
        <v>-3.4063812876121702E-3</v>
      </c>
      <c r="C678" s="5">
        <f>prices!C679/prices!C678-1</f>
        <v>-4.3108420713898754E-3</v>
      </c>
      <c r="D678" s="5">
        <f>prices!D679/prices!D678-1</f>
        <v>6.9727526281915253E-4</v>
      </c>
      <c r="E678" s="5">
        <f>prices!E679/prices!E678-1</f>
        <v>-1.0075310400977089E-2</v>
      </c>
      <c r="F678" s="5">
        <f>prices!F679/prices!F678-1</f>
        <v>-8.2142095156816364E-3</v>
      </c>
      <c r="G678" s="5">
        <f>prices!G679/prices!G678-1</f>
        <v>-6.2299155068595846E-3</v>
      </c>
      <c r="H678" s="5">
        <f>prices!H679/prices!H678-1</f>
        <v>8.5598477098198789E-3</v>
      </c>
      <c r="I678" s="5">
        <f>prices!I679/prices!I678-1</f>
        <v>-1.0491306155388735E-2</v>
      </c>
      <c r="J678" s="5">
        <f>prices!J679/prices!J678-1</f>
        <v>-5.2593541976024838E-3</v>
      </c>
      <c r="K678" s="8">
        <f>SUMPRODUCT(B678:I678,weights!$B$5:$I$5)</f>
        <v>-4.2875910630474695E-3</v>
      </c>
      <c r="L678" s="4">
        <f t="shared" si="20"/>
        <v>167.44323609655032</v>
      </c>
      <c r="M678" s="4">
        <f>L678/MAX(L$2:L678)-1</f>
        <v>-4.2875910630474356E-3</v>
      </c>
      <c r="N678" s="4">
        <f t="shared" si="21"/>
        <v>5.111701206783148E-2</v>
      </c>
    </row>
    <row r="679" spans="1:14">
      <c r="A679" s="3">
        <f>prices!A680</f>
        <v>44470</v>
      </c>
      <c r="B679" s="5">
        <f>prices!B680/prices!B679-1</f>
        <v>1.7703613465263057E-3</v>
      </c>
      <c r="C679" s="5">
        <f>prices!C680/prices!C679-1</f>
        <v>-1.2012854363959047E-2</v>
      </c>
      <c r="D679" s="5">
        <f>prices!D680/prices!D679-1</f>
        <v>-7.6914830894571073E-3</v>
      </c>
      <c r="E679" s="5">
        <f>prices!E680/prices!E679-1</f>
        <v>-5.9970528768719111E-3</v>
      </c>
      <c r="F679" s="5">
        <f>prices!F680/prices!F679-1</f>
        <v>-3.3881897386253135E-3</v>
      </c>
      <c r="G679" s="5">
        <f>prices!G680/prices!G679-1</f>
        <v>-2.3951378017646796E-2</v>
      </c>
      <c r="H679" s="5">
        <f>prices!H680/prices!H679-1</f>
        <v>1.0207750186179032E-2</v>
      </c>
      <c r="I679" s="5">
        <f>prices!I680/prices!I679-1</f>
        <v>-3.5527161287133291E-3</v>
      </c>
      <c r="J679" s="5">
        <f>prices!J680/prices!J679-1</f>
        <v>-4.8870057298866509E-3</v>
      </c>
      <c r="K679" s="8">
        <f>SUMPRODUCT(B679:I679,weights!$B$5:$I$5)</f>
        <v>-6.0085605124969715E-3</v>
      </c>
      <c r="L679" s="4">
        <f t="shared" si="20"/>
        <v>166.43714328005589</v>
      </c>
      <c r="M679" s="4">
        <f>L679/MAX(L$2:L679)-1</f>
        <v>-1.02703893251892E-2</v>
      </c>
      <c r="N679" s="4">
        <f t="shared" si="21"/>
        <v>3.8532152186911084E-2</v>
      </c>
    </row>
    <row r="680" spans="1:14">
      <c r="A680" s="3">
        <f>prices!A681</f>
        <v>44473</v>
      </c>
      <c r="B680" s="5">
        <f>prices!B681/prices!B680-1</f>
        <v>1.2860554841080285E-2</v>
      </c>
      <c r="C680" s="5">
        <f>prices!C681/prices!C680-1</f>
        <v>1.1554057807321216E-2</v>
      </c>
      <c r="D680" s="5">
        <f>prices!D681/prices!D680-1</f>
        <v>1.9310233073164262E-3</v>
      </c>
      <c r="E680" s="5">
        <f>prices!E681/prices!E680-1</f>
        <v>8.170723298627891E-3</v>
      </c>
      <c r="F680" s="5">
        <f>prices!F681/prices!F680-1</f>
        <v>5.3423992229237882E-3</v>
      </c>
      <c r="G680" s="5">
        <f>prices!G681/prices!G680-1</f>
        <v>1.1170096890356085E-3</v>
      </c>
      <c r="H680" s="5">
        <f>prices!H681/prices!H680-1</f>
        <v>6.5330401515055758E-3</v>
      </c>
      <c r="I680" s="5">
        <f>prices!I681/prices!I680-1</f>
        <v>1.0813961419456453E-2</v>
      </c>
      <c r="J680" s="5">
        <f>prices!J681/prices!J680-1</f>
        <v>9.0805125470210246E-3</v>
      </c>
      <c r="K680" s="8">
        <f>SUMPRODUCT(B680:I680,weights!$B$5:$I$5)</f>
        <v>7.2668586333276119E-3</v>
      </c>
      <c r="L680" s="4">
        <f t="shared" si="20"/>
        <v>167.64661847160693</v>
      </c>
      <c r="M680" s="4">
        <f>L680/MAX(L$2:L680)-1</f>
        <v>-3.0781641591970388E-3</v>
      </c>
      <c r="N680" s="4">
        <f t="shared" si="21"/>
        <v>3.7601594587076459E-2</v>
      </c>
    </row>
    <row r="681" spans="1:14">
      <c r="A681" s="3">
        <f>prices!A682</f>
        <v>44474</v>
      </c>
      <c r="B681" s="5">
        <f>prices!B682/prices!B681-1</f>
        <v>2.0747497257564307E-2</v>
      </c>
      <c r="C681" s="5">
        <f>prices!C682/prices!C681-1</f>
        <v>1.5900618086190255E-2</v>
      </c>
      <c r="D681" s="5">
        <f>prices!D682/prices!D681-1</f>
        <v>6.118845775435533E-3</v>
      </c>
      <c r="E681" s="5">
        <f>prices!E682/prices!E681-1</f>
        <v>8.3643948979243987E-3</v>
      </c>
      <c r="F681" s="5">
        <f>prices!F682/prices!F681-1</f>
        <v>-8.0515297906602612E-3</v>
      </c>
      <c r="G681" s="5">
        <f>prices!G682/prices!G681-1</f>
        <v>1.2266094959641149E-2</v>
      </c>
      <c r="H681" s="5">
        <f>prices!H682/prices!H681-1</f>
        <v>-1.3827328863128319E-2</v>
      </c>
      <c r="I681" s="5">
        <f>prices!I682/prices!I681-1</f>
        <v>8.4653747768625998E-4</v>
      </c>
      <c r="J681" s="5">
        <f>prices!J682/prices!J681-1</f>
        <v>7.4076167596974773E-3</v>
      </c>
      <c r="K681" s="8">
        <f>SUMPRODUCT(B681:I681,weights!$B$5:$I$5)</f>
        <v>4.9928717770512301E-3</v>
      </c>
      <c r="L681" s="4">
        <f t="shared" si="20"/>
        <v>168.48365654149191</v>
      </c>
      <c r="M681" s="4">
        <f>L681/MAX(L$2:L681)-1</f>
        <v>0</v>
      </c>
      <c r="N681" s="4">
        <f t="shared" si="21"/>
        <v>4.1159797984604118E-2</v>
      </c>
    </row>
    <row r="682" spans="1:14">
      <c r="A682" s="3">
        <f>prices!A683</f>
        <v>44475</v>
      </c>
      <c r="B682" s="5">
        <f>prices!B683/prices!B682-1</f>
        <v>-1.8912629574783124E-2</v>
      </c>
      <c r="C682" s="5">
        <f>prices!C683/prices!C682-1</f>
        <v>-5.8438789422158299E-3</v>
      </c>
      <c r="D682" s="5">
        <f>prices!D683/prices!D682-1</f>
        <v>1.2190057735328441E-2</v>
      </c>
      <c r="E682" s="5">
        <f>prices!E683/prices!E682-1</f>
        <v>-1.1367490063620145E-2</v>
      </c>
      <c r="F682" s="5">
        <f>prices!F683/prices!F682-1</f>
        <v>-1.4718614718614687E-2</v>
      </c>
      <c r="G682" s="5">
        <f>prices!G683/prices!G682-1</f>
        <v>-8.1283218780838773E-3</v>
      </c>
      <c r="H682" s="5">
        <f>prices!H683/prices!H682-1</f>
        <v>-2.425220241753745E-2</v>
      </c>
      <c r="I682" s="5">
        <f>prices!I683/prices!I682-1</f>
        <v>-1.2607643038828109E-2</v>
      </c>
      <c r="J682" s="5">
        <f>prices!J683/prices!J682-1</f>
        <v>-9.8921014683850395E-3</v>
      </c>
      <c r="K682" s="8">
        <f>SUMPRODUCT(B682:I682,weights!$B$5:$I$5)</f>
        <v>-1.1929774296291093E-2</v>
      </c>
      <c r="L682" s="4">
        <f t="shared" si="20"/>
        <v>166.47368454633809</v>
      </c>
      <c r="M682" s="4">
        <f>L682/MAX(L$2:L682)-1</f>
        <v>-1.1929774296291051E-2</v>
      </c>
      <c r="N682" s="4">
        <f t="shared" si="21"/>
        <v>3.223812047684782E-2</v>
      </c>
    </row>
    <row r="683" spans="1:14">
      <c r="A683" s="3">
        <f>prices!A684</f>
        <v>44476</v>
      </c>
      <c r="B683" s="5">
        <f>prices!B684/prices!B683-1</f>
        <v>4.9077108849402418E-3</v>
      </c>
      <c r="C683" s="5">
        <f>prices!C684/prices!C683-1</f>
        <v>2.151927793820918E-2</v>
      </c>
      <c r="D683" s="5">
        <f>prices!D684/prices!D683-1</f>
        <v>-2.7262741361284704E-3</v>
      </c>
      <c r="E683" s="5">
        <f>prices!E684/prices!E683-1</f>
        <v>1.042109740535957E-2</v>
      </c>
      <c r="F683" s="5">
        <f>prices!F684/prices!F683-1</f>
        <v>7.3594024604568542E-3</v>
      </c>
      <c r="G683" s="5">
        <f>prices!G684/prices!G683-1</f>
        <v>4.0733209405700244E-2</v>
      </c>
      <c r="H683" s="5">
        <f>prices!H684/prices!H683-1</f>
        <v>2.829322065037676E-2</v>
      </c>
      <c r="I683" s="5">
        <f>prices!I684/prices!I683-1</f>
        <v>1.0260835019677339E-2</v>
      </c>
      <c r="J683" s="5">
        <f>prices!J684/prices!J683-1</f>
        <v>8.1803241527824699E-3</v>
      </c>
      <c r="K683" s="8">
        <f>SUMPRODUCT(B683:I683,weights!$B$5:$I$5)</f>
        <v>1.8016185980527032E-2</v>
      </c>
      <c r="L683" s="4">
        <f t="shared" si="20"/>
        <v>169.47290540798849</v>
      </c>
      <c r="M683" s="4">
        <f>L683/MAX(L$2:L683)-1</f>
        <v>0</v>
      </c>
      <c r="N683" s="4">
        <f t="shared" si="21"/>
        <v>5.6101810277654485E-2</v>
      </c>
    </row>
    <row r="684" spans="1:14">
      <c r="A684" s="3">
        <f>prices!A685</f>
        <v>44477</v>
      </c>
      <c r="B684" s="5">
        <f>prices!B685/prices!B684-1</f>
        <v>3.8426216000480684E-2</v>
      </c>
      <c r="C684" s="5">
        <f>prices!C685/prices!C684-1</f>
        <v>1.0979489969719758E-2</v>
      </c>
      <c r="D684" s="5">
        <f>prices!D685/prices!D684-1</f>
        <v>-4.870280671488203E-3</v>
      </c>
      <c r="E684" s="5">
        <f>prices!E685/prices!E684-1</f>
        <v>1.9432241769135272E-2</v>
      </c>
      <c r="F684" s="5">
        <f>prices!F685/prices!F684-1</f>
        <v>-5.3429287972958095E-3</v>
      </c>
      <c r="G684" s="5">
        <f>prices!G685/prices!G684-1</f>
        <v>-8.3409969503929204E-3</v>
      </c>
      <c r="H684" s="5">
        <f>prices!H685/prices!H684-1</f>
        <v>-2.246101227698527E-3</v>
      </c>
      <c r="I684" s="5">
        <f>prices!I685/prices!I684-1</f>
        <v>8.4423444402799142E-3</v>
      </c>
      <c r="J684" s="5">
        <f>prices!J685/prices!J684-1</f>
        <v>5.893644588217839E-3</v>
      </c>
      <c r="K684" s="8">
        <f>SUMPRODUCT(B684:I684,weights!$B$5:$I$5)</f>
        <v>6.3962330887319162E-3</v>
      </c>
      <c r="L684" s="4">
        <f t="shared" si="20"/>
        <v>170.55689361320262</v>
      </c>
      <c r="M684" s="4">
        <f>L684/MAX(L$2:L684)-1</f>
        <v>0</v>
      </c>
      <c r="N684" s="4">
        <f t="shared" si="21"/>
        <v>6.1800220625151336E-2</v>
      </c>
    </row>
    <row r="685" spans="1:14">
      <c r="A685" s="3">
        <f>prices!A686</f>
        <v>44480</v>
      </c>
      <c r="B685" s="5">
        <f>prices!B686/prices!B685-1</f>
        <v>-6.9677483345178537E-3</v>
      </c>
      <c r="C685" s="5">
        <f>prices!C686/prices!C685-1</f>
        <v>-6.3532316044096149E-2</v>
      </c>
      <c r="D685" s="5">
        <f>prices!D686/prices!D685-1</f>
        <v>1.9429775430735541E-2</v>
      </c>
      <c r="E685" s="5">
        <f>prices!E686/prices!E685-1</f>
        <v>-1.9088468992893515E-2</v>
      </c>
      <c r="F685" s="5">
        <f>prices!F686/prices!F685-1</f>
        <v>2.7406270554702905E-2</v>
      </c>
      <c r="G685" s="5">
        <f>prices!G686/prices!G685-1</f>
        <v>3.6446456406599159E-2</v>
      </c>
      <c r="H685" s="5">
        <f>prices!H686/prices!H685-1</f>
        <v>1.3570898672328635E-2</v>
      </c>
      <c r="I685" s="5">
        <f>prices!I686/prices!I685-1</f>
        <v>-5.794364051789791E-3</v>
      </c>
      <c r="J685" s="5">
        <f>prices!J686/prices!J685-1</f>
        <v>2.8359560105504222E-3</v>
      </c>
      <c r="K685" s="8">
        <f>SUMPRODUCT(B685:I685,weights!$B$5:$I$5)</f>
        <v>3.6440484586252936E-3</v>
      </c>
      <c r="L685" s="4">
        <f t="shared" si="20"/>
        <v>171.17841119848174</v>
      </c>
      <c r="M685" s="4">
        <f>L685/MAX(L$2:L685)-1</f>
        <v>0</v>
      </c>
      <c r="N685" s="4">
        <f t="shared" si="21"/>
        <v>6.4167712011923728E-2</v>
      </c>
    </row>
    <row r="686" spans="1:14">
      <c r="A686" s="3">
        <f>prices!A687</f>
        <v>44481</v>
      </c>
      <c r="B686" s="5">
        <f>prices!B687/prices!B686-1</f>
        <v>5.7098624139566567E-3</v>
      </c>
      <c r="C686" s="5">
        <f>prices!C687/prices!C686-1</f>
        <v>-8.8859598710676613E-3</v>
      </c>
      <c r="D686" s="5">
        <f>prices!D687/prices!D686-1</f>
        <v>-2.5639348551246277E-3</v>
      </c>
      <c r="E686" s="5">
        <f>prices!E687/prices!E686-1</f>
        <v>-3.4289128648736789E-3</v>
      </c>
      <c r="F686" s="5">
        <f>prices!F687/prices!F686-1</f>
        <v>1.3657703798548804E-2</v>
      </c>
      <c r="G686" s="5">
        <f>prices!G687/prices!G686-1</f>
        <v>-9.0971642412085441E-4</v>
      </c>
      <c r="H686" s="5">
        <f>prices!H687/prices!H686-1</f>
        <v>-3.4198604293123047E-3</v>
      </c>
      <c r="I686" s="5">
        <f>prices!I687/prices!I686-1</f>
        <v>7.5992498804966502E-4</v>
      </c>
      <c r="J686" s="5">
        <f>prices!J687/prices!J686-1</f>
        <v>2.5632524330001516E-3</v>
      </c>
      <c r="K686" s="8">
        <f>SUMPRODUCT(B686:I686,weights!$B$5:$I$5)</f>
        <v>6.4507946233382499E-5</v>
      </c>
      <c r="L686" s="4">
        <f t="shared" si="20"/>
        <v>171.18945356622766</v>
      </c>
      <c r="M686" s="4">
        <f>L686/MAX(L$2:L686)-1</f>
        <v>0</v>
      </c>
      <c r="N686" s="4">
        <f t="shared" si="21"/>
        <v>5.9345602380102447E-2</v>
      </c>
    </row>
    <row r="687" spans="1:14">
      <c r="A687" s="3">
        <f>prices!A688</f>
        <v>44482</v>
      </c>
      <c r="B687" s="5">
        <f>prices!B688/prices!B687-1</f>
        <v>1.0179675409049072E-2</v>
      </c>
      <c r="C687" s="5">
        <f>prices!C688/prices!C687-1</f>
        <v>6.4287807691210119E-4</v>
      </c>
      <c r="D687" s="5">
        <f>prices!D688/prices!D687-1</f>
        <v>6.0066361526054379E-3</v>
      </c>
      <c r="E687" s="5">
        <f>prices!E688/prices!E687-1</f>
        <v>1.4273839696944846E-2</v>
      </c>
      <c r="F687" s="5">
        <f>prices!F688/prices!F687-1</f>
        <v>3.2736842105263175E-2</v>
      </c>
      <c r="G687" s="5">
        <f>prices!G688/prices!G687-1</f>
        <v>-2.7508251386573201E-2</v>
      </c>
      <c r="H687" s="5">
        <f>prices!H688/prices!H687-1</f>
        <v>1.5486501544851317E-2</v>
      </c>
      <c r="I687" s="5">
        <f>prices!I688/prices!I687-1</f>
        <v>1.9700180038947135E-2</v>
      </c>
      <c r="J687" s="5">
        <f>prices!J688/prices!J687-1</f>
        <v>9.4375540172131345E-3</v>
      </c>
      <c r="K687" s="8">
        <f>SUMPRODUCT(B687:I687,weights!$B$5:$I$5)</f>
        <v>6.6154981641023246E-3</v>
      </c>
      <c r="L687" s="4">
        <f t="shared" si="20"/>
        <v>172.32195708200871</v>
      </c>
      <c r="M687" s="4">
        <f>L687/MAX(L$2:L687)-1</f>
        <v>0</v>
      </c>
      <c r="N687" s="4">
        <f t="shared" si="21"/>
        <v>6.0120423235025644E-2</v>
      </c>
    </row>
    <row r="688" spans="1:14">
      <c r="A688" s="3">
        <f>prices!A689</f>
        <v>44483</v>
      </c>
      <c r="B688" s="5">
        <f>prices!B689/prices!B688-1</f>
        <v>2.0236115321279335E-3</v>
      </c>
      <c r="C688" s="5">
        <f>prices!C689/prices!C688-1</f>
        <v>-1.0074733802164837E-2</v>
      </c>
      <c r="D688" s="5">
        <f>prices!D689/prices!D688-1</f>
        <v>2.9280248217242066E-2</v>
      </c>
      <c r="E688" s="5">
        <f>prices!E689/prices!E688-1</f>
        <v>3.8289211175075444E-3</v>
      </c>
      <c r="F688" s="5">
        <f>prices!F689/prices!F688-1</f>
        <v>2.9456732239323324E-2</v>
      </c>
      <c r="G688" s="5">
        <f>prices!G689/prices!G688-1</f>
        <v>1.9705702057621899E-3</v>
      </c>
      <c r="H688" s="5">
        <f>prices!H689/prices!H688-1</f>
        <v>-1.4838830351020516E-3</v>
      </c>
      <c r="I688" s="5">
        <f>prices!I689/prices!I688-1</f>
        <v>2.1259346004864454E-2</v>
      </c>
      <c r="J688" s="5">
        <f>prices!J689/prices!J688-1</f>
        <v>9.7347447244895413E-3</v>
      </c>
      <c r="K688" s="8">
        <f>SUMPRODUCT(B688:I688,weights!$B$5:$I$5)</f>
        <v>8.6848739246294434E-3</v>
      </c>
      <c r="L688" s="4">
        <f t="shared" si="20"/>
        <v>173.81855155371136</v>
      </c>
      <c r="M688" s="4">
        <f>L688/MAX(L$2:L688)-1</f>
        <v>0</v>
      </c>
      <c r="N688" s="4">
        <f t="shared" si="21"/>
        <v>6.0209405967654561E-2</v>
      </c>
    </row>
    <row r="689" spans="1:14">
      <c r="A689" s="3">
        <f>prices!A690</f>
        <v>44487</v>
      </c>
      <c r="B689" s="5">
        <f>prices!B690/prices!B689-1</f>
        <v>2.665445685412049E-3</v>
      </c>
      <c r="C689" s="5">
        <f>prices!C690/prices!C689-1</f>
        <v>9.8845791657120596E-3</v>
      </c>
      <c r="D689" s="5">
        <f>prices!D690/prices!D689-1</f>
        <v>-1.0132610540448117E-2</v>
      </c>
      <c r="E689" s="5">
        <f>prices!E690/prices!E689-1</f>
        <v>4.4527125143037027E-2</v>
      </c>
      <c r="F689" s="5">
        <f>prices!F690/prices!F689-1</f>
        <v>2.3415841584158326E-2</v>
      </c>
      <c r="G689" s="5">
        <f>prices!G690/prices!G689-1</f>
        <v>2.1355678411894008E-2</v>
      </c>
      <c r="H689" s="5">
        <f>prices!H690/prices!H689-1</f>
        <v>-6.4189020430590604E-3</v>
      </c>
      <c r="I689" s="5">
        <f>prices!I690/prices!I689-1</f>
        <v>-4.7631648584278707E-4</v>
      </c>
      <c r="J689" s="5">
        <f>prices!J690/prices!J689-1</f>
        <v>7.5523964544634836E-3</v>
      </c>
      <c r="K689" s="8">
        <f>SUMPRODUCT(B689:I689,weights!$B$5:$I$5)</f>
        <v>9.2748517247137514E-3</v>
      </c>
      <c r="L689" s="4">
        <f t="shared" si="20"/>
        <v>175.43069284637653</v>
      </c>
      <c r="M689" s="4">
        <f>L689/MAX(L$2:L689)-1</f>
        <v>0</v>
      </c>
      <c r="N689" s="4">
        <f t="shared" si="21"/>
        <v>7.3692871905081558E-2</v>
      </c>
    </row>
    <row r="690" spans="1:14">
      <c r="A690" s="3">
        <f>prices!A691</f>
        <v>44488</v>
      </c>
      <c r="B690" s="5">
        <f>prices!B691/prices!B690-1</f>
        <v>8.9536173266357988E-3</v>
      </c>
      <c r="C690" s="5">
        <f>prices!C691/prices!C690-1</f>
        <v>-3.5629341439979978E-3</v>
      </c>
      <c r="D690" s="5">
        <f>prices!D691/prices!D690-1</f>
        <v>1.1016851560400776E-2</v>
      </c>
      <c r="E690" s="5">
        <f>prices!E691/prices!E690-1</f>
        <v>1.6740234862996584E-2</v>
      </c>
      <c r="F690" s="5">
        <f>prices!F691/prices!F690-1</f>
        <v>-6.3222560828133267E-2</v>
      </c>
      <c r="G690" s="5">
        <f>prices!G691/prices!G690-1</f>
        <v>-1.7641966545911547E-4</v>
      </c>
      <c r="H690" s="5">
        <f>prices!H691/prices!H690-1</f>
        <v>-1.0231014806063143E-2</v>
      </c>
      <c r="I690" s="5">
        <f>prices!I691/prices!I690-1</f>
        <v>3.2210808711920613E-2</v>
      </c>
      <c r="J690" s="5">
        <f>prices!J691/prices!J690-1</f>
        <v>-3.1552655862272516E-3</v>
      </c>
      <c r="K690" s="8">
        <f>SUMPRODUCT(B690:I690,weights!$B$5:$I$5)</f>
        <v>2.5464649405776254E-3</v>
      </c>
      <c r="L690" s="4">
        <f t="shared" si="20"/>
        <v>175.87742095521105</v>
      </c>
      <c r="M690" s="4">
        <f>L690/MAX(L$2:L690)-1</f>
        <v>0</v>
      </c>
      <c r="N690" s="4">
        <f t="shared" si="21"/>
        <v>8.2860393657430809E-2</v>
      </c>
    </row>
    <row r="691" spans="1:14">
      <c r="A691" s="3">
        <f>prices!A692</f>
        <v>44489</v>
      </c>
      <c r="B691" s="5">
        <f>prices!B692/prices!B691-1</f>
        <v>-1.1508930736280565E-2</v>
      </c>
      <c r="C691" s="5">
        <f>prices!C692/prices!C691-1</f>
        <v>-6.9616571399666594E-3</v>
      </c>
      <c r="D691" s="5">
        <f>prices!D692/prices!D691-1</f>
        <v>-8.7959095856429137E-3</v>
      </c>
      <c r="E691" s="5">
        <f>prices!E692/prices!E691-1</f>
        <v>-1.0862990220788404E-2</v>
      </c>
      <c r="F691" s="5">
        <f>prices!F692/prices!F691-1</f>
        <v>2.6334813590829231E-3</v>
      </c>
      <c r="G691" s="5">
        <f>prices!G692/prices!G691-1</f>
        <v>-8.4764773308602104E-3</v>
      </c>
      <c r="H691" s="5">
        <f>prices!H692/prices!H691-1</f>
        <v>-1.5048001219078566E-2</v>
      </c>
      <c r="I691" s="5">
        <f>prices!I692/prices!I691-1</f>
        <v>-2.1316735917560115E-2</v>
      </c>
      <c r="J691" s="5">
        <f>prices!J692/prices!J691-1</f>
        <v>-8.2606040040720252E-3</v>
      </c>
      <c r="K691" s="8">
        <f>SUMPRODUCT(B691:I691,weights!$B$5:$I$5)</f>
        <v>-1.1547187654750091E-2</v>
      </c>
      <c r="L691" s="4">
        <f t="shared" si="20"/>
        <v>173.84653137120776</v>
      </c>
      <c r="M691" s="4">
        <f>L691/MAX(L$2:L691)-1</f>
        <v>-1.1547187654750046E-2</v>
      </c>
      <c r="N691" s="4">
        <f t="shared" si="21"/>
        <v>6.6044685437129713E-2</v>
      </c>
    </row>
    <row r="692" spans="1:14">
      <c r="A692" s="3">
        <f>prices!A693</f>
        <v>44490</v>
      </c>
      <c r="B692" s="5">
        <f>prices!B693/prices!B692-1</f>
        <v>-2.884568214151384E-2</v>
      </c>
      <c r="C692" s="5">
        <f>prices!C693/prices!C692-1</f>
        <v>-2.1155548197719143E-2</v>
      </c>
      <c r="D692" s="5">
        <f>prices!D693/prices!D692-1</f>
        <v>1.468353783883769E-3</v>
      </c>
      <c r="E692" s="5">
        <f>prices!E693/prices!E692-1</f>
        <v>-2.7022550643393983E-2</v>
      </c>
      <c r="F692" s="5">
        <f>prices!F693/prices!F692-1</f>
        <v>-7.7251892671370559E-3</v>
      </c>
      <c r="G692" s="5">
        <f>prices!G693/prices!G692-1</f>
        <v>-2.0430826958759418E-3</v>
      </c>
      <c r="H692" s="5">
        <f>prices!H693/prices!H692-1</f>
        <v>4.2932841689982126E-3</v>
      </c>
      <c r="I692" s="5">
        <f>prices!I693/prices!I692-1</f>
        <v>-5.2414259007960151E-4</v>
      </c>
      <c r="J692" s="5">
        <f>prices!J693/prices!J692-1</f>
        <v>-4.8449081930955762E-3</v>
      </c>
      <c r="K692" s="8">
        <f>SUMPRODUCT(B692:I692,weights!$B$5:$I$5)</f>
        <v>-8.2088917927519173E-3</v>
      </c>
      <c r="L692" s="4">
        <f t="shared" si="20"/>
        <v>172.41944400663627</v>
      </c>
      <c r="M692" s="4">
        <f>L692/MAX(L$2:L692)-1</f>
        <v>-1.9661289833533546E-2</v>
      </c>
      <c r="N692" s="4">
        <f t="shared" si="21"/>
        <v>5.4550414544539017E-2</v>
      </c>
    </row>
    <row r="693" spans="1:14">
      <c r="A693" s="3">
        <f>prices!A694</f>
        <v>44491</v>
      </c>
      <c r="B693" s="5">
        <f>prices!B694/prices!B693-1</f>
        <v>1.8690329859065713E-3</v>
      </c>
      <c r="C693" s="5">
        <f>prices!C694/prices!C693-1</f>
        <v>-9.5265354179608908E-3</v>
      </c>
      <c r="D693" s="5">
        <f>prices!D694/prices!D693-1</f>
        <v>2.6519111609759616E-3</v>
      </c>
      <c r="E693" s="5">
        <f>prices!E694/prices!E693-1</f>
        <v>-1.9301025285128781E-2</v>
      </c>
      <c r="F693" s="5">
        <f>prices!F694/prices!F693-1</f>
        <v>-3.3061711735090982E-2</v>
      </c>
      <c r="G693" s="5">
        <f>prices!G694/prices!G693-1</f>
        <v>-2.1958684220712121E-2</v>
      </c>
      <c r="H693" s="5">
        <f>prices!H694/prices!H693-1</f>
        <v>-7.1377220909931705E-3</v>
      </c>
      <c r="I693" s="5">
        <f>prices!I694/prices!I693-1</f>
        <v>-7.4758622297066424E-3</v>
      </c>
      <c r="J693" s="5">
        <f>prices!J694/prices!J693-1</f>
        <v>-3.4767109873967694E-3</v>
      </c>
      <c r="K693" s="8">
        <f>SUMPRODUCT(B693:I693,weights!$B$5:$I$5)</f>
        <v>-1.1619227374831129E-2</v>
      </c>
      <c r="L693" s="4">
        <f t="shared" si="20"/>
        <v>170.4160632828812</v>
      </c>
      <c r="M693" s="4">
        <f>L693/MAX(L$2:L693)-1</f>
        <v>-3.105206821130635E-2</v>
      </c>
      <c r="N693" s="4">
        <f t="shared" si="21"/>
        <v>2.8799568070188908E-2</v>
      </c>
    </row>
    <row r="694" spans="1:14">
      <c r="A694" s="3">
        <f>prices!A695</f>
        <v>44494</v>
      </c>
      <c r="B694" s="5">
        <f>prices!B695/prices!B694-1</f>
        <v>-9.7478991596637865E-3</v>
      </c>
      <c r="C694" s="5">
        <f>prices!C695/prices!C694-1</f>
        <v>-1.6878579309621555E-3</v>
      </c>
      <c r="D694" s="5">
        <f>prices!D695/prices!D694-1</f>
        <v>-1.4127311106024831E-2</v>
      </c>
      <c r="E694" s="5">
        <f>prices!E695/prices!E694-1</f>
        <v>-7.12330596167976E-3</v>
      </c>
      <c r="F694" s="5">
        <f>prices!F695/prices!F694-1</f>
        <v>-1.3526570048309261E-2</v>
      </c>
      <c r="G694" s="5">
        <f>prices!G695/prices!G694-1</f>
        <v>-2.0016423587211118E-2</v>
      </c>
      <c r="H694" s="5">
        <f>prices!H695/prices!H694-1</f>
        <v>7.8872510990435352E-4</v>
      </c>
      <c r="I694" s="5">
        <f>prices!I695/prices!I694-1</f>
        <v>-4.5204771745255279E-3</v>
      </c>
      <c r="J694" s="5">
        <f>prices!J695/prices!J694-1</f>
        <v>5.7963334050969983E-4</v>
      </c>
      <c r="K694" s="8">
        <f>SUMPRODUCT(B694:I694,weights!$B$5:$I$5)</f>
        <v>-8.8364393843689687E-3</v>
      </c>
      <c r="L694" s="4">
        <f t="shared" si="20"/>
        <v>168.91019206955923</v>
      </c>
      <c r="M694" s="4">
        <f>L694/MAX(L$2:L694)-1</f>
        <v>-3.9614117877166843E-2</v>
      </c>
      <c r="N694" s="4">
        <f t="shared" si="21"/>
        <v>1.5828072190551046E-2</v>
      </c>
    </row>
    <row r="695" spans="1:14">
      <c r="A695" s="3">
        <f>prices!A696</f>
        <v>44495</v>
      </c>
      <c r="B695" s="5">
        <f>prices!B696/prices!B695-1</f>
        <v>2.2776646300067815E-2</v>
      </c>
      <c r="C695" s="5">
        <f>prices!C696/prices!C695-1</f>
        <v>-2.9636793042424614E-3</v>
      </c>
      <c r="D695" s="5">
        <f>prices!D696/prices!D695-1</f>
        <v>-2.5667152493840106E-3</v>
      </c>
      <c r="E695" s="5">
        <f>prices!E696/prices!E695-1</f>
        <v>6.5894313589693887E-3</v>
      </c>
      <c r="F695" s="5">
        <f>prices!F696/prices!F695-1</f>
        <v>1.4147350092501787E-2</v>
      </c>
      <c r="G695" s="5">
        <f>prices!G696/prices!G695-1</f>
        <v>5.0608849409468082E-3</v>
      </c>
      <c r="H695" s="5">
        <f>prices!H696/prices!H695-1</f>
        <v>3.7467216185826935E-4</v>
      </c>
      <c r="I695" s="5">
        <f>prices!I696/prices!I695-1</f>
        <v>6.782019980420495E-3</v>
      </c>
      <c r="J695" s="5">
        <f>prices!J696/prices!J695-1</f>
        <v>7.8894810597283094E-3</v>
      </c>
      <c r="K695" s="8">
        <f>SUMPRODUCT(B695:I695,weights!$B$5:$I$5)</f>
        <v>6.5658822478640464E-3</v>
      </c>
      <c r="L695" s="4">
        <f t="shared" si="20"/>
        <v>170.01923650115205</v>
      </c>
      <c r="M695" s="4">
        <f>L695/MAX(L$2:L695)-1</f>
        <v>-3.3308337262637266E-2</v>
      </c>
      <c r="N695" s="4">
        <f t="shared" si="21"/>
        <v>1.3967239147983257E-2</v>
      </c>
    </row>
    <row r="696" spans="1:14">
      <c r="A696" s="3">
        <f>prices!A697</f>
        <v>44496</v>
      </c>
      <c r="B696" s="5">
        <f>prices!B697/prices!B696-1</f>
        <v>-1.2644784441273149E-2</v>
      </c>
      <c r="C696" s="5">
        <f>prices!C697/prices!C696-1</f>
        <v>2.0553390979600739E-3</v>
      </c>
      <c r="D696" s="5">
        <f>prices!D697/prices!D696-1</f>
        <v>-6.0259659649305464E-3</v>
      </c>
      <c r="E696" s="5">
        <f>prices!E697/prices!E696-1</f>
        <v>1.481600235132241E-2</v>
      </c>
      <c r="F696" s="5">
        <f>prices!F697/prices!F696-1</f>
        <v>7.3505740959329824E-3</v>
      </c>
      <c r="G696" s="5">
        <f>prices!G697/prices!G696-1</f>
        <v>8.0718531252781389E-3</v>
      </c>
      <c r="H696" s="5">
        <f>prices!H697/prices!H696-1</f>
        <v>1.4258039519566168E-2</v>
      </c>
      <c r="I696" s="5">
        <f>prices!I697/prices!I696-1</f>
        <v>-6.5137421214180868E-3</v>
      </c>
      <c r="J696" s="5">
        <f>prices!J697/prices!J696-1</f>
        <v>-3.1447745834337626E-3</v>
      </c>
      <c r="K696" s="8">
        <f>SUMPRODUCT(B696:I696,weights!$B$5:$I$5)</f>
        <v>2.4297132714464027E-3</v>
      </c>
      <c r="L696" s="4">
        <f t="shared" si="20"/>
        <v>170.43233449648008</v>
      </c>
      <c r="M696" s="4">
        <f>L696/MAX(L$2:L696)-1</f>
        <v>-3.095955370028769E-2</v>
      </c>
      <c r="N696" s="4">
        <f t="shared" si="21"/>
        <v>1.6392292149362886E-2</v>
      </c>
    </row>
    <row r="697" spans="1:14">
      <c r="A697" s="3">
        <f>prices!A698</f>
        <v>44497</v>
      </c>
      <c r="B697" s="5">
        <f>prices!B698/prices!B697-1</f>
        <v>-1.0966386554621788E-2</v>
      </c>
      <c r="C697" s="5">
        <f>prices!C698/prices!C697-1</f>
        <v>-1.9513656596518048E-2</v>
      </c>
      <c r="D697" s="5">
        <f>prices!D698/prices!D697-1</f>
        <v>-2.9948221580412659E-2</v>
      </c>
      <c r="E697" s="5">
        <f>prices!E698/prices!E697-1</f>
        <v>-1.4487792997676441E-2</v>
      </c>
      <c r="F697" s="5">
        <f>prices!F698/prices!F697-1</f>
        <v>-5.5978695073235607E-2</v>
      </c>
      <c r="G697" s="5">
        <f>prices!G698/prices!G697-1</f>
        <v>1.827781423534347E-3</v>
      </c>
      <c r="H697" s="5">
        <f>prices!H698/prices!H697-1</f>
        <v>-2.1213741818830179E-2</v>
      </c>
      <c r="I697" s="5">
        <f>prices!I698/prices!I697-1</f>
        <v>1.6638758519846197E-2</v>
      </c>
      <c r="J697" s="5">
        <f>prices!J698/prices!J697-1</f>
        <v>-1.9422380490858537E-2</v>
      </c>
      <c r="K697" s="8">
        <f>SUMPRODUCT(B697:I697,weights!$B$5:$I$5)</f>
        <v>-1.0810859514326872E-2</v>
      </c>
      <c r="L697" s="4">
        <f t="shared" si="20"/>
        <v>168.58981447153985</v>
      </c>
      <c r="M697" s="4">
        <f>L697/MAX(L$2:L697)-1</f>
        <v>-4.1435713828934628E-2</v>
      </c>
      <c r="N697" s="4">
        <f t="shared" si="21"/>
        <v>2.530613974136342E-3</v>
      </c>
    </row>
    <row r="698" spans="1:14">
      <c r="A698" s="3">
        <f>prices!A699</f>
        <v>44498</v>
      </c>
      <c r="B698" s="5">
        <f>prices!B699/prices!B698-1</f>
        <v>-2.3994222354390637E-2</v>
      </c>
      <c r="C698" s="5">
        <f>prices!C699/prices!C698-1</f>
        <v>-6.987700170243305E-3</v>
      </c>
      <c r="D698" s="5">
        <f>prices!D699/prices!D698-1</f>
        <v>-6.7458827316130288E-3</v>
      </c>
      <c r="E698" s="5">
        <f>prices!E699/prices!E698-1</f>
        <v>-2.1212930804167751E-2</v>
      </c>
      <c r="F698" s="5">
        <f>prices!F699/prices!F698-1</f>
        <v>-8.4066802076281366E-3</v>
      </c>
      <c r="G698" s="5">
        <f>prices!G699/prices!G698-1</f>
        <v>1.529324002699739E-2</v>
      </c>
      <c r="H698" s="5">
        <f>prices!H699/prices!H698-1</f>
        <v>-1.5598168288494474E-2</v>
      </c>
      <c r="I698" s="5">
        <f>prices!I699/prices!I698-1</f>
        <v>-2.6231542806769315E-2</v>
      </c>
      <c r="J698" s="5">
        <f>prices!J699/prices!J698-1</f>
        <v>-1.0393537638774042E-2</v>
      </c>
      <c r="K698" s="8">
        <f>SUMPRODUCT(B698:I698,weights!$B$5:$I$5)</f>
        <v>-1.1217486010296807E-2</v>
      </c>
      <c r="L698" s="4">
        <f t="shared" si="20"/>
        <v>166.69866058622682</v>
      </c>
      <c r="M698" s="4">
        <f>L698/MAX(L$2:L698)-1</f>
        <v>-5.2188395299028745E-2</v>
      </c>
      <c r="N698" s="4">
        <f t="shared" si="21"/>
        <v>-4.4467338763936048E-3</v>
      </c>
    </row>
    <row r="699" spans="1:14">
      <c r="A699" s="3">
        <f>prices!A700</f>
        <v>44501</v>
      </c>
      <c r="B699" s="5">
        <f>prices!B700/prices!B699-1</f>
        <v>6.1808463406776148E-4</v>
      </c>
      <c r="C699" s="5">
        <f>prices!C700/prices!C699-1</f>
        <v>2.3149651030676788E-2</v>
      </c>
      <c r="D699" s="5">
        <f>prices!D700/prices!D699-1</f>
        <v>1.4191004712331701E-2</v>
      </c>
      <c r="E699" s="5">
        <f>prices!E700/prices!E699-1</f>
        <v>1.936619718309851E-2</v>
      </c>
      <c r="F699" s="5">
        <f>prices!F700/prices!F699-1</f>
        <v>1.633001422475111E-2</v>
      </c>
      <c r="G699" s="5">
        <f>prices!G700/prices!G699-1</f>
        <v>1.779471490669482E-2</v>
      </c>
      <c r="H699" s="5">
        <f>prices!H700/prices!H699-1</f>
        <v>2.1131506957934976E-2</v>
      </c>
      <c r="I699" s="5">
        <f>prices!I700/prices!I699-1</f>
        <v>1.6241520401660381E-2</v>
      </c>
      <c r="J699" s="5">
        <f>prices!J700/prices!J699-1</f>
        <v>1.4599655380227672E-2</v>
      </c>
      <c r="K699" s="8">
        <f>SUMPRODUCT(B699:I699,weights!$B$5:$I$5)</f>
        <v>1.6018545570077772E-2</v>
      </c>
      <c r="L699" s="4">
        <f t="shared" si="20"/>
        <v>169.36893067729824</v>
      </c>
      <c r="M699" s="4">
        <f>L699/MAX(L$2:L699)-1</f>
        <v>-3.7005831917277576E-2</v>
      </c>
      <c r="N699" s="4">
        <f t="shared" si="21"/>
        <v>1.7614982686341651E-2</v>
      </c>
    </row>
    <row r="700" spans="1:14">
      <c r="A700" s="3">
        <f>prices!A701</f>
        <v>44502</v>
      </c>
      <c r="B700" s="5">
        <f>prices!B701/prices!B700-1</f>
        <v>-1.4581267073828563E-2</v>
      </c>
      <c r="C700" s="5">
        <f>prices!C701/prices!C700-1</f>
        <v>2.2440791343607547E-3</v>
      </c>
      <c r="D700" s="5">
        <f>prices!D701/prices!D700-1</f>
        <v>9.0531473000310392E-4</v>
      </c>
      <c r="E700" s="5">
        <f>prices!E701/prices!E700-1</f>
        <v>-1.2652126762259241E-3</v>
      </c>
      <c r="F700" s="5">
        <f>prices!F701/prices!F700-1</f>
        <v>-5.486507669913876E-3</v>
      </c>
      <c r="G700" s="5">
        <f>prices!G701/prices!G700-1</f>
        <v>2.3136377574241695E-2</v>
      </c>
      <c r="H700" s="5">
        <f>prices!H701/prices!H700-1</f>
        <v>4.4390950975825572E-3</v>
      </c>
      <c r="I700" s="5">
        <f>prices!I701/prices!I700-1</f>
        <v>1.1305163218660264E-2</v>
      </c>
      <c r="J700" s="5">
        <f>prices!J701/prices!J700-1</f>
        <v>-2.2699829611844136E-3</v>
      </c>
      <c r="K700" s="8">
        <f>SUMPRODUCT(B700:I700,weights!$B$5:$I$5)</f>
        <v>5.2361175917813255E-3</v>
      </c>
      <c r="L700" s="4">
        <f t="shared" si="20"/>
        <v>170.25576631471881</v>
      </c>
      <c r="M700" s="4">
        <f>L700/MAX(L$2:L700)-1</f>
        <v>-3.1963481212996969E-2</v>
      </c>
      <c r="N700" s="4">
        <f t="shared" si="21"/>
        <v>1.5563378891258584E-2</v>
      </c>
    </row>
    <row r="701" spans="1:14">
      <c r="A701" s="3">
        <f>prices!A702</f>
        <v>44503</v>
      </c>
      <c r="B701" s="5">
        <f>prices!B702/prices!B701-1</f>
        <v>-6.8776155245177106E-3</v>
      </c>
      <c r="C701" s="5">
        <f>prices!C702/prices!C701-1</f>
        <v>2.3083036276640989E-3</v>
      </c>
      <c r="D701" s="5">
        <f>prices!D702/prices!D701-1</f>
        <v>-1.5748869380154185E-2</v>
      </c>
      <c r="E701" s="5">
        <f>prices!E702/prices!E701-1</f>
        <v>2.7079018452607073E-3</v>
      </c>
      <c r="F701" s="5">
        <f>prices!F702/prices!F701-1</f>
        <v>-1.4017113262778547E-2</v>
      </c>
      <c r="G701" s="5">
        <f>prices!G702/prices!G701-1</f>
        <v>-7.3795927582958054E-3</v>
      </c>
      <c r="H701" s="5">
        <f>prices!H702/prices!H701-1</f>
        <v>-3.3667907899653349E-2</v>
      </c>
      <c r="I701" s="5">
        <f>prices!I702/prices!I701-1</f>
        <v>4.0675942721040359E-2</v>
      </c>
      <c r="J701" s="5">
        <f>prices!J702/prices!J701-1</f>
        <v>-3.3400507016901892E-3</v>
      </c>
      <c r="K701" s="8">
        <f>SUMPRODUCT(B701:I701,weights!$B$5:$I$5)</f>
        <v>-1.2859740231344306E-3</v>
      </c>
      <c r="L701" s="4">
        <f t="shared" si="20"/>
        <v>170.03682182194925</v>
      </c>
      <c r="M701" s="4">
        <f>L701/MAX(L$2:L701)-1</f>
        <v>-3.3208351029602401E-2</v>
      </c>
      <c r="N701" s="4">
        <f t="shared" si="21"/>
        <v>9.2184922403726333E-3</v>
      </c>
    </row>
    <row r="702" spans="1:14">
      <c r="A702" s="3">
        <f>prices!A703</f>
        <v>44504</v>
      </c>
      <c r="B702" s="5">
        <f>prices!B703/prices!B702-1</f>
        <v>6.1340421559825664E-3</v>
      </c>
      <c r="C702" s="5">
        <f>prices!C703/prices!C702-1</f>
        <v>4.698094771230954E-3</v>
      </c>
      <c r="D702" s="5">
        <f>prices!D703/prices!D702-1</f>
        <v>7.9058327477159462E-3</v>
      </c>
      <c r="E702" s="5">
        <f>prices!E703/prices!E702-1</f>
        <v>3.6431211855854073E-3</v>
      </c>
      <c r="F702" s="5">
        <f>prices!F703/prices!F702-1</f>
        <v>1.8441335997716246E-2</v>
      </c>
      <c r="G702" s="5">
        <f>prices!G703/prices!G702-1</f>
        <v>1.7005421154960843E-3</v>
      </c>
      <c r="H702" s="5">
        <f>prices!H703/prices!H702-1</f>
        <v>9.5202538734366904E-3</v>
      </c>
      <c r="I702" s="5">
        <f>prices!I703/prices!I702-1</f>
        <v>1.0296361469667836E-2</v>
      </c>
      <c r="J702" s="5">
        <f>prices!J703/prices!J702-1</f>
        <v>4.913288313552977E-3</v>
      </c>
      <c r="K702" s="8">
        <f>SUMPRODUCT(B702:I702,weights!$B$5:$I$5)</f>
        <v>7.426560082680363E-3</v>
      </c>
      <c r="L702" s="4">
        <f t="shared" si="20"/>
        <v>171.29961049547796</v>
      </c>
      <c r="M702" s="4">
        <f>L702/MAX(L$2:L702)-1</f>
        <v>-2.6028414761090191E-2</v>
      </c>
      <c r="N702" s="4">
        <f t="shared" si="21"/>
        <v>2.8989121988205691E-2</v>
      </c>
    </row>
    <row r="703" spans="1:14">
      <c r="A703" s="3">
        <f>prices!A704</f>
        <v>44508</v>
      </c>
      <c r="B703" s="5">
        <f>prices!B704/prices!B703-1</f>
        <v>1.2458361681260133E-3</v>
      </c>
      <c r="C703" s="5">
        <f>prices!C704/prices!C703-1</f>
        <v>-1.6831433520748673E-3</v>
      </c>
      <c r="D703" s="5">
        <f>prices!D704/prices!D703-1</f>
        <v>3.9420227671926877E-3</v>
      </c>
      <c r="E703" s="5">
        <f>prices!E704/prices!E703-1</f>
        <v>1.6857375018315857E-2</v>
      </c>
      <c r="F703" s="5">
        <f>prices!F704/prices!F703-1</f>
        <v>1.4351384684381685E-2</v>
      </c>
      <c r="G703" s="5">
        <f>prices!G704/prices!G703-1</f>
        <v>-8.1057628364897827E-3</v>
      </c>
      <c r="H703" s="5">
        <f>prices!H704/prices!H703-1</f>
        <v>5.7190405748097639E-3</v>
      </c>
      <c r="I703" s="5">
        <f>prices!I704/prices!I703-1</f>
        <v>8.1685746884421206E-3</v>
      </c>
      <c r="J703" s="5">
        <f>prices!J704/prices!J703-1</f>
        <v>8.469704411502077E-3</v>
      </c>
      <c r="K703" s="8">
        <f>SUMPRODUCT(B703:I703,weights!$B$5:$I$5)</f>
        <v>3.8289192858159482E-3</v>
      </c>
      <c r="L703" s="4">
        <f t="shared" si="20"/>
        <v>171.95550287775686</v>
      </c>
      <c r="M703" s="4">
        <f>L703/MAX(L$2:L703)-1</f>
        <v>-2.2299156174532153E-2</v>
      </c>
      <c r="N703" s="4">
        <f t="shared" si="21"/>
        <v>1.4648934375626421E-2</v>
      </c>
    </row>
    <row r="704" spans="1:14">
      <c r="A704" s="3">
        <f>prices!A705</f>
        <v>44509</v>
      </c>
      <c r="B704" s="5">
        <f>prices!B705/prices!B704-1</f>
        <v>7.8893026703610314E-3</v>
      </c>
      <c r="C704" s="5">
        <f>prices!C705/prices!C704-1</f>
        <v>8.4299054997738487E-4</v>
      </c>
      <c r="D704" s="5">
        <f>prices!D705/prices!D704-1</f>
        <v>-1.749582637729552E-2</v>
      </c>
      <c r="E704" s="5">
        <f>prices!E705/prices!E704-1</f>
        <v>2.8754265652735089E-3</v>
      </c>
      <c r="F704" s="5">
        <f>prices!F705/prices!F704-1</f>
        <v>-4.5318890239858245E-3</v>
      </c>
      <c r="G704" s="5">
        <f>prices!G705/prices!G704-1</f>
        <v>-1.3930696725611758E-2</v>
      </c>
      <c r="H704" s="5">
        <f>prices!H705/prices!H704-1</f>
        <v>1.6941361875368877E-3</v>
      </c>
      <c r="I704" s="5">
        <f>prices!I705/prices!I704-1</f>
        <v>9.9010983603868841E-3</v>
      </c>
      <c r="J704" s="5">
        <f>prices!J705/prices!J704-1</f>
        <v>-1.3448782553109329E-3</v>
      </c>
      <c r="K704" s="8">
        <f>SUMPRODUCT(B704:I704,weights!$B$5:$I$5)</f>
        <v>-8.5969029019350527E-4</v>
      </c>
      <c r="L704" s="4">
        <f t="shared" si="20"/>
        <v>171.80767440158752</v>
      </c>
      <c r="M704" s="4">
        <f>L704/MAX(L$2:L704)-1</f>
        <v>-2.3139676096682882E-2</v>
      </c>
      <c r="N704" s="4">
        <f t="shared" si="21"/>
        <v>7.333510606856386E-3</v>
      </c>
    </row>
    <row r="705" spans="1:14">
      <c r="A705" s="3">
        <f>prices!A706</f>
        <v>44510</v>
      </c>
      <c r="B705" s="5">
        <f>prices!B706/prices!B705-1</f>
        <v>1.1189717367702245E-2</v>
      </c>
      <c r="C705" s="5">
        <f>prices!C706/prices!C705-1</f>
        <v>-6.1057143980807194E-3</v>
      </c>
      <c r="D705" s="5">
        <f>prices!D706/prices!D705-1</f>
        <v>-1.080676952355053E-2</v>
      </c>
      <c r="E705" s="5">
        <f>prices!E706/prices!E705-1</f>
        <v>-1.3519515126181325E-3</v>
      </c>
      <c r="F705" s="5">
        <f>prices!F706/prices!F705-1</f>
        <v>9.160559626915532E-3</v>
      </c>
      <c r="G705" s="5">
        <f>prices!G706/prices!G705-1</f>
        <v>-8.6965053674282755E-3</v>
      </c>
      <c r="H705" s="5">
        <f>prices!H706/prices!H705-1</f>
        <v>1.2166662296457575E-2</v>
      </c>
      <c r="I705" s="5">
        <f>prices!I706/prices!I705-1</f>
        <v>3.3672585534862964E-3</v>
      </c>
      <c r="J705" s="5">
        <f>prices!J706/prices!J705-1</f>
        <v>-1.4990925086938445E-3</v>
      </c>
      <c r="K705" s="8">
        <f>SUMPRODUCT(B705:I705,weights!$B$5:$I$5)</f>
        <v>1.5441994078448508E-3</v>
      </c>
      <c r="L705" s="4">
        <f t="shared" si="20"/>
        <v>172.07297971066166</v>
      </c>
      <c r="M705" s="4">
        <f>L705/MAX(L$2:L705)-1</f>
        <v>-2.1631208962964221E-2</v>
      </c>
      <c r="N705" s="4">
        <f t="shared" si="21"/>
        <v>5.2259423715683706E-3</v>
      </c>
    </row>
    <row r="706" spans="1:14">
      <c r="A706" s="3">
        <f>prices!A707</f>
        <v>44511</v>
      </c>
      <c r="B706" s="5">
        <f>prices!B707/prices!B706-1</f>
        <v>1.8183392501514017E-3</v>
      </c>
      <c r="C706" s="5">
        <f>prices!C707/prices!C706-1</f>
        <v>1.1211464711915475E-3</v>
      </c>
      <c r="D706" s="5">
        <f>prices!D707/prices!D706-1</f>
        <v>-4.4661261508863737E-3</v>
      </c>
      <c r="E706" s="5">
        <f>prices!E707/prices!E706-1</f>
        <v>-3.9305451097085831E-3</v>
      </c>
      <c r="F706" s="5">
        <f>prices!F707/prices!F706-1</f>
        <v>-3.6859767838478552E-3</v>
      </c>
      <c r="G706" s="5">
        <f>prices!G707/prices!G706-1</f>
        <v>-7.7481664670843164E-3</v>
      </c>
      <c r="H706" s="5">
        <f>prices!H707/prices!H706-1</f>
        <v>-2.0038340975622404E-2</v>
      </c>
      <c r="I706" s="5">
        <f>prices!I707/prices!I706-1</f>
        <v>-9.4581908040271001E-3</v>
      </c>
      <c r="J706" s="5">
        <f>prices!J707/prices!J706-1</f>
        <v>-7.9701618453479339E-3</v>
      </c>
      <c r="K706" s="8">
        <f>SUMPRODUCT(B706:I706,weights!$B$5:$I$5)</f>
        <v>-7.035208588811695E-3</v>
      </c>
      <c r="L706" s="4">
        <f t="shared" si="20"/>
        <v>170.8624104058988</v>
      </c>
      <c r="M706" s="4">
        <f>L706/MAX(L$2:L706)-1</f>
        <v>-2.8514237484693283E-2</v>
      </c>
      <c r="N706" s="4">
        <f t="shared" si="21"/>
        <v>-1.9104165210874768E-3</v>
      </c>
    </row>
    <row r="707" spans="1:14">
      <c r="A707" s="3">
        <f>prices!A708</f>
        <v>44512</v>
      </c>
      <c r="B707" s="5">
        <f>prices!B708/prices!B707-1</f>
        <v>1.5090751944684566E-2</v>
      </c>
      <c r="C707" s="5">
        <f>prices!C708/prices!C707-1</f>
        <v>1.0849766634497104E-2</v>
      </c>
      <c r="D707" s="5">
        <f>prices!D708/prices!D707-1</f>
        <v>3.0367865277105555E-3</v>
      </c>
      <c r="E707" s="5">
        <f>prices!E708/prices!E707-1</f>
        <v>2.7057726651959157E-2</v>
      </c>
      <c r="F707" s="5">
        <f>prices!F708/prices!F707-1</f>
        <v>1.258972943125336E-2</v>
      </c>
      <c r="G707" s="5">
        <f>prices!G708/prices!G707-1</f>
        <v>3.5418595535374742E-3</v>
      </c>
      <c r="H707" s="5">
        <f>prices!H708/prices!H707-1</f>
        <v>1.4658647809133507E-2</v>
      </c>
      <c r="I707" s="5">
        <f>prices!I708/prices!I707-1</f>
        <v>1.4625059235575E-2</v>
      </c>
      <c r="J707" s="5">
        <f>prices!J708/prices!J707-1</f>
        <v>1.2820584549279479E-2</v>
      </c>
      <c r="K707" s="8">
        <f>SUMPRODUCT(B707:I707,weights!$B$5:$I$5)</f>
        <v>1.2225688579594194E-2</v>
      </c>
      <c r="L707" s="4">
        <f t="shared" si="20"/>
        <v>172.95132102548013</v>
      </c>
      <c r="M707" s="4">
        <f>L707/MAX(L$2:L707)-1</f>
        <v>-1.6637155092671496E-2</v>
      </c>
      <c r="N707" s="4">
        <f t="shared" si="21"/>
        <v>3.6522562424932126E-3</v>
      </c>
    </row>
    <row r="708" spans="1:14">
      <c r="A708" s="3">
        <f>prices!A709</f>
        <v>44515</v>
      </c>
      <c r="B708" s="5">
        <f>prices!B709/prices!B708-1</f>
        <v>-5.9005840982239155E-3</v>
      </c>
      <c r="C708" s="5">
        <f>prices!C709/prices!C708-1</f>
        <v>7.7290278433992388E-3</v>
      </c>
      <c r="D708" s="5">
        <f>prices!D709/prices!D708-1</f>
        <v>2.7385949219018713E-3</v>
      </c>
      <c r="E708" s="5">
        <f>prices!E709/prices!E708-1</f>
        <v>3.8996324116988834E-3</v>
      </c>
      <c r="F708" s="5">
        <f>prices!F709/prices!F708-1</f>
        <v>2.2357945250299993E-2</v>
      </c>
      <c r="G708" s="5">
        <f>prices!G709/prices!G708-1</f>
        <v>3.107963947618364E-3</v>
      </c>
      <c r="H708" s="5">
        <f>prices!H709/prices!H708-1</f>
        <v>5.2107758845292285E-3</v>
      </c>
      <c r="I708" s="5">
        <f>prices!I709/prices!I708-1</f>
        <v>-6.5817022236061007E-3</v>
      </c>
      <c r="J708" s="5">
        <f>prices!J709/prices!J708-1</f>
        <v>3.7010951374805146E-4</v>
      </c>
      <c r="K708" s="8">
        <f>SUMPRODUCT(B708:I708,weights!$B$5:$I$5)</f>
        <v>2.4245461640821659E-3</v>
      </c>
      <c r="L708" s="4">
        <f t="shared" ref="L708:L771" si="22">L707*(1+K708)</f>
        <v>173.37064948744541</v>
      </c>
      <c r="M708" s="4">
        <f>L708/MAX(L$2:L708)-1</f>
        <v>-1.4252946479150541E-2</v>
      </c>
      <c r="N708" s="4">
        <f t="shared" si="21"/>
        <v>-2.5768369501545374E-3</v>
      </c>
    </row>
    <row r="709" spans="1:14">
      <c r="A709" s="3">
        <f>prices!A710</f>
        <v>44516</v>
      </c>
      <c r="B709" s="5">
        <f>prices!B710/prices!B709-1</f>
        <v>-2.3237090267487659E-2</v>
      </c>
      <c r="C709" s="5">
        <f>prices!C710/prices!C709-1</f>
        <v>8.7303204027588954E-4</v>
      </c>
      <c r="D709" s="5">
        <f>prices!D710/prices!D709-1</f>
        <v>-5.9425779534475476E-3</v>
      </c>
      <c r="E709" s="5">
        <f>prices!E710/prices!E709-1</f>
        <v>2.8847072308721966E-3</v>
      </c>
      <c r="F709" s="5">
        <f>prices!F710/prices!F709-1</f>
        <v>-1.11478557712823E-2</v>
      </c>
      <c r="G709" s="5">
        <f>prices!G710/prices!G709-1</f>
        <v>7.2937863042452644E-2</v>
      </c>
      <c r="H709" s="5">
        <f>prices!H710/prices!H709-1</f>
        <v>-1.5110673371002026E-2</v>
      </c>
      <c r="I709" s="5">
        <f>prices!I710/prices!I709-1</f>
        <v>4.2367385759369824E-3</v>
      </c>
      <c r="J709" s="5">
        <f>prices!J710/prices!J709-1</f>
        <v>-6.0879816891180605E-3</v>
      </c>
      <c r="K709" s="8">
        <f>SUMPRODUCT(B709:I709,weights!$B$5:$I$5)</f>
        <v>8.7224979264062148E-3</v>
      </c>
      <c r="L709" s="4">
        <f t="shared" si="22"/>
        <v>174.88287461809935</v>
      </c>
      <c r="M709" s="4">
        <f>L709/MAX(L$2:L709)-1</f>
        <v>-5.6547698488538245E-3</v>
      </c>
      <c r="N709" s="4">
        <f t="shared" si="21"/>
        <v>-3.1227045814434806E-3</v>
      </c>
    </row>
    <row r="710" spans="1:14">
      <c r="A710" s="3">
        <f>prices!A711</f>
        <v>44517</v>
      </c>
      <c r="B710" s="5">
        <f>prices!B711/prices!B710-1</f>
        <v>-2.1404770256050587E-2</v>
      </c>
      <c r="C710" s="5">
        <f>prices!C711/prices!C710-1</f>
        <v>-9.7015865631571163E-3</v>
      </c>
      <c r="D710" s="5">
        <f>prices!D711/prices!D710-1</f>
        <v>-1.1114025762449686E-2</v>
      </c>
      <c r="E710" s="5">
        <f>prices!E711/prices!E710-1</f>
        <v>-2.7049679975618135E-3</v>
      </c>
      <c r="F710" s="5">
        <f>prices!F711/prices!F710-1</f>
        <v>1.720696909218411E-2</v>
      </c>
      <c r="G710" s="5">
        <f>prices!G711/prices!G710-1</f>
        <v>2.7874215472667441E-2</v>
      </c>
      <c r="H710" s="5">
        <f>prices!H711/prices!H710-1</f>
        <v>-8.8949709202873484E-3</v>
      </c>
      <c r="I710" s="5">
        <f>prices!I711/prices!I710-1</f>
        <v>-1.2269146325712965E-3</v>
      </c>
      <c r="J710" s="5">
        <f>prices!J711/prices!J710-1</f>
        <v>-5.5863593937507394E-3</v>
      </c>
      <c r="K710" s="8">
        <f>SUMPRODUCT(B710:I710,weights!$B$5:$I$5)</f>
        <v>6.4179797704334873E-4</v>
      </c>
      <c r="L710" s="4">
        <f t="shared" si="22"/>
        <v>174.99511409324879</v>
      </c>
      <c r="M710" s="4">
        <f>L710/MAX(L$2:L710)-1</f>
        <v>-5.0166010916600223E-3</v>
      </c>
      <c r="N710" s="4">
        <f t="shared" si="21"/>
        <v>-5.0166010916600223E-3</v>
      </c>
    </row>
    <row r="711" spans="1:14">
      <c r="A711" s="3">
        <f>prices!A712</f>
        <v>44518</v>
      </c>
      <c r="B711" s="5">
        <f>prices!B712/prices!B711-1</f>
        <v>3.7724352368748715E-3</v>
      </c>
      <c r="C711" s="5">
        <f>prices!C712/prices!C711-1</f>
        <v>-1.311763132311583E-2</v>
      </c>
      <c r="D711" s="5">
        <f>prices!D712/prices!D711-1</f>
        <v>5.6124870856950615E-3</v>
      </c>
      <c r="E711" s="5">
        <f>prices!E712/prices!E711-1</f>
        <v>-4.5077740000764033E-3</v>
      </c>
      <c r="F711" s="5">
        <f>prices!F712/prices!F711-1</f>
        <v>-8.3253791494327656E-3</v>
      </c>
      <c r="G711" s="5">
        <f>prices!G712/prices!G711-1</f>
        <v>-1.9045714777449874E-2</v>
      </c>
      <c r="H711" s="5">
        <f>prices!H712/prices!H711-1</f>
        <v>-8.8951435171669146E-4</v>
      </c>
      <c r="I711" s="5">
        <f>prices!I712/prices!I711-1</f>
        <v>-2.8625460658175395E-2</v>
      </c>
      <c r="J711" s="5">
        <f>prices!J712/prices!J711-1</f>
        <v>-7.4782176309388104E-3</v>
      </c>
      <c r="K711" s="8">
        <f>SUMPRODUCT(B711:I711,weights!$B$5:$I$5)</f>
        <v>-1.0807513347862206E-2</v>
      </c>
      <c r="L711" s="4">
        <f t="shared" si="22"/>
        <v>173.10385206187533</v>
      </c>
      <c r="M711" s="4">
        <f>L711/MAX(L$2:L711)-1</f>
        <v>-1.5769897456263227E-2</v>
      </c>
      <c r="N711" s="4">
        <f t="shared" si="21"/>
        <v>-4.2720398472985144E-3</v>
      </c>
    </row>
    <row r="712" spans="1:14">
      <c r="A712" s="3">
        <f>prices!A713</f>
        <v>44522</v>
      </c>
      <c r="B712" s="5">
        <f>prices!B713/prices!B712-1</f>
        <v>-4.4295661489019866E-2</v>
      </c>
      <c r="C712" s="5">
        <f>prices!C713/prices!C712-1</f>
        <v>-4.9782984532895647E-3</v>
      </c>
      <c r="D712" s="5">
        <f>prices!D713/prices!D712-1</f>
        <v>-1.5618925973232667E-2</v>
      </c>
      <c r="E712" s="5">
        <f>prices!E713/prices!E712-1</f>
        <v>-1.1237320439515419E-2</v>
      </c>
      <c r="F712" s="5">
        <f>prices!F713/prices!F712-1</f>
        <v>-2.780599967916153E-2</v>
      </c>
      <c r="G712" s="5">
        <f>prices!G713/prices!G712-1</f>
        <v>-3.1138328641792445E-2</v>
      </c>
      <c r="H712" s="5">
        <f>prices!H713/prices!H712-1</f>
        <v>-2.5167762939339533E-2</v>
      </c>
      <c r="I712" s="5">
        <f>prices!I713/prices!I712-1</f>
        <v>-1.7133412094891054E-2</v>
      </c>
      <c r="J712" s="5">
        <f>prices!J713/prices!J712-1</f>
        <v>-1.9603372962262444E-2</v>
      </c>
      <c r="K712" s="8">
        <f>SUMPRODUCT(B712:I712,weights!$B$5:$I$5)</f>
        <v>-2.3737899034594188E-2</v>
      </c>
      <c r="L712" s="4">
        <f t="shared" si="22"/>
        <v>168.99473029913119</v>
      </c>
      <c r="M712" s="4">
        <f>L712/MAX(L$2:L712)-1</f>
        <v>-3.9133452257254842E-2</v>
      </c>
      <c r="N712" s="4">
        <f t="shared" si="21"/>
        <v>-1.9862688499176828E-2</v>
      </c>
    </row>
    <row r="713" spans="1:14">
      <c r="A713" s="3">
        <f>prices!A714</f>
        <v>44523</v>
      </c>
      <c r="B713" s="5">
        <f>prices!B714/prices!B713-1</f>
        <v>9.3500719236301322E-3</v>
      </c>
      <c r="C713" s="5">
        <f>prices!C714/prices!C713-1</f>
        <v>1.6909905749700194E-3</v>
      </c>
      <c r="D713" s="5">
        <f>prices!D714/prices!D713-1</f>
        <v>1.2693398022656233E-4</v>
      </c>
      <c r="E713" s="5">
        <f>prices!E714/prices!E713-1</f>
        <v>-1.2788087737795717E-2</v>
      </c>
      <c r="F713" s="5">
        <f>prices!F714/prices!F713-1</f>
        <v>3.0251361311259828E-3</v>
      </c>
      <c r="G713" s="5">
        <f>prices!G714/prices!G713-1</f>
        <v>-1.3222070871897751E-3</v>
      </c>
      <c r="H713" s="5">
        <f>prices!H714/prices!H713-1</f>
        <v>1.8742928804132974E-2</v>
      </c>
      <c r="I713" s="5">
        <f>prices!I714/prices!I713-1</f>
        <v>1.1721086669450598E-2</v>
      </c>
      <c r="J713" s="5">
        <f>prices!J714/prices!J713-1</f>
        <v>4.9837654414910393E-3</v>
      </c>
      <c r="K713" s="8">
        <f>SUMPRODUCT(B713:I713,weights!$B$5:$I$5)</f>
        <v>5.3959765068854748E-3</v>
      </c>
      <c r="L713" s="4">
        <f t="shared" si="22"/>
        <v>169.90662189361274</v>
      </c>
      <c r="M713" s="4">
        <f>L713/MAX(L$2:L713)-1</f>
        <v>-3.3948638939382936E-2</v>
      </c>
      <c r="N713" s="4">
        <f t="shared" si="21"/>
        <v>-2.9893977096678848E-3</v>
      </c>
    </row>
    <row r="714" spans="1:14">
      <c r="A714" s="3">
        <f>prices!A715</f>
        <v>44524</v>
      </c>
      <c r="B714" s="5">
        <f>prices!B715/prices!B714-1</f>
        <v>-1.4436557806383421E-2</v>
      </c>
      <c r="C714" s="5">
        <f>prices!C715/prices!C714-1</f>
        <v>-6.0461136390772552E-3</v>
      </c>
      <c r="D714" s="5">
        <f>prices!D715/prices!D714-1</f>
        <v>1.649932310469282E-3</v>
      </c>
      <c r="E714" s="5">
        <f>prices!E715/prices!E714-1</f>
        <v>-2.3548683003538184E-2</v>
      </c>
      <c r="F714" s="5">
        <f>prices!F715/prices!F714-1</f>
        <v>-1.6834832200044003E-2</v>
      </c>
      <c r="G714" s="5">
        <f>prices!G715/prices!G714-1</f>
        <v>-2.3497914733395131E-2</v>
      </c>
      <c r="H714" s="5">
        <f>prices!H715/prices!H714-1</f>
        <v>-7.9479768786128169E-3</v>
      </c>
      <c r="I714" s="5">
        <f>prices!I715/prices!I714-1</f>
        <v>-1.2645095075273782E-2</v>
      </c>
      <c r="J714" s="5">
        <f>prices!J715/prices!J714-1</f>
        <v>-5.0447485767010081E-3</v>
      </c>
      <c r="K714" s="8">
        <f>SUMPRODUCT(B714:I714,weights!$B$5:$I$5)</f>
        <v>-1.3906632549250836E-2</v>
      </c>
      <c r="L714" s="4">
        <f t="shared" si="22"/>
        <v>167.54379293525378</v>
      </c>
      <c r="M714" s="4">
        <f>L714/MAX(L$2:L714)-1</f>
        <v>-4.738316024135647E-2</v>
      </c>
      <c r="N714" s="4">
        <f t="shared" si="21"/>
        <v>-8.089500802549332E-3</v>
      </c>
    </row>
    <row r="715" spans="1:14">
      <c r="A715" s="3">
        <f>prices!A716</f>
        <v>44525</v>
      </c>
      <c r="B715" s="5">
        <f>prices!B716/prices!B715-1</f>
        <v>6.0197748335665047E-2</v>
      </c>
      <c r="C715" s="5">
        <f>prices!C716/prices!C715-1</f>
        <v>7.541050341517419E-4</v>
      </c>
      <c r="D715" s="5">
        <f>prices!D716/prices!D715-1</f>
        <v>5.2091399287614859E-3</v>
      </c>
      <c r="E715" s="5">
        <f>prices!E716/prices!E715-1</f>
        <v>1.5567753277951457E-2</v>
      </c>
      <c r="F715" s="5">
        <f>prices!F716/prices!F715-1</f>
        <v>1.578448323944448E-2</v>
      </c>
      <c r="G715" s="5">
        <f>prices!G716/prices!G715-1</f>
        <v>-1.2640633533588241E-2</v>
      </c>
      <c r="H715" s="5">
        <f>prices!H716/prices!H715-1</f>
        <v>5.0578619406005387E-3</v>
      </c>
      <c r="I715" s="5">
        <f>prices!I716/prices!I715-1</f>
        <v>-6.7622534065485684E-3</v>
      </c>
      <c r="J715" s="5">
        <f>prices!J716/prices!J715-1</f>
        <v>6.959497675860904E-3</v>
      </c>
      <c r="K715" s="8">
        <f>SUMPRODUCT(B715:I715,weights!$B$5:$I$5)</f>
        <v>7.7289567578979219E-3</v>
      </c>
      <c r="L715" s="4">
        <f t="shared" si="22"/>
        <v>168.83873166590456</v>
      </c>
      <c r="M715" s="4">
        <f>L715/MAX(L$2:L715)-1</f>
        <v>-4.002042588001653E-2</v>
      </c>
      <c r="N715" s="4">
        <f t="shared" si="21"/>
        <v>-6.9433604075705979E-3</v>
      </c>
    </row>
    <row r="716" spans="1:14">
      <c r="A716" s="3">
        <f>prices!A717</f>
        <v>44526</v>
      </c>
      <c r="B716" s="5">
        <f>prices!B717/prices!B716-1</f>
        <v>-3.2229209104596479E-2</v>
      </c>
      <c r="C716" s="5">
        <f>prices!C717/prices!C716-1</f>
        <v>2.7674138684119498E-4</v>
      </c>
      <c r="D716" s="5">
        <f>prices!D717/prices!D716-1</f>
        <v>-2.3627781901707334E-2</v>
      </c>
      <c r="E716" s="5">
        <f>prices!E717/prices!E716-1</f>
        <v>-1.7853131235711528E-2</v>
      </c>
      <c r="F716" s="5">
        <f>prices!F717/prices!F716-1</f>
        <v>-3.1517680650120838E-2</v>
      </c>
      <c r="G716" s="5">
        <f>prices!G717/prices!G716-1</f>
        <v>-5.3086392437446617E-2</v>
      </c>
      <c r="H716" s="5">
        <f>prices!H717/prices!H716-1</f>
        <v>-1.9914918743373922E-2</v>
      </c>
      <c r="I716" s="5">
        <f>prices!I717/prices!I716-1</f>
        <v>-3.8790774393538729E-2</v>
      </c>
      <c r="J716" s="5">
        <f>prices!J717/prices!J716-1</f>
        <v>-2.9071209637180129E-2</v>
      </c>
      <c r="K716" s="8">
        <f>SUMPRODUCT(B716:I716,weights!$B$5:$I$5)</f>
        <v>-3.0947560058423803E-2</v>
      </c>
      <c r="L716" s="4">
        <f t="shared" si="22"/>
        <v>163.61358487748589</v>
      </c>
      <c r="M716" s="4">
        <f>L716/MAX(L$2:L716)-1</f>
        <v>-6.972945140495479E-2</v>
      </c>
      <c r="N716" s="4">
        <f t="shared" si="21"/>
        <v>-4.0008544382961642E-2</v>
      </c>
    </row>
    <row r="717" spans="1:14">
      <c r="A717" s="3">
        <f>prices!A718</f>
        <v>44529</v>
      </c>
      <c r="B717" s="5">
        <f>prices!B718/prices!B717-1</f>
        <v>1.1979390689203839E-2</v>
      </c>
      <c r="C717" s="5">
        <f>prices!C718/prices!C717-1</f>
        <v>1.5999893334044391E-2</v>
      </c>
      <c r="D717" s="5">
        <f>prices!D718/prices!D717-1</f>
        <v>7.6170530181316476E-3</v>
      </c>
      <c r="E717" s="5">
        <f>prices!E718/prices!E717-1</f>
        <v>2.7784505260890491E-3</v>
      </c>
      <c r="F717" s="5">
        <f>prices!F718/prices!F717-1</f>
        <v>-1.1169066787617643E-2</v>
      </c>
      <c r="G717" s="5">
        <f>prices!G718/prices!G717-1</f>
        <v>-2.9295234924124891E-3</v>
      </c>
      <c r="H717" s="5">
        <f>prices!H718/prices!H717-1</f>
        <v>-2.1182205304451474E-2</v>
      </c>
      <c r="I717" s="5">
        <f>prices!I718/prices!I717-1</f>
        <v>-6.1244415515252504E-3</v>
      </c>
      <c r="J717" s="5">
        <f>prices!J718/prices!J717-1</f>
        <v>1.6151341001793273E-3</v>
      </c>
      <c r="K717" s="8">
        <f>SUMPRODUCT(B717:I717,weights!$B$5:$I$5)</f>
        <v>-2.1735185456437877E-3</v>
      </c>
      <c r="L717" s="4">
        <f t="shared" si="22"/>
        <v>163.25796771643542</v>
      </c>
      <c r="M717" s="4">
        <f>L717/MAX(L$2:L717)-1</f>
        <v>-7.1751411694792266E-2</v>
      </c>
      <c r="N717" s="4">
        <f t="shared" si="21"/>
        <v>-3.1626149965332084E-2</v>
      </c>
    </row>
    <row r="718" spans="1:14">
      <c r="A718" s="3">
        <f>prices!A719</f>
        <v>44530</v>
      </c>
      <c r="B718" s="5">
        <f>prices!B719/prices!B718-1</f>
        <v>-1.4785675529028652E-2</v>
      </c>
      <c r="C718" s="5">
        <f>prices!C719/prices!C718-1</f>
        <v>7.7525738020092216E-3</v>
      </c>
      <c r="D718" s="5">
        <f>prices!D719/prices!D718-1</f>
        <v>-5.1250658428596552E-3</v>
      </c>
      <c r="E718" s="5">
        <f>prices!E719/prices!E718-1</f>
        <v>9.6070630698323889E-3</v>
      </c>
      <c r="F718" s="5">
        <f>prices!F719/prices!F718-1</f>
        <v>-1.6054125336849578E-3</v>
      </c>
      <c r="G718" s="5">
        <f>prices!G719/prices!G718-1</f>
        <v>-1.1427366213253243E-2</v>
      </c>
      <c r="H718" s="5">
        <f>prices!H719/prices!H718-1</f>
        <v>3.3992669893405658E-3</v>
      </c>
      <c r="I718" s="5">
        <f>prices!I719/prices!I718-1</f>
        <v>-1.417004048582915E-3</v>
      </c>
      <c r="J718" s="5">
        <f>prices!J719/prices!J718-1</f>
        <v>-4.1485990049225929E-3</v>
      </c>
      <c r="K718" s="8">
        <f>SUMPRODUCT(B718:I718,weights!$B$5:$I$5)</f>
        <v>-2.890117314923822E-3</v>
      </c>
      <c r="L718" s="4">
        <f t="shared" si="22"/>
        <v>162.78613303713888</v>
      </c>
      <c r="M718" s="4">
        <f>L718/MAX(L$2:L718)-1</f>
        <v>-7.4434159012406687E-2</v>
      </c>
      <c r="N718" s="4">
        <f t="shared" si="21"/>
        <v>-2.3470659784120662E-2</v>
      </c>
    </row>
    <row r="719" spans="1:14">
      <c r="A719" s="3">
        <f>prices!A720</f>
        <v>44531</v>
      </c>
      <c r="B719" s="5">
        <f>prices!B720/prices!B719-1</f>
        <v>2.5609252375051517E-2</v>
      </c>
      <c r="C719" s="5">
        <f>prices!C720/prices!C719-1</f>
        <v>1.378412254000283E-2</v>
      </c>
      <c r="D719" s="5">
        <f>prices!D720/prices!D719-1</f>
        <v>7.4266989110369774E-3</v>
      </c>
      <c r="E719" s="5">
        <f>prices!E720/prices!E719-1</f>
        <v>1.3157107828478676E-3</v>
      </c>
      <c r="F719" s="5">
        <f>prices!F720/prices!F719-1</f>
        <v>3.3882731292711465E-3</v>
      </c>
      <c r="G719" s="5">
        <f>prices!G720/prices!G719-1</f>
        <v>2.9069035254724485E-2</v>
      </c>
      <c r="H719" s="5">
        <f>prices!H720/prices!H719-1</f>
        <v>-1.0957911026223677E-2</v>
      </c>
      <c r="I719" s="5">
        <f>prices!I720/prices!I719-1</f>
        <v>1.204373904437106E-2</v>
      </c>
      <c r="J719" s="5">
        <f>prices!J720/prices!J719-1</f>
        <v>1.0816571670827724E-2</v>
      </c>
      <c r="K719" s="8">
        <f>SUMPRODUCT(B719:I719,weights!$B$5:$I$5)</f>
        <v>1.1786930919577396E-2</v>
      </c>
      <c r="L719" s="4">
        <f t="shared" si="22"/>
        <v>164.70488194191279</v>
      </c>
      <c r="M719" s="4">
        <f>L719/MAX(L$2:L719)-1</f>
        <v>-6.3524578383165275E-2</v>
      </c>
      <c r="N719" s="4">
        <f t="shared" si="21"/>
        <v>-2.753780588171717E-2</v>
      </c>
    </row>
    <row r="720" spans="1:14">
      <c r="A720" s="3">
        <f>prices!A721</f>
        <v>44532</v>
      </c>
      <c r="B720" s="5">
        <f>prices!B721/prices!B720-1</f>
        <v>6.425918467803271E-3</v>
      </c>
      <c r="C720" s="5">
        <f>prices!C721/prices!C720-1</f>
        <v>1.8195305701045994E-2</v>
      </c>
      <c r="D720" s="5">
        <f>prices!D721/prices!D720-1</f>
        <v>1.4033692224652672E-2</v>
      </c>
      <c r="E720" s="5">
        <f>prices!E721/prices!E720-1</f>
        <v>1.9444278537631199E-2</v>
      </c>
      <c r="F720" s="5">
        <f>prices!F721/prices!F720-1</f>
        <v>1.6025641025641191E-2</v>
      </c>
      <c r="G720" s="5">
        <f>prices!G721/prices!G720-1</f>
        <v>7.108046043206917E-3</v>
      </c>
      <c r="H720" s="5">
        <f>prices!H721/prices!H720-1</f>
        <v>2.8050688580973482E-2</v>
      </c>
      <c r="I720" s="5">
        <f>prices!I721/prices!I720-1</f>
        <v>1.7909533291702306E-3</v>
      </c>
      <c r="J720" s="5">
        <f>prices!J721/prices!J720-1</f>
        <v>1.3674571413592407E-2</v>
      </c>
      <c r="K720" s="8">
        <f>SUMPRODUCT(B720:I720,weights!$B$5:$I$5)</f>
        <v>1.2412070666126837E-2</v>
      </c>
      <c r="L720" s="4">
        <f t="shared" si="22"/>
        <v>166.74921057563188</v>
      </c>
      <c r="M720" s="4">
        <f>L720/MAX(L$2:L720)-1</f>
        <v>-5.1900979272966219E-2</v>
      </c>
      <c r="N720" s="4">
        <f t="shared" si="21"/>
        <v>-2.0595811906922723E-2</v>
      </c>
    </row>
    <row r="721" spans="1:14">
      <c r="A721" s="3">
        <f>prices!A722</f>
        <v>44533</v>
      </c>
      <c r="B721" s="5">
        <f>prices!B722/prices!B721-1</f>
        <v>-3.0048108987754896E-2</v>
      </c>
      <c r="C721" s="5">
        <f>prices!C722/prices!C721-1</f>
        <v>-6.7178654219168799E-4</v>
      </c>
      <c r="D721" s="5">
        <f>prices!D722/prices!D721-1</f>
        <v>-7.9983190923097469E-3</v>
      </c>
      <c r="E721" s="5">
        <f>prices!E722/prices!E721-1</f>
        <v>-7.2648209508062722E-3</v>
      </c>
      <c r="F721" s="5">
        <f>prices!F722/prices!F721-1</f>
        <v>-1.6843172600270462E-2</v>
      </c>
      <c r="G721" s="5">
        <f>prices!G722/prices!G721-1</f>
        <v>-1.5869861701610644E-2</v>
      </c>
      <c r="H721" s="5">
        <f>prices!H722/prices!H721-1</f>
        <v>-1.8866631017509183E-2</v>
      </c>
      <c r="I721" s="5">
        <f>prices!I722/prices!I721-1</f>
        <v>6.7334721193088587E-3</v>
      </c>
      <c r="J721" s="5">
        <f>prices!J722/prices!J721-1</f>
        <v>-1.1777618789022948E-2</v>
      </c>
      <c r="K721" s="8">
        <f>SUMPRODUCT(B721:I721,weights!$B$5:$I$5)</f>
        <v>-1.1106495303023631E-2</v>
      </c>
      <c r="L721" s="4">
        <f t="shared" si="22"/>
        <v>164.89721125159073</v>
      </c>
      <c r="M721" s="4">
        <f>L721/MAX(L$2:L721)-1</f>
        <v>-6.2431036593472378E-2</v>
      </c>
      <c r="N721" s="4">
        <f t="shared" si="21"/>
        <v>-3.0226456336265528E-2</v>
      </c>
    </row>
    <row r="722" spans="1:14">
      <c r="A722" s="3">
        <f>prices!A723</f>
        <v>44536</v>
      </c>
      <c r="B722" s="5">
        <f>prices!B723/prices!B722-1</f>
        <v>-1.8959605405504565E-2</v>
      </c>
      <c r="C722" s="5">
        <f>prices!C723/prices!C722-1</f>
        <v>-2.8581167232651139E-2</v>
      </c>
      <c r="D722" s="5">
        <f>prices!D723/prices!D722-1</f>
        <v>-6.4389499992940635E-3</v>
      </c>
      <c r="E722" s="5">
        <f>prices!E723/prices!E722-1</f>
        <v>-2.3186733201749465E-2</v>
      </c>
      <c r="F722" s="5">
        <f>prices!F723/prices!F722-1</f>
        <v>-1.6959834985389333E-2</v>
      </c>
      <c r="G722" s="5">
        <f>prices!G723/prices!G722-1</f>
        <v>-2.3008391911110038E-2</v>
      </c>
      <c r="H722" s="5">
        <f>prices!H723/prices!H722-1</f>
        <v>-1.9480973210168173E-2</v>
      </c>
      <c r="I722" s="5">
        <f>prices!I723/prices!I722-1</f>
        <v>-1.0327645729039547E-2</v>
      </c>
      <c r="J722" s="5">
        <f>prices!J723/prices!J722-1</f>
        <v>-1.6540964254769808E-2</v>
      </c>
      <c r="K722" s="8">
        <f>SUMPRODUCT(B722:I722,weights!$B$5:$I$5)</f>
        <v>-1.8229615550996923E-2</v>
      </c>
      <c r="L722" s="4">
        <f t="shared" si="22"/>
        <v>161.89119848504271</v>
      </c>
      <c r="M722" s="4">
        <f>L722/MAX(L$2:L722)-1</f>
        <v>-7.952255834892008E-2</v>
      </c>
      <c r="N722" s="4">
        <f t="shared" si="21"/>
        <v>-5.4923720977658741E-2</v>
      </c>
    </row>
    <row r="723" spans="1:14">
      <c r="A723" s="3">
        <f>prices!A724</f>
        <v>44537</v>
      </c>
      <c r="B723" s="5">
        <f>prices!B724/prices!B723-1</f>
        <v>8.1490757527615809E-3</v>
      </c>
      <c r="C723" s="5">
        <f>prices!C724/prices!C723-1</f>
        <v>1.3599916828028968E-2</v>
      </c>
      <c r="D723" s="5">
        <f>prices!D724/prices!D723-1</f>
        <v>1.4553103193439831E-2</v>
      </c>
      <c r="E723" s="5">
        <f>prices!E724/prices!E723-1</f>
        <v>9.6398482865100998E-3</v>
      </c>
      <c r="F723" s="5">
        <f>prices!F724/prices!F723-1</f>
        <v>1.26478988168095E-2</v>
      </c>
      <c r="G723" s="5">
        <f>prices!G724/prices!G723-1</f>
        <v>2.0411501095809692E-2</v>
      </c>
      <c r="H723" s="5">
        <f>prices!H724/prices!H723-1</f>
        <v>8.8793238601543312E-3</v>
      </c>
      <c r="I723" s="5">
        <f>prices!I724/prices!I723-1</f>
        <v>8.6706055258141124E-3</v>
      </c>
      <c r="J723" s="5">
        <f>prices!J724/prices!J723-1</f>
        <v>1.5636594775976009E-2</v>
      </c>
      <c r="K723" s="8">
        <f>SUMPRODUCT(B723:I723,weights!$B$5:$I$5)</f>
        <v>1.2202687208488924E-2</v>
      </c>
      <c r="L723" s="4">
        <f t="shared" si="22"/>
        <v>163.86670614196305</v>
      </c>
      <c r="M723" s="4">
        <f>L723/MAX(L$2:L723)-1</f>
        <v>-6.8290260045981932E-2</v>
      </c>
      <c r="N723" s="4">
        <f t="shared" si="21"/>
        <v>-4.7040057459191265E-2</v>
      </c>
    </row>
    <row r="724" spans="1:14">
      <c r="A724" s="3">
        <f>prices!A725</f>
        <v>44538</v>
      </c>
      <c r="B724" s="5">
        <f>prices!B725/prices!B724-1</f>
        <v>1.5220897680713552E-2</v>
      </c>
      <c r="C724" s="5">
        <f>prices!C725/prices!C724-1</f>
        <v>1.1830810751902288E-2</v>
      </c>
      <c r="D724" s="5">
        <f>prices!D725/prices!D724-1</f>
        <v>1.8420720859540163E-2</v>
      </c>
      <c r="E724" s="5">
        <f>prices!E725/prices!E724-1</f>
        <v>2.4361540149334227E-2</v>
      </c>
      <c r="F724" s="5">
        <f>prices!F725/prices!F724-1</f>
        <v>1.9454357085299856E-2</v>
      </c>
      <c r="G724" s="5">
        <f>prices!G725/prices!G724-1</f>
        <v>3.45509915633333E-2</v>
      </c>
      <c r="H724" s="5">
        <f>prices!H725/prices!H724-1</f>
        <v>1.8633628118554402E-2</v>
      </c>
      <c r="I724" s="5">
        <f>prices!I725/prices!I724-1</f>
        <v>1.498607307539257E-2</v>
      </c>
      <c r="J724" s="5">
        <f>prices!J725/prices!J724-1</f>
        <v>1.7060902268771105E-2</v>
      </c>
      <c r="K724" s="8">
        <f>SUMPRODUCT(B724:I724,weights!$B$5:$I$5)</f>
        <v>2.0515824706926852E-2</v>
      </c>
      <c r="L724" s="4">
        <f t="shared" si="22"/>
        <v>167.22856676047306</v>
      </c>
      <c r="M724" s="4">
        <f>L724/MAX(L$2:L724)-1</f>
        <v>-4.9175466343348906E-2</v>
      </c>
      <c r="N724" s="4">
        <f t="shared" si="21"/>
        <v>-2.6652520948576175E-2</v>
      </c>
    </row>
    <row r="725" spans="1:14">
      <c r="A725" s="3">
        <f>prices!A726</f>
        <v>44539</v>
      </c>
      <c r="B725" s="5">
        <f>prices!B726/prices!B725-1</f>
        <v>1.5860116873630314E-2</v>
      </c>
      <c r="C725" s="5">
        <f>prices!C726/prices!C725-1</f>
        <v>-6.9343909678686311E-3</v>
      </c>
      <c r="D725" s="5">
        <f>prices!D726/prices!D725-1</f>
        <v>-1.73447773101153E-2</v>
      </c>
      <c r="E725" s="5">
        <f>prices!E726/prices!E725-1</f>
        <v>5.7638009930871537E-3</v>
      </c>
      <c r="F725" s="5">
        <f>prices!F726/prices!F725-1</f>
        <v>4.6465672990063212E-2</v>
      </c>
      <c r="G725" s="5">
        <f>prices!G726/prices!G725-1</f>
        <v>-1.7690091013828901E-3</v>
      </c>
      <c r="H725" s="5">
        <f>prices!H726/prices!H725-1</f>
        <v>2.8985507246377384E-3</v>
      </c>
      <c r="I725" s="5">
        <f>prices!I726/prices!I725-1</f>
        <v>2.9996598502187943E-2</v>
      </c>
      <c r="J725" s="5">
        <f>prices!J726/prices!J725-1</f>
        <v>2.6960889537628319E-3</v>
      </c>
      <c r="K725" s="8">
        <f>SUMPRODUCT(B725:I725,weights!$B$5:$I$5)</f>
        <v>1.0496653467168205E-2</v>
      </c>
      <c r="L725" s="4">
        <f t="shared" si="22"/>
        <v>168.98390707556894</v>
      </c>
      <c r="M725" s="4">
        <f>L725/MAX(L$2:L725)-1</f>
        <v>-3.9194990705473276E-2</v>
      </c>
      <c r="N725" s="4">
        <f t="shared" si="21"/>
        <v>-1.7952107531856276E-2</v>
      </c>
    </row>
    <row r="726" spans="1:14">
      <c r="A726" s="3">
        <f>prices!A727</f>
        <v>44540</v>
      </c>
      <c r="B726" s="5">
        <f>prices!B727/prices!B726-1</f>
        <v>1.0156664299776352E-3</v>
      </c>
      <c r="C726" s="5">
        <f>prices!C727/prices!C726-1</f>
        <v>9.7293641780760165E-3</v>
      </c>
      <c r="D726" s="5">
        <f>prices!D727/prices!D726-1</f>
        <v>-2.8135104491818774E-3</v>
      </c>
      <c r="E726" s="5">
        <f>prices!E727/prices!E726-1</f>
        <v>-2.3813672532961849E-3</v>
      </c>
      <c r="F726" s="5">
        <f>prices!F727/prices!F726-1</f>
        <v>2.9673590504450953E-3</v>
      </c>
      <c r="G726" s="5">
        <f>prices!G727/prices!G726-1</f>
        <v>5.2487068710083129E-4</v>
      </c>
      <c r="H726" s="5">
        <f>prices!H727/prices!H726-1</f>
        <v>2.1019442984759884E-3</v>
      </c>
      <c r="I726" s="5">
        <f>prices!I727/prices!I726-1</f>
        <v>-3.4031882500447086E-3</v>
      </c>
      <c r="J726" s="5">
        <f>prices!J727/prices!J726-1</f>
        <v>-3.1683778761593118E-4</v>
      </c>
      <c r="K726" s="8">
        <f>SUMPRODUCT(B726:I726,weights!$B$5:$I$5)</f>
        <v>5.6910599331183077E-4</v>
      </c>
      <c r="L726" s="4">
        <f t="shared" si="22"/>
        <v>169.08007682985888</v>
      </c>
      <c r="M726" s="4">
        <f>L726/MAX(L$2:L726)-1</f>
        <v>-3.8648190816279793E-2</v>
      </c>
      <c r="N726" s="4">
        <f t="shared" si="21"/>
        <v>-1.0431396653048597E-2</v>
      </c>
    </row>
    <row r="727" spans="1:14">
      <c r="A727" s="3">
        <f>prices!A728</f>
        <v>44543</v>
      </c>
      <c r="B727" s="5">
        <f>prices!B728/prices!B727-1</f>
        <v>-2.0050282840980649E-2</v>
      </c>
      <c r="C727" s="5">
        <f>prices!C728/prices!C727-1</f>
        <v>-7.4652328027953185E-3</v>
      </c>
      <c r="D727" s="5">
        <f>prices!D728/prices!D727-1</f>
        <v>-7.481751824817362E-3</v>
      </c>
      <c r="E727" s="5">
        <f>prices!E728/prices!E727-1</f>
        <v>-8.299694664389512E-3</v>
      </c>
      <c r="F727" s="5">
        <f>prices!F728/prices!F727-1</f>
        <v>-6.3474986551910195E-3</v>
      </c>
      <c r="G727" s="5">
        <f>prices!G728/prices!G727-1</f>
        <v>1.2222225356005589E-2</v>
      </c>
      <c r="H727" s="5">
        <f>prices!H728/prices!H727-1</f>
        <v>1.6421494217979671E-3</v>
      </c>
      <c r="I727" s="5">
        <f>prices!I728/prices!I727-1</f>
        <v>-6.3522196261681652E-3</v>
      </c>
      <c r="J727" s="5">
        <f>prices!J728/prices!J727-1</f>
        <v>-8.1690108672685113E-3</v>
      </c>
      <c r="K727" s="8">
        <f>SUMPRODUCT(B727:I727,weights!$B$5:$I$5)</f>
        <v>-3.6258879881307503E-3</v>
      </c>
      <c r="L727" s="4">
        <f t="shared" si="22"/>
        <v>168.46701141024926</v>
      </c>
      <c r="M727" s="4">
        <f>L727/MAX(L$2:L727)-1</f>
        <v>-4.2133944793566913E-2</v>
      </c>
      <c r="N727" s="4">
        <f t="shared" ref="N727:N790" si="23">L727/L707-1</f>
        <v>-2.5928160528882138E-2</v>
      </c>
    </row>
    <row r="728" spans="1:14">
      <c r="A728" s="3">
        <f>prices!A729</f>
        <v>44544</v>
      </c>
      <c r="B728" s="5">
        <f>prices!B729/prices!B728-1</f>
        <v>-1.2241494635183203E-2</v>
      </c>
      <c r="C728" s="5">
        <f>prices!C729/prices!C728-1</f>
        <v>3.9214313224327224E-3</v>
      </c>
      <c r="D728" s="5">
        <f>prices!D729/prices!D728-1</f>
        <v>-5.7702914845773057E-3</v>
      </c>
      <c r="E728" s="5">
        <f>prices!E729/prices!E728-1</f>
        <v>4.2987325588221825E-3</v>
      </c>
      <c r="F728" s="5">
        <f>prices!F729/prices!F728-1</f>
        <v>-2.5552187093980105E-2</v>
      </c>
      <c r="G728" s="5">
        <f>prices!G729/prices!G728-1</f>
        <v>-3.0942413118134615E-3</v>
      </c>
      <c r="H728" s="5">
        <f>prices!H729/prices!H728-1</f>
        <v>-8.5830405731212034E-3</v>
      </c>
      <c r="I728" s="5">
        <f>prices!I729/prices!I728-1</f>
        <v>2.2552948557799102E-3</v>
      </c>
      <c r="J728" s="5">
        <f>prices!J729/prices!J728-1</f>
        <v>-2.4959336720740133E-3</v>
      </c>
      <c r="K728" s="8">
        <f>SUMPRODUCT(B728:I728,weights!$B$5:$I$5)</f>
        <v>-4.8668959951340789E-3</v>
      </c>
      <c r="L728" s="4">
        <f t="shared" si="22"/>
        <v>167.6470999871045</v>
      </c>
      <c r="M728" s="4">
        <f>L728/MAX(L$2:L728)-1</f>
        <v>-4.6795779261526005E-2</v>
      </c>
      <c r="N728" s="4">
        <f t="shared" si="23"/>
        <v>-3.3013370586440494E-2</v>
      </c>
    </row>
    <row r="729" spans="1:14">
      <c r="A729" s="3">
        <f>prices!A730</f>
        <v>44545</v>
      </c>
      <c r="B729" s="5">
        <f>prices!B730/prices!B729-1</f>
        <v>-2.9220508158551706E-3</v>
      </c>
      <c r="C729" s="5">
        <f>prices!C730/prices!C729-1</f>
        <v>-1.4749384121267028E-2</v>
      </c>
      <c r="D729" s="5">
        <f>prices!D730/prices!D729-1</f>
        <v>-1.6216446891136327E-3</v>
      </c>
      <c r="E729" s="5">
        <f>prices!E730/prices!E729-1</f>
        <v>-1.0242920239023068E-2</v>
      </c>
      <c r="F729" s="5">
        <f>prices!F730/prices!F729-1</f>
        <v>-1.9944444444444431E-2</v>
      </c>
      <c r="G729" s="5">
        <f>prices!G730/prices!G729-1</f>
        <v>9.9823356121884199E-3</v>
      </c>
      <c r="H729" s="5">
        <f>prices!H730/prices!H729-1</f>
        <v>2.5193852310941844E-2</v>
      </c>
      <c r="I729" s="5">
        <f>prices!I730/prices!I729-1</f>
        <v>8.0928962981343666E-3</v>
      </c>
      <c r="J729" s="5">
        <f>prices!J730/prices!J729-1</f>
        <v>-5.9740604563374156E-3</v>
      </c>
      <c r="K729" s="8">
        <f>SUMPRODUCT(B729:I729,weights!$B$5:$I$5)</f>
        <v>3.0114610239700525E-3</v>
      </c>
      <c r="L729" s="4">
        <f t="shared" si="22"/>
        <v>168.15196269449726</v>
      </c>
      <c r="M729" s="4">
        <f>L729/MAX(L$2:L729)-1</f>
        <v>-4.392524190288849E-2</v>
      </c>
      <c r="N729" s="4">
        <f t="shared" si="23"/>
        <v>-3.8488113477667452E-2</v>
      </c>
    </row>
    <row r="730" spans="1:14">
      <c r="A730" s="3">
        <f>prices!A731</f>
        <v>44546</v>
      </c>
      <c r="B730" s="5">
        <f>prices!B731/prices!B730-1</f>
        <v>1.2941220251939889E-2</v>
      </c>
      <c r="C730" s="5">
        <f>prices!C731/prices!C730-1</f>
        <v>3.1504323397189005E-3</v>
      </c>
      <c r="D730" s="5">
        <f>prices!D731/prices!D730-1</f>
        <v>5.699223480792881E-5</v>
      </c>
      <c r="E730" s="5">
        <f>prices!E731/prices!E730-1</f>
        <v>2.1564085232604668E-2</v>
      </c>
      <c r="F730" s="5">
        <f>prices!F731/prices!F730-1</f>
        <v>-5.1017516013831532E-3</v>
      </c>
      <c r="G730" s="5">
        <f>prices!G731/prices!G730-1</f>
        <v>-1.5479302123820537E-2</v>
      </c>
      <c r="H730" s="5">
        <f>prices!H731/prices!H730-1</f>
        <v>-1.3744493392070511E-2</v>
      </c>
      <c r="I730" s="5">
        <f>prices!I731/prices!I730-1</f>
        <v>-3.664315164670362E-3</v>
      </c>
      <c r="J730" s="5">
        <f>prices!J731/prices!J730-1</f>
        <v>1.5678167860917469E-3</v>
      </c>
      <c r="K730" s="8">
        <f>SUMPRODUCT(B730:I730,weights!$B$5:$I$5)</f>
        <v>-2.4745018091655436E-3</v>
      </c>
      <c r="L730" s="4">
        <f t="shared" si="22"/>
        <v>167.73587035859498</v>
      </c>
      <c r="M730" s="4">
        <f>L730/MAX(L$2:L730)-1</f>
        <v>-4.6291050621497298E-2</v>
      </c>
      <c r="N730" s="4">
        <f t="shared" si="23"/>
        <v>-4.1482550940168617E-2</v>
      </c>
    </row>
    <row r="731" spans="1:14">
      <c r="A731" s="3">
        <f>prices!A732</f>
        <v>44547</v>
      </c>
      <c r="B731" s="5">
        <f>prices!B732/prices!B731-1</f>
        <v>-2.6396759646206247E-2</v>
      </c>
      <c r="C731" s="5">
        <f>prices!C732/prices!C731-1</f>
        <v>7.6668912199662209E-4</v>
      </c>
      <c r="D731" s="5">
        <f>prices!D732/prices!D731-1</f>
        <v>-1.8022767100257853E-2</v>
      </c>
      <c r="E731" s="5">
        <f>prices!E732/prices!E731-1</f>
        <v>2.7802581117627678E-2</v>
      </c>
      <c r="F731" s="5">
        <f>prices!F732/prices!F731-1</f>
        <v>-2.2220956070879039E-2</v>
      </c>
      <c r="G731" s="5">
        <f>prices!G732/prices!G731-1</f>
        <v>-2.0695131549359091E-2</v>
      </c>
      <c r="H731" s="5">
        <f>prices!H732/prices!H731-1</f>
        <v>5.8960157227085919E-3</v>
      </c>
      <c r="I731" s="5">
        <f>prices!I732/prices!I731-1</f>
        <v>-1.4306890665708338E-2</v>
      </c>
      <c r="J731" s="5">
        <f>prices!J732/prices!J731-1</f>
        <v>-1.5259386377866946E-2</v>
      </c>
      <c r="K731" s="8">
        <f>SUMPRODUCT(B731:I731,weights!$B$5:$I$5)</f>
        <v>-1.0085812648870417E-2</v>
      </c>
      <c r="L731" s="4">
        <f t="shared" si="22"/>
        <v>166.04411779566297</v>
      </c>
      <c r="M731" s="4">
        <f>L731/MAX(L$2:L731)-1</f>
        <v>-5.5909980406479987E-2</v>
      </c>
      <c r="N731" s="4">
        <f t="shared" si="23"/>
        <v>-4.0783230310142859E-2</v>
      </c>
    </row>
    <row r="732" spans="1:14">
      <c r="A732" s="3">
        <f>prices!A733</f>
        <v>44550</v>
      </c>
      <c r="B732" s="5">
        <f>prices!B733/prices!B732-1</f>
        <v>-2.6961501089591722E-2</v>
      </c>
      <c r="C732" s="5">
        <f>prices!C733/prices!C732-1</f>
        <v>-7.6578121544127464E-3</v>
      </c>
      <c r="D732" s="5">
        <f>prices!D733/prices!D732-1</f>
        <v>-3.2180372584295847E-2</v>
      </c>
      <c r="E732" s="5">
        <f>prices!E733/prices!E732-1</f>
        <v>-1.2056476058926124E-2</v>
      </c>
      <c r="F732" s="5">
        <f>prices!F733/prices!F732-1</f>
        <v>-2.5464716508362017E-2</v>
      </c>
      <c r="G732" s="5">
        <f>prices!G733/prices!G732-1</f>
        <v>-1.3705609253797935E-3</v>
      </c>
      <c r="H732" s="5">
        <f>prices!H733/prices!H732-1</f>
        <v>-6.5036207132121993E-3</v>
      </c>
      <c r="I732" s="5">
        <f>prices!I733/prices!I732-1</f>
        <v>-2.585047964089604E-2</v>
      </c>
      <c r="J732" s="5">
        <f>prices!J733/prices!J732-1</f>
        <v>-2.1842545274709746E-2</v>
      </c>
      <c r="K732" s="8">
        <f>SUMPRODUCT(B732:I732,weights!$B$5:$I$5)</f>
        <v>-1.5987549892244917E-2</v>
      </c>
      <c r="L732" s="4">
        <f t="shared" si="22"/>
        <v>163.38947917809102</v>
      </c>
      <c r="M732" s="4">
        <f>L732/MAX(L$2:L732)-1</f>
        <v>-7.1003666697501799E-2</v>
      </c>
      <c r="N732" s="4">
        <f t="shared" si="23"/>
        <v>-3.3168200636306988E-2</v>
      </c>
    </row>
    <row r="733" spans="1:14">
      <c r="A733" s="3">
        <f>prices!A734</f>
        <v>44551</v>
      </c>
      <c r="B733" s="5">
        <f>prices!B734/prices!B733-1</f>
        <v>1.4891657375539102E-2</v>
      </c>
      <c r="C733" s="5">
        <f>prices!C734/prices!C733-1</f>
        <v>1.4451837974029269E-2</v>
      </c>
      <c r="D733" s="5">
        <f>prices!D734/prices!D733-1</f>
        <v>1.133331334512655E-2</v>
      </c>
      <c r="E733" s="5">
        <f>prices!E734/prices!E733-1</f>
        <v>7.0602525495355728E-3</v>
      </c>
      <c r="F733" s="5">
        <f>prices!F734/prices!F733-1</f>
        <v>4.7835446065525034E-4</v>
      </c>
      <c r="G733" s="5">
        <f>prices!G734/prices!G733-1</f>
        <v>3.9175672568407816E-3</v>
      </c>
      <c r="H733" s="5">
        <f>prices!H734/prices!H733-1</f>
        <v>1.9102236158098806E-2</v>
      </c>
      <c r="I733" s="5">
        <f>prices!I734/prices!I733-1</f>
        <v>1.5671598152154909E-2</v>
      </c>
      <c r="J733" s="5">
        <f>prices!J734/prices!J733-1</f>
        <v>9.4286814893282944E-3</v>
      </c>
      <c r="K733" s="8">
        <f>SUMPRODUCT(B733:I733,weights!$B$5:$I$5)</f>
        <v>1.1375103582291586E-2</v>
      </c>
      <c r="L733" s="4">
        <f t="shared" si="22"/>
        <v>165.24805142799846</v>
      </c>
      <c r="M733" s="4">
        <f>L733/MAX(L$2:L733)-1</f>
        <v>-6.0436237178616903E-2</v>
      </c>
      <c r="N733" s="4">
        <f t="shared" si="23"/>
        <v>-2.7418416149379121E-2</v>
      </c>
    </row>
    <row r="734" spans="1:14">
      <c r="A734" s="3">
        <f>prices!A735</f>
        <v>44552</v>
      </c>
      <c r="B734" s="5">
        <f>prices!B735/prices!B734-1</f>
        <v>2.3729234531576937E-2</v>
      </c>
      <c r="C734" s="5">
        <f>prices!C735/prices!C734-1</f>
        <v>6.2218599349155301E-3</v>
      </c>
      <c r="D734" s="5">
        <f>prices!D735/prices!D734-1</f>
        <v>2.3568823930508742E-3</v>
      </c>
      <c r="E734" s="5">
        <f>prices!E735/prices!E734-1</f>
        <v>7.2306261935872751E-3</v>
      </c>
      <c r="F734" s="5">
        <f>prices!F735/prices!F734-1</f>
        <v>-2.3308630169733835E-3</v>
      </c>
      <c r="G734" s="5">
        <f>prices!G735/prices!G734-1</f>
        <v>1.4846127638619588E-2</v>
      </c>
      <c r="H734" s="5">
        <f>prices!H735/prices!H734-1</f>
        <v>2.4344493475298101E-2</v>
      </c>
      <c r="I734" s="5">
        <f>prices!I735/prices!I734-1</f>
        <v>2.3777995278945196E-2</v>
      </c>
      <c r="J734" s="5">
        <f>prices!J735/prices!J734-1</f>
        <v>1.1007194030117962E-2</v>
      </c>
      <c r="K734" s="8">
        <f>SUMPRODUCT(B734:I734,weights!$B$5:$I$5)</f>
        <v>1.5401577173179862E-2</v>
      </c>
      <c r="L734" s="4">
        <f t="shared" si="22"/>
        <v>167.79313204478439</v>
      </c>
      <c r="M734" s="4">
        <f>L734/MAX(L$2:L734)-1</f>
        <v>-4.5965473376400112E-2</v>
      </c>
      <c r="N734" s="4">
        <f t="shared" si="23"/>
        <v>1.488202607583089E-3</v>
      </c>
    </row>
    <row r="735" spans="1:14">
      <c r="A735" s="3">
        <f>prices!A736</f>
        <v>44553</v>
      </c>
      <c r="B735" s="5">
        <f>prices!B736/prices!B735-1</f>
        <v>-3.6392478887703472E-4</v>
      </c>
      <c r="C735" s="5">
        <f>prices!C736/prices!C735-1</f>
        <v>8.8004101161995862E-3</v>
      </c>
      <c r="D735" s="5">
        <f>prices!D736/prices!D735-1</f>
        <v>-7.6899188122026008E-4</v>
      </c>
      <c r="E735" s="5">
        <f>prices!E736/prices!E735-1</f>
        <v>1.8030997598777576E-2</v>
      </c>
      <c r="F735" s="5">
        <f>prices!F736/prices!F735-1</f>
        <v>2.4980530761396835E-2</v>
      </c>
      <c r="G735" s="5">
        <f>prices!G736/prices!G735-1</f>
        <v>-4.9299161984773798E-3</v>
      </c>
      <c r="H735" s="5">
        <f>prices!H736/prices!H735-1</f>
        <v>-6.3367014899812224E-3</v>
      </c>
      <c r="I735" s="5">
        <f>prices!I736/prices!I735-1</f>
        <v>3.9815543808345844E-3</v>
      </c>
      <c r="J735" s="5">
        <f>prices!J736/prices!J735-1</f>
        <v>6.9092828559547126E-3</v>
      </c>
      <c r="K735" s="8">
        <f>SUMPRODUCT(B735:I735,weights!$B$5:$I$5)</f>
        <v>3.1564138838923728E-3</v>
      </c>
      <c r="L735" s="4">
        <f t="shared" si="22"/>
        <v>168.32275661639233</v>
      </c>
      <c r="M735" s="4">
        <f>L735/MAX(L$2:L735)-1</f>
        <v>-4.295414555085264E-2</v>
      </c>
      <c r="N735" s="4">
        <f t="shared" si="23"/>
        <v>-3.0560230133287458E-3</v>
      </c>
    </row>
    <row r="736" spans="1:14">
      <c r="A736" s="3">
        <f>prices!A737</f>
        <v>44554</v>
      </c>
      <c r="B736" s="5">
        <f>prices!B737/prices!B736-1</f>
        <v>3.1925022870264996E-3</v>
      </c>
      <c r="C736" s="5">
        <f>prices!C737/prices!C736-1</f>
        <v>2.236589091844543E-3</v>
      </c>
      <c r="D736" s="5">
        <f>prices!D737/prices!D736-1</f>
        <v>-3.5963237579363927E-3</v>
      </c>
      <c r="E736" s="5">
        <f>prices!E737/prices!E736-1</f>
        <v>3.1735140235011894E-3</v>
      </c>
      <c r="F736" s="5">
        <f>prices!F737/prices!F736-1</f>
        <v>3.2144944476915072E-3</v>
      </c>
      <c r="G736" s="5">
        <f>prices!G737/prices!G736-1</f>
        <v>-9.4834160710589588E-3</v>
      </c>
      <c r="H736" s="5">
        <f>prices!H737/prices!H736-1</f>
        <v>-8.8961366107178641E-3</v>
      </c>
      <c r="I736" s="5">
        <f>prices!I737/prices!I736-1</f>
        <v>-1.0144067037103355E-2</v>
      </c>
      <c r="J736" s="5">
        <f>prices!J737/prices!J736-1</f>
        <v>-4.0327776671390536E-3</v>
      </c>
      <c r="K736" s="8">
        <f>SUMPRODUCT(B736:I736,weights!$B$5:$I$5)</f>
        <v>-4.3104018595308347E-3</v>
      </c>
      <c r="L736" s="4">
        <f t="shared" si="22"/>
        <v>167.59721789327168</v>
      </c>
      <c r="M736" s="4">
        <f>L736/MAX(L$2:L736)-1</f>
        <v>-4.7079397781526588E-2</v>
      </c>
      <c r="N736" s="4">
        <f t="shared" si="23"/>
        <v>2.4347813286829112E-2</v>
      </c>
    </row>
    <row r="737" spans="1:14">
      <c r="A737" s="3">
        <f>prices!A738</f>
        <v>44557</v>
      </c>
      <c r="B737" s="5">
        <f>prices!B738/prices!B737-1</f>
        <v>-1.0700859790822026E-3</v>
      </c>
      <c r="C737" s="5">
        <f>prices!C738/prices!C737-1</f>
        <v>6.8669366701930024E-3</v>
      </c>
      <c r="D737" s="5">
        <f>prices!D738/prices!D737-1</f>
        <v>8.2731782669400733E-3</v>
      </c>
      <c r="E737" s="5">
        <f>prices!E738/prices!E737-1</f>
        <v>1.4229529020910459E-3</v>
      </c>
      <c r="F737" s="5">
        <f>prices!F738/prices!F737-1</f>
        <v>-2.039032915817085E-3</v>
      </c>
      <c r="G737" s="5">
        <f>prices!G738/prices!G737-1</f>
        <v>-3.7710088844110645E-3</v>
      </c>
      <c r="H737" s="5">
        <f>prices!H738/prices!H737-1</f>
        <v>1.1089559226807655E-2</v>
      </c>
      <c r="I737" s="5">
        <f>prices!I738/prices!I737-1</f>
        <v>3.6612210483428775E-3</v>
      </c>
      <c r="J737" s="5">
        <f>prices!J738/prices!J737-1</f>
        <v>4.8518709108285041E-3</v>
      </c>
      <c r="K737" s="8">
        <f>SUMPRODUCT(B737:I737,weights!$B$5:$I$5)</f>
        <v>2.6926972198846018E-3</v>
      </c>
      <c r="L737" s="4">
        <f t="shared" si="22"/>
        <v>168.04850645595329</v>
      </c>
      <c r="M737" s="4">
        <f>L737/MAX(L$2:L737)-1</f>
        <v>-4.451347112516213E-2</v>
      </c>
      <c r="N737" s="4">
        <f t="shared" si="23"/>
        <v>2.9343368697561045E-2</v>
      </c>
    </row>
    <row r="738" spans="1:14">
      <c r="A738" s="3">
        <f>prices!A739</f>
        <v>44558</v>
      </c>
      <c r="B738" s="5">
        <f>prices!B739/prices!B738-1</f>
        <v>1.1876705820983213E-2</v>
      </c>
      <c r="C738" s="5">
        <f>prices!C739/prices!C738-1</f>
        <v>2.8256490599820605E-3</v>
      </c>
      <c r="D738" s="5">
        <f>prices!D739/prices!D738-1</f>
        <v>6.8942150464770258E-3</v>
      </c>
      <c r="E738" s="5">
        <f>prices!E739/prices!E738-1</f>
        <v>1.1708959183300172E-2</v>
      </c>
      <c r="F738" s="5">
        <f>prices!F739/prices!F738-1</f>
        <v>1.1500291885580882E-2</v>
      </c>
      <c r="G738" s="5">
        <f>prices!G739/prices!G738-1</f>
        <v>1.0903339524821476E-3</v>
      </c>
      <c r="H738" s="5">
        <f>prices!H739/prices!H738-1</f>
        <v>2.6434165961050082E-2</v>
      </c>
      <c r="I738" s="5">
        <f>prices!I739/prices!I738-1</f>
        <v>1.7844658442524919E-2</v>
      </c>
      <c r="J738" s="5">
        <f>prices!J739/prices!J738-1</f>
        <v>8.6034091740434526E-3</v>
      </c>
      <c r="K738" s="8">
        <f>SUMPRODUCT(B738:I738,weights!$B$5:$I$5)</f>
        <v>1.1940717773627672E-2</v>
      </c>
      <c r="L738" s="4">
        <f t="shared" si="22"/>
        <v>170.05512624382348</v>
      </c>
      <c r="M738" s="4">
        <f>L738/MAX(L$2:L738)-1</f>
        <v>-3.3104276147364442E-2</v>
      </c>
      <c r="N738" s="4">
        <f t="shared" si="23"/>
        <v>4.465363892528984E-2</v>
      </c>
    </row>
    <row r="739" spans="1:14">
      <c r="A739" s="3">
        <f>prices!A740</f>
        <v>44559</v>
      </c>
      <c r="B739" s="5">
        <f>prices!B740/prices!B739-1</f>
        <v>1.7122657141805941E-3</v>
      </c>
      <c r="C739" s="5">
        <f>prices!C740/prices!C739-1</f>
        <v>-3.1958587126673654E-3</v>
      </c>
      <c r="D739" s="5">
        <f>prices!D740/prices!D739-1</f>
        <v>-4.7694986174305898E-3</v>
      </c>
      <c r="E739" s="5">
        <f>prices!E740/prices!E739-1</f>
        <v>-1.2959848580746947E-3</v>
      </c>
      <c r="F739" s="5">
        <f>prices!F740/prices!F739-1</f>
        <v>-1.5005482772551648E-2</v>
      </c>
      <c r="G739" s="5">
        <f>prices!G740/prices!G739-1</f>
        <v>7.2078820335323979E-3</v>
      </c>
      <c r="H739" s="5">
        <f>prices!H740/prices!H739-1</f>
        <v>2.9078910056456353E-2</v>
      </c>
      <c r="I739" s="5">
        <f>prices!I740/prices!I739-1</f>
        <v>-2.4483600972697861E-3</v>
      </c>
      <c r="J739" s="5">
        <f>prices!J740/prices!J739-1</f>
        <v>-1.1402376220388533E-3</v>
      </c>
      <c r="K739" s="8">
        <f>SUMPRODUCT(B739:I739,weights!$B$5:$I$5)</f>
        <v>3.5229963987699359E-3</v>
      </c>
      <c r="L739" s="4">
        <f t="shared" si="22"/>
        <v>170.65422984117285</v>
      </c>
      <c r="M739" s="4">
        <f>L739/MAX(L$2:L739)-1</f>
        <v>-2.9697905994245488E-2</v>
      </c>
      <c r="N739" s="4">
        <f t="shared" si="23"/>
        <v>3.6121260214729167E-2</v>
      </c>
    </row>
    <row r="740" spans="1:14">
      <c r="A740" s="3">
        <f>prices!A741</f>
        <v>44560</v>
      </c>
      <c r="B740" s="5">
        <f>prices!B741/prices!B740-1</f>
        <v>-1.8067528075431549E-2</v>
      </c>
      <c r="C740" s="5">
        <f>prices!C741/prices!C740-1</f>
        <v>1.0569884381200101E-2</v>
      </c>
      <c r="D740" s="5">
        <f>prices!D741/prices!D740-1</f>
        <v>5.262771040058789E-3</v>
      </c>
      <c r="E740" s="5">
        <f>prices!E741/prices!E740-1</f>
        <v>3.8688572083871442E-3</v>
      </c>
      <c r="F740" s="5">
        <f>prices!F741/prices!F740-1</f>
        <v>-3.4569637311769874E-3</v>
      </c>
      <c r="G740" s="5">
        <f>prices!G741/prices!G740-1</f>
        <v>-9.2249739634904238E-3</v>
      </c>
      <c r="H740" s="5">
        <f>prices!H741/prices!H740-1</f>
        <v>-5.1855006387935276E-3</v>
      </c>
      <c r="I740" s="5">
        <f>prices!I741/prices!I740-1</f>
        <v>-4.8309983507970333E-3</v>
      </c>
      <c r="J740" s="5">
        <f>prices!J741/prices!J740-1</f>
        <v>-5.6060324394646699E-4</v>
      </c>
      <c r="K740" s="8">
        <f>SUMPRODUCT(B740:I740,weights!$B$5:$I$5)</f>
        <v>-4.4686724675283077E-3</v>
      </c>
      <c r="L740" s="4">
        <f t="shared" si="22"/>
        <v>169.89163198281435</v>
      </c>
      <c r="M740" s="4">
        <f>L740/MAX(L$2:L740)-1</f>
        <v>-3.4033868246914123E-2</v>
      </c>
      <c r="N740" s="4">
        <f t="shared" si="23"/>
        <v>1.8845195106678814E-2</v>
      </c>
    </row>
    <row r="741" spans="1:14">
      <c r="A741" s="3">
        <f>prices!A742</f>
        <v>44561</v>
      </c>
      <c r="B741" s="5">
        <f>prices!B742/prices!B741-1</f>
        <v>3.8372267145851957E-3</v>
      </c>
      <c r="C741" s="5">
        <f>prices!C742/prices!C741-1</f>
        <v>1.2308714877851124E-3</v>
      </c>
      <c r="D741" s="5">
        <f>prices!D742/prices!D741-1</f>
        <v>1.2254507699281936E-2</v>
      </c>
      <c r="E741" s="5">
        <f>prices!E742/prices!E741-1</f>
        <v>-2.6935541085718606E-3</v>
      </c>
      <c r="F741" s="5">
        <f>prices!F742/prices!F741-1</f>
        <v>9.4661335841956795E-3</v>
      </c>
      <c r="G741" s="5">
        <f>prices!G742/prices!G741-1</f>
        <v>1.9802307656911378E-2</v>
      </c>
      <c r="H741" s="5">
        <f>prices!H742/prices!H741-1</f>
        <v>1.3484589041095951E-2</v>
      </c>
      <c r="I741" s="5">
        <f>prices!I742/prices!I741-1</f>
        <v>5.4068531445119472E-3</v>
      </c>
      <c r="J741" s="5">
        <f>prices!J742/prices!J741-1</f>
        <v>8.7247405392365529E-3</v>
      </c>
      <c r="K741" s="8">
        <f>SUMPRODUCT(B741:I741,weights!$B$5:$I$5)</f>
        <v>9.0189538197752977E-3</v>
      </c>
      <c r="L741" s="4">
        <f t="shared" si="22"/>
        <v>171.42387676603363</v>
      </c>
      <c r="M741" s="4">
        <f>L741/MAX(L$2:L741)-1</f>
        <v>-2.5321864313165965E-2</v>
      </c>
      <c r="N741" s="4">
        <f t="shared" si="23"/>
        <v>3.9580205540801217E-2</v>
      </c>
    </row>
    <row r="742" spans="1:14">
      <c r="A742" s="3">
        <f>prices!A743</f>
        <v>44564</v>
      </c>
      <c r="B742" s="5">
        <f>prices!B743/prices!B742-1</f>
        <v>1.5075798541833718E-2</v>
      </c>
      <c r="C742" s="5">
        <f>prices!C743/prices!C742-1</f>
        <v>2.1240238126703836E-2</v>
      </c>
      <c r="D742" s="5">
        <f>prices!D743/prices!D742-1</f>
        <v>2.7202727495990953E-2</v>
      </c>
      <c r="E742" s="5">
        <f>prices!E743/prices!E742-1</f>
        <v>5.6669178598343084E-3</v>
      </c>
      <c r="F742" s="5">
        <f>prices!F743/prices!F742-1</f>
        <v>4.8342943677559536E-3</v>
      </c>
      <c r="G742" s="5">
        <f>prices!G743/prices!G742-1</f>
        <v>1.3121919923293479E-2</v>
      </c>
      <c r="H742" s="5">
        <f>prices!H743/prices!H742-1</f>
        <v>3.8387477483072807E-3</v>
      </c>
      <c r="I742" s="5">
        <f>prices!I743/prices!I742-1</f>
        <v>1.4218640737904131E-2</v>
      </c>
      <c r="J742" s="5">
        <f>prices!J743/prices!J742-1</f>
        <v>1.5653406553513438E-2</v>
      </c>
      <c r="K742" s="8">
        <f>SUMPRODUCT(B742:I742,weights!$B$5:$I$5)</f>
        <v>1.2621191179272821E-2</v>
      </c>
      <c r="L742" s="4">
        <f t="shared" si="22"/>
        <v>173.58745028738986</v>
      </c>
      <c r="M742" s="4">
        <f>L742/MAX(L$2:L742)-1</f>
        <v>-1.3020265224405136E-2</v>
      </c>
      <c r="N742" s="4">
        <f t="shared" si="23"/>
        <v>7.2247607725430374E-2</v>
      </c>
    </row>
    <row r="743" spans="1:14">
      <c r="A743" s="3">
        <f>prices!A744</f>
        <v>44565</v>
      </c>
      <c r="B743" s="5">
        <f>prices!B744/prices!B743-1</f>
        <v>2.2567164179104315E-2</v>
      </c>
      <c r="C743" s="5">
        <f>prices!C744/prices!C743-1</f>
        <v>1.7548241865392278E-2</v>
      </c>
      <c r="D743" s="5">
        <f>prices!D744/prices!D743-1</f>
        <v>5.8646489648965794E-3</v>
      </c>
      <c r="E743" s="5">
        <f>prices!E744/prices!E743-1</f>
        <v>3.7166921439912848E-4</v>
      </c>
      <c r="F743" s="5">
        <f>prices!F744/prices!F743-1</f>
        <v>5.2167864595407121E-3</v>
      </c>
      <c r="G743" s="5">
        <f>prices!G744/prices!G743-1</f>
        <v>1.4114107008897703E-2</v>
      </c>
      <c r="H743" s="5">
        <f>prices!H744/prices!H743-1</f>
        <v>-1.3254294341864203E-2</v>
      </c>
      <c r="I743" s="5">
        <f>prices!I744/prices!I743-1</f>
        <v>7.6444065051328725E-3</v>
      </c>
      <c r="J743" s="5">
        <f>prices!J744/prices!J743-1</f>
        <v>1.0186829459255531E-2</v>
      </c>
      <c r="K743" s="8">
        <f>SUMPRODUCT(B743:I743,weights!$B$5:$I$5)</f>
        <v>7.5669460071049926E-3</v>
      </c>
      <c r="L743" s="4">
        <f t="shared" si="22"/>
        <v>174.90097715122556</v>
      </c>
      <c r="M743" s="4">
        <f>L743/MAX(L$2:L743)-1</f>
        <v>-5.5518428612513215E-3</v>
      </c>
      <c r="N743" s="4">
        <f t="shared" si="23"/>
        <v>6.7336869514562414E-2</v>
      </c>
    </row>
    <row r="744" spans="1:14">
      <c r="A744" s="3">
        <f>prices!A745</f>
        <v>44566</v>
      </c>
      <c r="B744" s="5">
        <f>prices!B745/prices!B744-1</f>
        <v>4.6796967628355279E-3</v>
      </c>
      <c r="C744" s="5">
        <f>prices!C745/prices!C744-1</f>
        <v>-6.1251349392957843E-3</v>
      </c>
      <c r="D744" s="5">
        <f>prices!D745/prices!D744-1</f>
        <v>2.3741278785252007E-2</v>
      </c>
      <c r="E744" s="5">
        <f>prices!E745/prices!E744-1</f>
        <v>-2.8697783397352516E-2</v>
      </c>
      <c r="F744" s="5">
        <f>prices!F745/prices!F744-1</f>
        <v>1.3839234229040542E-3</v>
      </c>
      <c r="G744" s="5">
        <f>prices!G745/prices!G744-1</f>
        <v>1.9036783495873122E-2</v>
      </c>
      <c r="H744" s="5">
        <f>prices!H745/prices!H744-1</f>
        <v>-3.0978390377887077E-3</v>
      </c>
      <c r="I744" s="5">
        <f>prices!I745/prices!I744-1</f>
        <v>5.702028292921435E-3</v>
      </c>
      <c r="J744" s="5">
        <f>prices!J745/prices!J744-1</f>
        <v>6.7395852346920915E-3</v>
      </c>
      <c r="K744" s="8">
        <f>SUMPRODUCT(B744:I744,weights!$B$5:$I$5)</f>
        <v>3.8627451382294148E-3</v>
      </c>
      <c r="L744" s="4">
        <f t="shared" si="22"/>
        <v>175.57657505038802</v>
      </c>
      <c r="M744" s="4">
        <f>L744/MAX(L$2:L744)-1</f>
        <v>-1.7105430770425478E-3</v>
      </c>
      <c r="N744" s="4">
        <f t="shared" si="23"/>
        <v>4.9919750265348339E-2</v>
      </c>
    </row>
    <row r="745" spans="1:14">
      <c r="A745" s="3">
        <f>prices!A746</f>
        <v>44567</v>
      </c>
      <c r="B745" s="5">
        <f>prices!B746/prices!B745-1</f>
        <v>-2.1501434919045548E-2</v>
      </c>
      <c r="C745" s="5">
        <f>prices!C746/prices!C745-1</f>
        <v>-1.3858304269679045E-2</v>
      </c>
      <c r="D745" s="5">
        <f>prices!D746/prices!D745-1</f>
        <v>-1.6034089512285021E-2</v>
      </c>
      <c r="E745" s="5">
        <f>prices!E746/prices!E745-1</f>
        <v>-1.4553822614875922E-2</v>
      </c>
      <c r="F745" s="5">
        <f>prices!F746/prices!F745-1</f>
        <v>-8.4072325233214285E-3</v>
      </c>
      <c r="G745" s="5">
        <f>prices!G746/prices!G745-1</f>
        <v>1.3729052555308652E-2</v>
      </c>
      <c r="H745" s="5">
        <f>prices!H746/prices!H745-1</f>
        <v>-6.592355886571255E-3</v>
      </c>
      <c r="I745" s="5">
        <f>prices!I746/prices!I745-1</f>
        <v>-1.2365344636734332E-2</v>
      </c>
      <c r="J745" s="5">
        <f>prices!J746/prices!J745-1</f>
        <v>-1.0005439254682558E-2</v>
      </c>
      <c r="K745" s="8">
        <f>SUMPRODUCT(B745:I745,weights!$B$5:$I$5)</f>
        <v>-7.8436697368004064E-3</v>
      </c>
      <c r="L745" s="4">
        <f t="shared" si="22"/>
        <v>174.19941038217422</v>
      </c>
      <c r="M745" s="4">
        <f>L745/MAX(L$2:L745)-1</f>
        <v>-9.5407958788760183E-3</v>
      </c>
      <c r="N745" s="4">
        <f t="shared" si="23"/>
        <v>3.0863905308290196E-2</v>
      </c>
    </row>
    <row r="746" spans="1:14">
      <c r="A746" s="3">
        <f>prices!A747</f>
        <v>44568</v>
      </c>
      <c r="B746" s="5">
        <f>prices!B747/prices!B746-1</f>
        <v>8.0677582048094276E-3</v>
      </c>
      <c r="C746" s="5">
        <f>prices!C747/prices!C746-1</f>
        <v>1.2094620489035535E-2</v>
      </c>
      <c r="D746" s="5">
        <f>prices!D747/prices!D746-1</f>
        <v>7.0095079464222998E-3</v>
      </c>
      <c r="E746" s="5">
        <f>prices!E747/prices!E746-1</f>
        <v>-1.9282660005384145E-3</v>
      </c>
      <c r="F746" s="5">
        <f>prices!F747/prices!F746-1</f>
        <v>-1.3356562137049055E-3</v>
      </c>
      <c r="G746" s="5">
        <f>prices!G747/prices!G746-1</f>
        <v>3.0330527017816689E-3</v>
      </c>
      <c r="H746" s="5">
        <f>prices!H747/prices!H746-1</f>
        <v>-7.7252349231282658E-4</v>
      </c>
      <c r="I746" s="5">
        <f>prices!I747/prices!I746-1</f>
        <v>-1.0185615483447652E-2</v>
      </c>
      <c r="J746" s="5">
        <f>prices!J747/prices!J746-1</f>
        <v>3.7642497703693767E-3</v>
      </c>
      <c r="K746" s="8">
        <f>SUMPRODUCT(B746:I746,weights!$B$5:$I$5)</f>
        <v>8.0123167021716249E-4</v>
      </c>
      <c r="L746" s="4">
        <f t="shared" si="22"/>
        <v>174.33898446670557</v>
      </c>
      <c r="M746" s="4">
        <f>L746/MAX(L$2:L746)-1</f>
        <v>-8.7472085964761526E-3</v>
      </c>
      <c r="N746" s="4">
        <f t="shared" si="23"/>
        <v>3.1103059186202042E-2</v>
      </c>
    </row>
    <row r="747" spans="1:14">
      <c r="A747" s="3">
        <f>prices!A748</f>
        <v>44571</v>
      </c>
      <c r="B747" s="5">
        <f>prices!B748/prices!B747-1</f>
        <v>8.1572722081735272E-4</v>
      </c>
      <c r="C747" s="5">
        <f>prices!C748/prices!C747-1</f>
        <v>6.8396964772878821E-3</v>
      </c>
      <c r="D747" s="5">
        <f>prices!D748/prices!D747-1</f>
        <v>5.5410062026188811E-3</v>
      </c>
      <c r="E747" s="5">
        <f>prices!E748/prices!E747-1</f>
        <v>2.0091455956241733E-2</v>
      </c>
      <c r="F747" s="5">
        <f>prices!F748/prices!F747-1</f>
        <v>2.2387625748677031E-2</v>
      </c>
      <c r="G747" s="5">
        <f>prices!G748/prices!G747-1</f>
        <v>2.7776526841415183E-2</v>
      </c>
      <c r="H747" s="5">
        <f>prices!H748/prices!H747-1</f>
        <v>-2.7249337777721649E-3</v>
      </c>
      <c r="I747" s="5">
        <f>prices!I748/prices!I747-1</f>
        <v>2.5303520729996309E-2</v>
      </c>
      <c r="J747" s="5">
        <f>prices!J748/prices!J747-1</f>
        <v>1.0700230734251415E-2</v>
      </c>
      <c r="K747" s="8">
        <f>SUMPRODUCT(B747:I747,weights!$B$5:$I$5)</f>
        <v>1.4663927364300415E-2</v>
      </c>
      <c r="L747" s="4">
        <f t="shared" si="22"/>
        <v>176.89547867169122</v>
      </c>
      <c r="M747" s="4">
        <f>L747/MAX(L$2:L747)-1</f>
        <v>0</v>
      </c>
      <c r="N747" s="4">
        <f t="shared" si="23"/>
        <v>5.0030372064457485E-2</v>
      </c>
    </row>
    <row r="748" spans="1:14">
      <c r="A748" s="3">
        <f>prices!A749</f>
        <v>44572</v>
      </c>
      <c r="B748" s="5">
        <f>prices!B749/prices!B748-1</f>
        <v>7.1997174450513235E-3</v>
      </c>
      <c r="C748" s="5">
        <f>prices!C749/prices!C748-1</f>
        <v>9.2896126317412175E-3</v>
      </c>
      <c r="D748" s="5">
        <f>prices!D749/prices!D748-1</f>
        <v>4.3316153086960796E-3</v>
      </c>
      <c r="E748" s="5">
        <f>prices!E749/prices!E748-1</f>
        <v>2.6195395513577413E-3</v>
      </c>
      <c r="F748" s="5">
        <f>prices!F749/prices!F748-1</f>
        <v>-6.0288931862131356E-3</v>
      </c>
      <c r="G748" s="5">
        <f>prices!G749/prices!G748-1</f>
        <v>2.2449581873316138E-3</v>
      </c>
      <c r="H748" s="5">
        <f>prices!H749/prices!H748-1</f>
        <v>6.9008464021553806E-3</v>
      </c>
      <c r="I748" s="5">
        <f>prices!I749/prices!I748-1</f>
        <v>4.1212565253228028E-3</v>
      </c>
      <c r="J748" s="5">
        <f>prices!J749/prices!J748-1</f>
        <v>2.9133547738471322E-3</v>
      </c>
      <c r="K748" s="8">
        <f>SUMPRODUCT(B748:I748,weights!$B$5:$I$5)</f>
        <v>4.0609893127959368E-3</v>
      </c>
      <c r="L748" s="4">
        <f t="shared" si="22"/>
        <v>177.61384932005888</v>
      </c>
      <c r="M748" s="4">
        <f>L748/MAX(L$2:L748)-1</f>
        <v>0</v>
      </c>
      <c r="N748" s="4">
        <f t="shared" si="23"/>
        <v>5.9450770897444771E-2</v>
      </c>
    </row>
    <row r="749" spans="1:14">
      <c r="A749" s="3">
        <f>prices!A750</f>
        <v>44573</v>
      </c>
      <c r="B749" s="5">
        <f>prices!B750/prices!B749-1</f>
        <v>2.6695799165587619E-2</v>
      </c>
      <c r="C749" s="5">
        <f>prices!C750/prices!C749-1</f>
        <v>-1.4300552187920035E-2</v>
      </c>
      <c r="D749" s="5">
        <f>prices!D750/prices!D749-1</f>
        <v>-5.9098105584974858E-3</v>
      </c>
      <c r="E749" s="5">
        <f>prices!E750/prices!E749-1</f>
        <v>1.1775528978840821E-2</v>
      </c>
      <c r="F749" s="5">
        <f>prices!F750/prices!F749-1</f>
        <v>3.6049439230945168E-3</v>
      </c>
      <c r="G749" s="5">
        <f>prices!G750/prices!G749-1</f>
        <v>3.3033175903911527E-3</v>
      </c>
      <c r="H749" s="5">
        <f>prices!H750/prices!H749-1</f>
        <v>4.5690340658093298E-3</v>
      </c>
      <c r="I749" s="5">
        <f>prices!I750/prices!I749-1</f>
        <v>6.6527888061462814E-3</v>
      </c>
      <c r="J749" s="5">
        <f>prices!J750/prices!J749-1</f>
        <v>8.6731373662130018E-3</v>
      </c>
      <c r="K749" s="8">
        <f>SUMPRODUCT(B749:I749,weights!$B$5:$I$5)</f>
        <v>5.644610473421797E-3</v>
      </c>
      <c r="L749" s="4">
        <f t="shared" si="22"/>
        <v>178.61641031415564</v>
      </c>
      <c r="M749" s="4">
        <f>L749/MAX(L$2:L749)-1</f>
        <v>0</v>
      </c>
      <c r="N749" s="4">
        <f t="shared" si="23"/>
        <v>6.2232087285656323E-2</v>
      </c>
    </row>
    <row r="750" spans="1:14">
      <c r="A750" s="3">
        <f>prices!A751</f>
        <v>44574</v>
      </c>
      <c r="B750" s="5">
        <f>prices!B751/prices!B750-1</f>
        <v>5.6312125060209439E-3</v>
      </c>
      <c r="C750" s="5">
        <f>prices!C751/prices!C750-1</f>
        <v>9.8466447587750583E-3</v>
      </c>
      <c r="D750" s="5">
        <f>prices!D751/prices!D750-1</f>
        <v>-1.8397748335278297E-2</v>
      </c>
      <c r="E750" s="5">
        <f>prices!E751/prices!E750-1</f>
        <v>1.0304903921925179E-2</v>
      </c>
      <c r="F750" s="5">
        <f>prices!F751/prices!F750-1</f>
        <v>5.416500370602817E-3</v>
      </c>
      <c r="G750" s="5">
        <f>prices!G751/prices!G750-1</f>
        <v>-1.1467795845551354E-2</v>
      </c>
      <c r="H750" s="5">
        <f>prices!H751/prices!H750-1</f>
        <v>3.5029086203213877E-2</v>
      </c>
      <c r="I750" s="5">
        <f>prices!I751/prices!I750-1</f>
        <v>2.2390048393629902E-2</v>
      </c>
      <c r="J750" s="5">
        <f>prices!J751/prices!J750-1</f>
        <v>2.495559331991748E-3</v>
      </c>
      <c r="K750" s="8">
        <f>SUMPRODUCT(B750:I750,weights!$B$5:$I$5)</f>
        <v>9.0046498797382961E-3</v>
      </c>
      <c r="L750" s="4">
        <f t="shared" si="22"/>
        <v>180.22478855181029</v>
      </c>
      <c r="M750" s="4">
        <f>L750/MAX(L$2:L750)-1</f>
        <v>0</v>
      </c>
      <c r="N750" s="4">
        <f t="shared" si="23"/>
        <v>7.4455858287889365E-2</v>
      </c>
    </row>
    <row r="751" spans="1:14">
      <c r="A751" s="3">
        <f>prices!A752</f>
        <v>44575</v>
      </c>
      <c r="B751" s="5">
        <f>prices!B752/prices!B751-1</f>
        <v>1.4630577907828179E-3</v>
      </c>
      <c r="C751" s="5">
        <f>prices!C752/prices!C751-1</f>
        <v>1.8021576372103887E-2</v>
      </c>
      <c r="D751" s="5">
        <f>prices!D752/prices!D751-1</f>
        <v>1.1217567662074268E-2</v>
      </c>
      <c r="E751" s="5">
        <f>prices!E752/prices!E751-1</f>
        <v>1.715965680686371E-2</v>
      </c>
      <c r="F751" s="5">
        <f>prices!F752/prices!F751-1</f>
        <v>-6.0678235227401567E-3</v>
      </c>
      <c r="G751" s="5">
        <f>prices!G752/prices!G751-1</f>
        <v>8.8549040351404429E-4</v>
      </c>
      <c r="H751" s="5">
        <f>prices!H752/prices!H751-1</f>
        <v>-6.6400417582149762E-3</v>
      </c>
      <c r="I751" s="5">
        <f>prices!I752/prices!I751-1</f>
        <v>1.3053292255081228E-2</v>
      </c>
      <c r="J751" s="5">
        <f>prices!J752/prices!J751-1</f>
        <v>-1.1228077862612817E-4</v>
      </c>
      <c r="K751" s="8">
        <f>SUMPRODUCT(B751:I751,weights!$B$5:$I$5)</f>
        <v>5.2913952038275841E-3</v>
      </c>
      <c r="L751" s="4">
        <f t="shared" si="22"/>
        <v>181.17842913356418</v>
      </c>
      <c r="M751" s="4">
        <f>L751/MAX(L$2:L751)-1</f>
        <v>0</v>
      </c>
      <c r="N751" s="4">
        <f t="shared" si="23"/>
        <v>9.1146326282547374E-2</v>
      </c>
    </row>
    <row r="752" spans="1:14">
      <c r="A752" s="3">
        <f>prices!A753</f>
        <v>44578</v>
      </c>
      <c r="B752" s="5">
        <f>prices!B753/prices!B752-1</f>
        <v>5.2175727851404563E-3</v>
      </c>
      <c r="C752" s="5">
        <f>prices!C753/prices!C752-1</f>
        <v>1.285273355840344E-2</v>
      </c>
      <c r="D752" s="5">
        <f>prices!D753/prices!D752-1</f>
        <v>-1.529800683292537E-2</v>
      </c>
      <c r="E752" s="5">
        <f>prices!E753/prices!E752-1</f>
        <v>5.2616056155252444E-3</v>
      </c>
      <c r="F752" s="5">
        <f>prices!F753/prices!F752-1</f>
        <v>9.014663091230668E-3</v>
      </c>
      <c r="G752" s="5">
        <f>prices!G753/prices!G752-1</f>
        <v>2.2425962458889614E-2</v>
      </c>
      <c r="H752" s="5">
        <f>prices!H753/prices!H752-1</f>
        <v>-7.6131586665363349E-3</v>
      </c>
      <c r="I752" s="5">
        <f>prices!I753/prices!I752-1</f>
        <v>1.2056624453901321E-2</v>
      </c>
      <c r="J752" s="5">
        <f>prices!J753/prices!J752-1</f>
        <v>2.8675896635306231E-3</v>
      </c>
      <c r="K752" s="8">
        <f>SUMPRODUCT(B752:I752,weights!$B$5:$I$5)</f>
        <v>7.4406442876888993E-3</v>
      </c>
      <c r="L752" s="4">
        <f t="shared" si="22"/>
        <v>182.52651337734929</v>
      </c>
      <c r="M752" s="4">
        <f>L752/MAX(L$2:L752)-1</f>
        <v>0</v>
      </c>
      <c r="N752" s="4">
        <f t="shared" si="23"/>
        <v>0.11712525369151416</v>
      </c>
    </row>
    <row r="753" spans="1:14">
      <c r="A753" s="3">
        <f>prices!A754</f>
        <v>44579</v>
      </c>
      <c r="B753" s="5">
        <f>prices!B754/prices!B753-1</f>
        <v>-1.1929478528668769E-2</v>
      </c>
      <c r="C753" s="5">
        <f>prices!C754/prices!C753-1</f>
        <v>-7.1037954564295847E-3</v>
      </c>
      <c r="D753" s="5">
        <f>prices!D754/prices!D753-1</f>
        <v>5.084912418704679E-3</v>
      </c>
      <c r="E753" s="5">
        <f>prices!E754/prices!E753-1</f>
        <v>-9.6642452265552903E-3</v>
      </c>
      <c r="F753" s="5">
        <f>prices!F754/prices!F753-1</f>
        <v>-1.7133163698049181E-2</v>
      </c>
      <c r="G753" s="5">
        <f>prices!G754/prices!G753-1</f>
        <v>-4.2387118025642323E-2</v>
      </c>
      <c r="H753" s="5">
        <f>prices!H754/prices!H753-1</f>
        <v>-7.6223078722802429E-3</v>
      </c>
      <c r="I753" s="5">
        <f>prices!I754/prices!I753-1</f>
        <v>-2.2809087026378405E-2</v>
      </c>
      <c r="J753" s="5">
        <f>prices!J754/prices!J753-1</f>
        <v>-1.0653754349167821E-2</v>
      </c>
      <c r="K753" s="8">
        <f>SUMPRODUCT(B753:I753,weights!$B$5:$I$5)</f>
        <v>-1.7897821743805532E-2</v>
      </c>
      <c r="L753" s="4">
        <f t="shared" si="22"/>
        <v>179.25968637740317</v>
      </c>
      <c r="M753" s="4">
        <f>L753/MAX(L$2:L753)-1</f>
        <v>-1.7897821743805498E-2</v>
      </c>
      <c r="N753" s="4">
        <f t="shared" si="23"/>
        <v>8.4791529027559154E-2</v>
      </c>
    </row>
    <row r="754" spans="1:14">
      <c r="A754" s="3">
        <f>prices!A755</f>
        <v>44580</v>
      </c>
      <c r="B754" s="5">
        <f>prices!B755/prices!B754-1</f>
        <v>-7.879737692295663E-5</v>
      </c>
      <c r="C754" s="5">
        <f>prices!C755/prices!C754-1</f>
        <v>-1.730928689883926E-2</v>
      </c>
      <c r="D754" s="5">
        <f>prices!D755/prices!D754-1</f>
        <v>-7.0577054770588621E-3</v>
      </c>
      <c r="E754" s="5">
        <f>prices!E755/prices!E754-1</f>
        <v>-2.7960302177455265E-2</v>
      </c>
      <c r="F754" s="5">
        <f>prices!F755/prices!F754-1</f>
        <v>-1.8409849269358514E-3</v>
      </c>
      <c r="G754" s="5">
        <f>prices!G755/prices!G754-1</f>
        <v>1.2704683256092641E-2</v>
      </c>
      <c r="H754" s="5">
        <f>prices!H755/prices!H754-1</f>
        <v>-9.6786201762004698E-3</v>
      </c>
      <c r="I754" s="5">
        <f>prices!I755/prices!I754-1</f>
        <v>-6.4519485925385034E-4</v>
      </c>
      <c r="J754" s="5">
        <f>prices!J755/prices!J754-1</f>
        <v>-9.6422192838863108E-3</v>
      </c>
      <c r="K754" s="8">
        <f>SUMPRODUCT(B754:I754,weights!$B$5:$I$5)</f>
        <v>-3.6955551962731662E-3</v>
      </c>
      <c r="L754" s="4">
        <f t="shared" si="22"/>
        <v>178.59722231192885</v>
      </c>
      <c r="M754" s="4">
        <f>L754/MAX(L$2:L754)-1</f>
        <v>-2.1527234551931396E-2</v>
      </c>
      <c r="N754" s="4">
        <f t="shared" si="23"/>
        <v>6.438934737961044E-2</v>
      </c>
    </row>
    <row r="755" spans="1:14">
      <c r="A755" s="3">
        <f>prices!A756</f>
        <v>44581</v>
      </c>
      <c r="B755" s="5">
        <f>prices!B756/prices!B755-1</f>
        <v>-1.7511908097506357E-2</v>
      </c>
      <c r="C755" s="5">
        <f>prices!C756/prices!C755-1</f>
        <v>-2.2504072472430248E-2</v>
      </c>
      <c r="D755" s="5">
        <f>prices!D756/prices!D755-1</f>
        <v>-6.2211462673122941E-3</v>
      </c>
      <c r="E755" s="5">
        <f>prices!E756/prices!E755-1</f>
        <v>-2.3217681767201404E-2</v>
      </c>
      <c r="F755" s="5">
        <f>prices!F756/prices!F755-1</f>
        <v>-7.26224783861662E-3</v>
      </c>
      <c r="G755" s="5">
        <f>prices!G756/prices!G755-1</f>
        <v>2.5762084795406537E-3</v>
      </c>
      <c r="H755" s="5">
        <f>prices!H756/prices!H755-1</f>
        <v>-2.2064904147349962E-2</v>
      </c>
      <c r="I755" s="5">
        <f>prices!I756/prices!I755-1</f>
        <v>-8.6064165443128227E-3</v>
      </c>
      <c r="J755" s="5">
        <f>prices!J756/prices!J755-1</f>
        <v>-1.0112384605093117E-2</v>
      </c>
      <c r="K755" s="8">
        <f>SUMPRODUCT(B755:I755,weights!$B$5:$I$5)</f>
        <v>-1.176498300713181E-2</v>
      </c>
      <c r="L755" s="4">
        <f t="shared" si="22"/>
        <v>176.49602902630807</v>
      </c>
      <c r="M755" s="4">
        <f>L755/MAX(L$2:L755)-1</f>
        <v>-3.3038950010369161E-2</v>
      </c>
      <c r="N755" s="4">
        <f t="shared" si="23"/>
        <v>4.8557144465870561E-2</v>
      </c>
    </row>
    <row r="756" spans="1:14">
      <c r="A756" s="3">
        <f>prices!A757</f>
        <v>44582</v>
      </c>
      <c r="B756" s="5">
        <f>prices!B757/prices!B756-1</f>
        <v>1.604163695994032E-4</v>
      </c>
      <c r="C756" s="5">
        <f>prices!C757/prices!C756-1</f>
        <v>1.8163561976412002E-3</v>
      </c>
      <c r="D756" s="5">
        <f>prices!D757/prices!D756-1</f>
        <v>8.3420672464098455E-3</v>
      </c>
      <c r="E756" s="5">
        <f>prices!E757/prices!E756-1</f>
        <v>-2.0836583524184604E-2</v>
      </c>
      <c r="F756" s="5">
        <f>prices!F757/prices!F756-1</f>
        <v>-7.7798420808175006E-3</v>
      </c>
      <c r="G756" s="5">
        <f>prices!G757/prices!G756-1</f>
        <v>1.9068641375590056E-2</v>
      </c>
      <c r="H756" s="5">
        <f>prices!H757/prices!H756-1</f>
        <v>-1.3722148906456288E-2</v>
      </c>
      <c r="I756" s="5">
        <f>prices!I757/prices!I756-1</f>
        <v>-2.3685357617389657E-2</v>
      </c>
      <c r="J756" s="5">
        <f>prices!J757/prices!J756-1</f>
        <v>-7.875767303035297E-3</v>
      </c>
      <c r="K756" s="8">
        <f>SUMPRODUCT(B756:I756,weights!$B$5:$I$5)</f>
        <v>-4.6455476068748688E-3</v>
      </c>
      <c r="L756" s="4">
        <f t="shared" si="22"/>
        <v>175.67610832104199</v>
      </c>
      <c r="M756" s="4">
        <f>L756/MAX(L$2:L756)-1</f>
        <v>-3.7531013602089658E-2</v>
      </c>
      <c r="N756" s="4">
        <f t="shared" si="23"/>
        <v>4.8204203681442293E-2</v>
      </c>
    </row>
    <row r="757" spans="1:14">
      <c r="A757" s="3">
        <f>prices!A758</f>
        <v>44585</v>
      </c>
      <c r="B757" s="5">
        <f>prices!B758/prices!B757-1</f>
        <v>-4.0338246039242187E-2</v>
      </c>
      <c r="C757" s="5">
        <f>prices!C758/prices!C757-1</f>
        <v>-1.621285240290693E-2</v>
      </c>
      <c r="D757" s="5">
        <f>prices!D758/prices!D757-1</f>
        <v>-2.2965095863473617E-2</v>
      </c>
      <c r="E757" s="5">
        <f>prices!E758/prices!E757-1</f>
        <v>-2.7385474290667178E-2</v>
      </c>
      <c r="F757" s="5">
        <f>prices!F758/prices!F757-1</f>
        <v>-2.4166179052077186E-2</v>
      </c>
      <c r="G757" s="5">
        <f>prices!G758/prices!G757-1</f>
        <v>-1.6764441125625362E-2</v>
      </c>
      <c r="H757" s="5">
        <f>prices!H758/prices!H757-1</f>
        <v>-9.7690249162097897E-3</v>
      </c>
      <c r="I757" s="5">
        <f>prices!I758/prices!I757-1</f>
        <v>-2.8703140885300349E-2</v>
      </c>
      <c r="J757" s="5">
        <f>prices!J758/prices!J757-1</f>
        <v>-2.6567861430481288E-2</v>
      </c>
      <c r="K757" s="8">
        <f>SUMPRODUCT(B757:I757,weights!$B$5:$I$5)</f>
        <v>-2.299354752391547E-2</v>
      </c>
      <c r="L757" s="4">
        <f t="shared" si="22"/>
        <v>171.63669137554558</v>
      </c>
      <c r="M757" s="4">
        <f>L757/MAX(L$2:L757)-1</f>
        <v>-5.9661589981124807E-2</v>
      </c>
      <c r="N757" s="4">
        <f t="shared" si="23"/>
        <v>2.1352078606737157E-2</v>
      </c>
    </row>
    <row r="758" spans="1:14">
      <c r="A758" s="3">
        <f>prices!A759</f>
        <v>44586</v>
      </c>
      <c r="B758" s="5">
        <f>prices!B759/prices!B758-1</f>
        <v>-1.9498788289583624E-3</v>
      </c>
      <c r="C758" s="5">
        <f>prices!C759/prices!C758-1</f>
        <v>-3.831860398634257E-4</v>
      </c>
      <c r="D758" s="5">
        <f>prices!D759/prices!D758-1</f>
        <v>9.4882116158712115E-4</v>
      </c>
      <c r="E758" s="5">
        <f>prices!E759/prices!E758-1</f>
        <v>-8.433205994325399E-3</v>
      </c>
      <c r="F758" s="5">
        <f>prices!F759/prices!F758-1</f>
        <v>1.1812676140792622E-2</v>
      </c>
      <c r="G758" s="5">
        <f>prices!G759/prices!G758-1</f>
        <v>6.8340266931613103E-2</v>
      </c>
      <c r="H758" s="5">
        <f>prices!H759/prices!H758-1</f>
        <v>8.9864350746464705E-3</v>
      </c>
      <c r="I758" s="5">
        <f>prices!I759/prices!I758-1</f>
        <v>1.3368998765001194E-2</v>
      </c>
      <c r="J758" s="5">
        <f>prices!J759/prices!J758-1</f>
        <v>7.5135138287141245E-3</v>
      </c>
      <c r="K758" s="8">
        <f>SUMPRODUCT(B758:I758,weights!$B$5:$I$5)</f>
        <v>1.7334568803551158E-2</v>
      </c>
      <c r="L758" s="4">
        <f t="shared" si="22"/>
        <v>174.61193941140885</v>
      </c>
      <c r="M758" s="4">
        <f>L758/MAX(L$2:L758)-1</f>
        <v>-4.336122911403073E-2</v>
      </c>
      <c r="N758" s="4">
        <f t="shared" si="23"/>
        <v>2.6796094115103974E-2</v>
      </c>
    </row>
    <row r="759" spans="1:14">
      <c r="A759" s="3">
        <f>prices!A760</f>
        <v>44588</v>
      </c>
      <c r="B759" s="5">
        <f>prices!B760/prices!B759-1</f>
        <v>-1.4810817851129032E-2</v>
      </c>
      <c r="C759" s="5">
        <f>prices!C760/prices!C759-1</f>
        <v>-3.2005257137293963E-2</v>
      </c>
      <c r="D759" s="5">
        <f>prices!D760/prices!D759-1</f>
        <v>-8.804182345675482E-3</v>
      </c>
      <c r="E759" s="5">
        <f>prices!E760/prices!E759-1</f>
        <v>-2.5290105997726742E-2</v>
      </c>
      <c r="F759" s="5">
        <f>prices!F760/prices!F759-1</f>
        <v>1.3630437359251069E-3</v>
      </c>
      <c r="G759" s="5">
        <f>prices!G760/prices!G759-1</f>
        <v>2.5294822230228942E-2</v>
      </c>
      <c r="H759" s="5">
        <f>prices!H760/prices!H759-1</f>
        <v>5.0187879497081145E-3</v>
      </c>
      <c r="I759" s="5">
        <f>prices!I760/prices!I759-1</f>
        <v>-7.5089763418060285E-3</v>
      </c>
      <c r="J759" s="5">
        <f>prices!J760/prices!J759-1</f>
        <v>-9.7118003003827669E-3</v>
      </c>
      <c r="K759" s="8">
        <f>SUMPRODUCT(B759:I759,weights!$B$5:$I$5)</f>
        <v>-3.1844787265612527E-3</v>
      </c>
      <c r="L759" s="4">
        <f t="shared" si="22"/>
        <v>174.05589140494962</v>
      </c>
      <c r="M759" s="4">
        <f>L759/MAX(L$2:L759)-1</f>
        <v>-4.640762492892081E-2</v>
      </c>
      <c r="N759" s="4">
        <f t="shared" si="23"/>
        <v>1.9933063287928432E-2</v>
      </c>
    </row>
    <row r="760" spans="1:14">
      <c r="A760" s="3">
        <f>prices!A761</f>
        <v>44589</v>
      </c>
      <c r="B760" s="5">
        <f>prices!B761/prices!B760-1</f>
        <v>-9.6320009065409273E-4</v>
      </c>
      <c r="C760" s="5">
        <f>prices!C761/prices!C760-1</f>
        <v>1.1182490194106443E-2</v>
      </c>
      <c r="D760" s="5">
        <f>prices!D761/prices!D760-1</f>
        <v>-7.9405329430687344E-3</v>
      </c>
      <c r="E760" s="5">
        <f>prices!E761/prices!E760-1</f>
        <v>4.5289056726578458E-3</v>
      </c>
      <c r="F760" s="5">
        <f>prices!F761/prices!F760-1</f>
        <v>1.4026158489672813E-2</v>
      </c>
      <c r="G760" s="5">
        <f>prices!G761/prices!G760-1</f>
        <v>-3.0526230808318289E-2</v>
      </c>
      <c r="H760" s="5">
        <f>prices!H761/prices!H760-1</f>
        <v>1.8771750520718777E-2</v>
      </c>
      <c r="I760" s="5">
        <f>prices!I761/prices!I760-1</f>
        <v>-6.9600841377258638E-3</v>
      </c>
      <c r="J760" s="5">
        <f>prices!J761/prices!J760-1</f>
        <v>-4.7924769800389289E-4</v>
      </c>
      <c r="K760" s="8">
        <f>SUMPRODUCT(B760:I760,weights!$B$5:$I$5)</f>
        <v>-2.6480758728725908E-3</v>
      </c>
      <c r="L760" s="4">
        <f t="shared" si="22"/>
        <v>173.59497819838884</v>
      </c>
      <c r="M760" s="4">
        <f>L760/MAX(L$2:L760)-1</f>
        <v>-4.8932809889901785E-2</v>
      </c>
      <c r="N760" s="4">
        <f t="shared" si="23"/>
        <v>2.1798285014703378E-2</v>
      </c>
    </row>
    <row r="761" spans="1:14">
      <c r="A761" s="3">
        <f>prices!A762</f>
        <v>44592</v>
      </c>
      <c r="B761" s="5">
        <f>prices!B762/prices!B761-1</f>
        <v>2.1721253367361415E-2</v>
      </c>
      <c r="C761" s="5">
        <f>prices!C762/prices!C761-1</f>
        <v>1.2519659097266711E-2</v>
      </c>
      <c r="D761" s="5">
        <f>prices!D762/prices!D761-1</f>
        <v>1.5350909223690978E-2</v>
      </c>
      <c r="E761" s="5">
        <f>prices!E762/prices!E761-1</f>
        <v>2.9649377383322628E-2</v>
      </c>
      <c r="F761" s="5">
        <f>prices!F762/prices!F761-1</f>
        <v>1.1906151511614338E-2</v>
      </c>
      <c r="G761" s="5">
        <f>prices!G762/prices!G761-1</f>
        <v>5.4201670381346378E-3</v>
      </c>
      <c r="H761" s="5">
        <f>prices!H762/prices!H761-1</f>
        <v>8.6478386752679715E-3</v>
      </c>
      <c r="I761" s="5">
        <f>prices!I762/prices!I761-1</f>
        <v>6.1383031223833928E-3</v>
      </c>
      <c r="J761" s="5">
        <f>prices!J762/prices!J761-1</f>
        <v>1.3910694394498657E-2</v>
      </c>
      <c r="K761" s="8">
        <f>SUMPRODUCT(B761:I761,weights!$B$5:$I$5)</f>
        <v>1.2080999625110595E-2</v>
      </c>
      <c r="L761" s="4">
        <f t="shared" si="22"/>
        <v>175.69217906492466</v>
      </c>
      <c r="M761" s="4">
        <f>L761/MAX(L$2:L761)-1</f>
        <v>-3.7442967522726689E-2</v>
      </c>
      <c r="N761" s="4">
        <f t="shared" si="23"/>
        <v>2.4899111952278341E-2</v>
      </c>
    </row>
    <row r="762" spans="1:14">
      <c r="A762" s="3">
        <f>prices!A763</f>
        <v>44593</v>
      </c>
      <c r="B762" s="5">
        <f>prices!B763/prices!B762-1</f>
        <v>-3.3027115539397967E-3</v>
      </c>
      <c r="C762" s="5">
        <f>prices!C763/prices!C762-1</f>
        <v>1.7236510090188562E-2</v>
      </c>
      <c r="D762" s="5">
        <f>prices!D763/prices!D762-1</f>
        <v>7.5953737269118804E-3</v>
      </c>
      <c r="E762" s="5">
        <f>prices!E763/prices!E762-1</f>
        <v>2.0654439622963094E-2</v>
      </c>
      <c r="F762" s="5">
        <f>prices!F763/prices!F762-1</f>
        <v>3.4317683700542334E-2</v>
      </c>
      <c r="G762" s="5">
        <f>prices!G763/prices!G762-1</f>
        <v>-4.4080067624353569E-3</v>
      </c>
      <c r="H762" s="5">
        <f>prices!H763/prices!H762-1</f>
        <v>6.8602147830137516E-2</v>
      </c>
      <c r="I762" s="5">
        <f>prices!I763/prices!I762-1</f>
        <v>4.25847340865253E-2</v>
      </c>
      <c r="J762" s="5">
        <f>prices!J763/prices!J762-1</f>
        <v>1.3667938303964622E-2</v>
      </c>
      <c r="K762" s="8">
        <f>SUMPRODUCT(B762:I762,weights!$B$5:$I$5)</f>
        <v>2.4156890926398021E-2</v>
      </c>
      <c r="L762" s="4">
        <f t="shared" si="22"/>
        <v>179.93635587121724</v>
      </c>
      <c r="M762" s="4">
        <f>L762/MAX(L$2:L762)-1</f>
        <v>-1.4190582278735819E-2</v>
      </c>
      <c r="N762" s="4">
        <f t="shared" si="23"/>
        <v>3.6574680792397229E-2</v>
      </c>
    </row>
    <row r="763" spans="1:14">
      <c r="A763" s="3">
        <f>prices!A764</f>
        <v>44594</v>
      </c>
      <c r="B763" s="5">
        <f>prices!B764/prices!B763-1</f>
        <v>2.0327467141902922E-3</v>
      </c>
      <c r="C763" s="5">
        <f>prices!C764/prices!C763-1</f>
        <v>1.4614774109247053E-2</v>
      </c>
      <c r="D763" s="5">
        <f>prices!D764/prices!D763-1</f>
        <v>2.2857061275769475E-2</v>
      </c>
      <c r="E763" s="5">
        <f>prices!E764/prices!E763-1</f>
        <v>8.4901964562100751E-3</v>
      </c>
      <c r="F763" s="5">
        <f>prices!F764/prices!F763-1</f>
        <v>1.9294038922656354E-2</v>
      </c>
      <c r="G763" s="5">
        <f>prices!G764/prices!G763-1</f>
        <v>-5.1591229124026139E-3</v>
      </c>
      <c r="H763" s="5">
        <f>prices!H764/prices!H763-1</f>
        <v>-1.237069676476743E-3</v>
      </c>
      <c r="I763" s="5">
        <f>prices!I764/prices!I763-1</f>
        <v>-3.9169666502799627E-3</v>
      </c>
      <c r="J763" s="5">
        <f>prices!J764/prices!J763-1</f>
        <v>1.1557816104706076E-2</v>
      </c>
      <c r="K763" s="8">
        <f>SUMPRODUCT(B763:I763,weights!$B$5:$I$5)</f>
        <v>3.6129979697275614E-3</v>
      </c>
      <c r="L763" s="4">
        <f t="shared" si="22"/>
        <v>180.58646555966013</v>
      </c>
      <c r="M763" s="4">
        <f>L763/MAX(L$2:L763)-1</f>
        <v>-1.0628854853970582E-2</v>
      </c>
      <c r="N763" s="4">
        <f t="shared" si="23"/>
        <v>3.25068990524775E-2</v>
      </c>
    </row>
    <row r="764" spans="1:14">
      <c r="A764" s="3">
        <f>prices!A765</f>
        <v>44595</v>
      </c>
      <c r="B764" s="5">
        <f>prices!B765/prices!B764-1</f>
        <v>-1.2922050854522804E-2</v>
      </c>
      <c r="C764" s="5">
        <f>prices!C765/prices!C764-1</f>
        <v>-8.1940396169174479E-3</v>
      </c>
      <c r="D764" s="5">
        <f>prices!D765/prices!D764-1</f>
        <v>-1.0356619443087522E-2</v>
      </c>
      <c r="E764" s="5">
        <f>prices!E765/prices!E764-1</f>
        <v>-2.7166610414504078E-2</v>
      </c>
      <c r="F764" s="5">
        <f>prices!F765/prices!F764-1</f>
        <v>9.9020734175829794E-3</v>
      </c>
      <c r="G764" s="5">
        <f>prices!G765/prices!G764-1</f>
        <v>9.2071768510888496E-3</v>
      </c>
      <c r="H764" s="5">
        <f>prices!H765/prices!H764-1</f>
        <v>-7.9742370802023954E-3</v>
      </c>
      <c r="I764" s="5">
        <f>prices!I765/prices!I764-1</f>
        <v>-2.4740495446729849E-2</v>
      </c>
      <c r="J764" s="5">
        <f>prices!J765/prices!J764-1</f>
        <v>-1.2362204724409409E-2</v>
      </c>
      <c r="K764" s="8">
        <f>SUMPRODUCT(B764:I764,weights!$B$5:$I$5)</f>
        <v>-8.8956271323031473E-3</v>
      </c>
      <c r="L764" s="4">
        <f t="shared" si="22"/>
        <v>178.98003569690087</v>
      </c>
      <c r="M764" s="4">
        <f>L764/MAX(L$2:L764)-1</f>
        <v>-1.9429931656649524E-2</v>
      </c>
      <c r="N764" s="4">
        <f t="shared" si="23"/>
        <v>1.9384480222012002E-2</v>
      </c>
    </row>
    <row r="765" spans="1:14">
      <c r="A765" s="3">
        <f>prices!A766</f>
        <v>44596</v>
      </c>
      <c r="B765" s="5">
        <f>prices!B766/prices!B765-1</f>
        <v>-9.1122372372370863E-3</v>
      </c>
      <c r="C765" s="5">
        <f>prices!C766/prices!C765-1</f>
        <v>-2.5369978858350573E-3</v>
      </c>
      <c r="D765" s="5">
        <f>prices!D766/prices!D765-1</f>
        <v>5.7120291101928622E-3</v>
      </c>
      <c r="E765" s="5">
        <f>prices!E766/prices!E765-1</f>
        <v>1.4663044545544235E-3</v>
      </c>
      <c r="F765" s="5">
        <f>prices!F766/prices!F765-1</f>
        <v>-5.9588299024915248E-4</v>
      </c>
      <c r="G765" s="5">
        <f>prices!G766/prices!G765-1</f>
        <v>-5.0154936837192299E-3</v>
      </c>
      <c r="H765" s="5">
        <f>prices!H766/prices!H765-1</f>
        <v>1.1772120289665455E-2</v>
      </c>
      <c r="I765" s="5">
        <f>prices!I766/prices!I765-1</f>
        <v>7.3949524960004176E-3</v>
      </c>
      <c r="J765" s="5">
        <f>prices!J766/prices!J765-1</f>
        <v>-2.4999715265202616E-3</v>
      </c>
      <c r="K765" s="8">
        <f>SUMPRODUCT(B765:I765,weights!$B$5:$I$5)</f>
        <v>1.3740015469686231E-3</v>
      </c>
      <c r="L765" s="4">
        <f t="shared" si="22"/>
        <v>179.22595454282489</v>
      </c>
      <c r="M765" s="4">
        <f>L765/MAX(L$2:L765)-1</f>
        <v>-1.8082626865834728E-2</v>
      </c>
      <c r="N765" s="4">
        <f t="shared" si="23"/>
        <v>2.8855115810225707E-2</v>
      </c>
    </row>
    <row r="766" spans="1:14">
      <c r="A766" s="3">
        <f>prices!A767</f>
        <v>44599</v>
      </c>
      <c r="B766" s="5">
        <f>prices!B767/prices!B766-1</f>
        <v>-6.0896494900037901E-3</v>
      </c>
      <c r="C766" s="5">
        <f>prices!C767/prices!C766-1</f>
        <v>-9.4101659857074305E-3</v>
      </c>
      <c r="D766" s="5">
        <f>prices!D767/prices!D766-1</f>
        <v>-3.6643854826947875E-2</v>
      </c>
      <c r="E766" s="5">
        <f>prices!E767/prices!E766-1</f>
        <v>-1.4988005673610583E-2</v>
      </c>
      <c r="F766" s="5">
        <f>prices!F767/prices!F766-1</f>
        <v>-1.7507723995880631E-2</v>
      </c>
      <c r="G766" s="5">
        <f>prices!G767/prices!G766-1</f>
        <v>-4.5484550071581697E-3</v>
      </c>
      <c r="H766" s="5">
        <f>prices!H767/prices!H766-1</f>
        <v>-7.7097558969055902E-3</v>
      </c>
      <c r="I766" s="5">
        <f>prices!I767/prices!I766-1</f>
        <v>-3.2571178558117642E-2</v>
      </c>
      <c r="J766" s="5">
        <f>prices!J767/prices!J766-1</f>
        <v>-1.7281046796412514E-2</v>
      </c>
      <c r="K766" s="8">
        <f>SUMPRODUCT(B766:I766,weights!$B$5:$I$5)</f>
        <v>-1.5523245491969194E-2</v>
      </c>
      <c r="L766" s="4">
        <f t="shared" si="22"/>
        <v>176.44378605192412</v>
      </c>
      <c r="M766" s="4">
        <f>L766/MAX(L$2:L766)-1</f>
        <v>-3.3325171301825773E-2</v>
      </c>
      <c r="N766" s="4">
        <f t="shared" si="23"/>
        <v>1.2073040299374505E-2</v>
      </c>
    </row>
    <row r="767" spans="1:14">
      <c r="A767" s="3">
        <f>prices!A768</f>
        <v>44600</v>
      </c>
      <c r="B767" s="5">
        <f>prices!B768/prices!B767-1</f>
        <v>1.6808644445714727E-2</v>
      </c>
      <c r="C767" s="5">
        <f>prices!C768/prices!C767-1</f>
        <v>-9.4085083265298408E-3</v>
      </c>
      <c r="D767" s="5">
        <f>prices!D768/prices!D767-1</f>
        <v>-4.2943445665624136E-3</v>
      </c>
      <c r="E767" s="5">
        <f>prices!E768/prices!E767-1</f>
        <v>1.340446992620814E-3</v>
      </c>
      <c r="F767" s="5">
        <f>prices!F768/prices!F767-1</f>
        <v>4.5238883371954142E-3</v>
      </c>
      <c r="G767" s="5">
        <f>prices!G768/prices!G767-1</f>
        <v>1.0314617993742781E-2</v>
      </c>
      <c r="H767" s="5">
        <f>prices!H768/prices!H767-1</f>
        <v>7.947317928249209E-3</v>
      </c>
      <c r="I767" s="5">
        <f>prices!I768/prices!I767-1</f>
        <v>-4.7235389691965279E-3</v>
      </c>
      <c r="J767" s="5">
        <f>prices!J768/prices!J767-1</f>
        <v>3.0876748617372218E-3</v>
      </c>
      <c r="K767" s="8">
        <f>SUMPRODUCT(B767:I767,weights!$B$5:$I$5)</f>
        <v>3.7593484351915959E-3</v>
      </c>
      <c r="L767" s="4">
        <f t="shared" si="22"/>
        <v>177.10709972291772</v>
      </c>
      <c r="M767" s="4">
        <f>L767/MAX(L$2:L767)-1</f>
        <v>-2.9691103797220175E-2</v>
      </c>
      <c r="N767" s="4">
        <f t="shared" si="23"/>
        <v>1.1963055970427572E-3</v>
      </c>
    </row>
    <row r="768" spans="1:14">
      <c r="A768" s="3">
        <f>prices!A769</f>
        <v>44601</v>
      </c>
      <c r="B768" s="5">
        <f>prices!B769/prices!B768-1</f>
        <v>1.164839284040875E-2</v>
      </c>
      <c r="C768" s="5">
        <f>prices!C769/prices!C768-1</f>
        <v>4.5681686576448666E-3</v>
      </c>
      <c r="D768" s="5">
        <f>prices!D769/prices!D768-1</f>
        <v>2.4459064327485347E-2</v>
      </c>
      <c r="E768" s="5">
        <f>prices!E769/prices!E768-1</f>
        <v>1.1643626820766251E-2</v>
      </c>
      <c r="F768" s="5">
        <f>prices!F769/prices!F768-1</f>
        <v>-4.7231985940247023E-3</v>
      </c>
      <c r="G768" s="5">
        <f>prices!G769/prices!G768-1</f>
        <v>4.0700867377567951E-2</v>
      </c>
      <c r="H768" s="5">
        <f>prices!H769/prices!H768-1</f>
        <v>-7.4028812483839523E-4</v>
      </c>
      <c r="I768" s="5">
        <f>prices!I769/prices!I768-1</f>
        <v>7.0403967305632253E-3</v>
      </c>
      <c r="J768" s="5">
        <f>prices!J769/prices!J768-1</f>
        <v>1.1412107084425305E-2</v>
      </c>
      <c r="K768" s="8">
        <f>SUMPRODUCT(B768:I768,weights!$B$5:$I$5)</f>
        <v>1.3480909030297937E-2</v>
      </c>
      <c r="L768" s="4">
        <f t="shared" si="22"/>
        <v>179.49466442290228</v>
      </c>
      <c r="M768" s="4">
        <f>L768/MAX(L$2:L768)-1</f>
        <v>-1.6610457836221726E-2</v>
      </c>
      <c r="N768" s="4">
        <f t="shared" si="23"/>
        <v>1.0589349366862733E-2</v>
      </c>
    </row>
    <row r="769" spans="1:14">
      <c r="A769" s="3">
        <f>prices!A770</f>
        <v>44602</v>
      </c>
      <c r="B769" s="5">
        <f>prices!B770/prices!B769-1</f>
        <v>-1.0282252461718544E-3</v>
      </c>
      <c r="C769" s="5">
        <f>prices!C770/prices!C769-1</f>
        <v>2.6076613395142889E-3</v>
      </c>
      <c r="D769" s="5">
        <f>prices!D770/prices!D769-1</f>
        <v>1.8352289754969942E-2</v>
      </c>
      <c r="E769" s="5">
        <f>prices!E770/prices!E769-1</f>
        <v>1.8590940355704078E-2</v>
      </c>
      <c r="F769" s="5">
        <f>prices!F770/prices!F769-1</f>
        <v>9.1049553029467489E-3</v>
      </c>
      <c r="G769" s="5">
        <f>prices!G770/prices!G769-1</f>
        <v>-1.6091079817699971E-2</v>
      </c>
      <c r="H769" s="5">
        <f>prices!H770/prices!H769-1</f>
        <v>8.8547607568292275E-3</v>
      </c>
      <c r="I769" s="5">
        <f>prices!I770/prices!I769-1</f>
        <v>6.4563928873837551E-3</v>
      </c>
      <c r="J769" s="5">
        <f>prices!J770/prices!J769-1</f>
        <v>8.1339685520904759E-3</v>
      </c>
      <c r="K769" s="8">
        <f>SUMPRODUCT(B769:I769,weights!$B$5:$I$5)</f>
        <v>3.2792867317210763E-3</v>
      </c>
      <c r="L769" s="4">
        <f t="shared" si="22"/>
        <v>180.08327889435901</v>
      </c>
      <c r="M769" s="4">
        <f>L769/MAX(L$2:L769)-1</f>
        <v>-1.3385641558490868E-2</v>
      </c>
      <c r="N769" s="4">
        <f t="shared" si="23"/>
        <v>8.2123953651480619E-3</v>
      </c>
    </row>
    <row r="770" spans="1:14">
      <c r="A770" s="3">
        <f>prices!A771</f>
        <v>44603</v>
      </c>
      <c r="B770" s="5">
        <f>prices!B771/prices!B770-1</f>
        <v>-1.9565660874243385E-3</v>
      </c>
      <c r="C770" s="5">
        <f>prices!C771/prices!C770-1</f>
        <v>-1.9997870625275582E-2</v>
      </c>
      <c r="D770" s="5">
        <f>prices!D771/prices!D770-1</f>
        <v>-4.0919855939686167E-3</v>
      </c>
      <c r="E770" s="5">
        <f>prices!E771/prices!E770-1</f>
        <v>-2.7261677374544213E-2</v>
      </c>
      <c r="F770" s="5">
        <f>prices!F771/prices!F770-1</f>
        <v>8.749384808881544E-4</v>
      </c>
      <c r="G770" s="5">
        <f>prices!G771/prices!G770-1</f>
        <v>-7.7561325416257709E-3</v>
      </c>
      <c r="H770" s="5">
        <f>prices!H771/prices!H770-1</f>
        <v>-1.5875606117120467E-2</v>
      </c>
      <c r="I770" s="5">
        <f>prices!I771/prices!I770-1</f>
        <v>-1.5647226173541973E-2</v>
      </c>
      <c r="J770" s="5">
        <f>prices!J771/prices!J770-1</f>
        <v>-1.3126318808804993E-2</v>
      </c>
      <c r="K770" s="8">
        <f>SUMPRODUCT(B770:I770,weights!$B$5:$I$5)</f>
        <v>-1.153091497758869E-2</v>
      </c>
      <c r="L770" s="4">
        <f t="shared" si="22"/>
        <v>178.00675391654275</v>
      </c>
      <c r="M770" s="4">
        <f>L770/MAX(L$2:L770)-1</f>
        <v>-2.4762207841348194E-2</v>
      </c>
      <c r="N770" s="4">
        <f t="shared" si="23"/>
        <v>-1.2307045290997354E-2</v>
      </c>
    </row>
    <row r="771" spans="1:14">
      <c r="A771" s="3">
        <f>prices!A772</f>
        <v>44606</v>
      </c>
      <c r="B771" s="5">
        <f>prices!B772/prices!B771-1</f>
        <v>-1.592478003549147E-2</v>
      </c>
      <c r="C771" s="5">
        <f>prices!C772/prices!C771-1</f>
        <v>1.0500960699774353E-2</v>
      </c>
      <c r="D771" s="5">
        <f>prices!D772/prices!D771-1</f>
        <v>-2.9732505945094023E-2</v>
      </c>
      <c r="E771" s="5">
        <f>prices!E772/prices!E771-1</f>
        <v>-2.2749811575230927E-2</v>
      </c>
      <c r="F771" s="5">
        <f>prices!F772/prices!F771-1</f>
        <v>-3.327323389608261E-2</v>
      </c>
      <c r="G771" s="5">
        <f>prices!G772/prices!G771-1</f>
        <v>-4.2433670797172973E-2</v>
      </c>
      <c r="H771" s="5">
        <f>prices!H772/prices!H771-1</f>
        <v>-1.7327963993841067E-2</v>
      </c>
      <c r="I771" s="5">
        <f>prices!I772/prices!I771-1</f>
        <v>-3.8612491846787167E-2</v>
      </c>
      <c r="J771" s="5">
        <f>prices!J772/prices!J771-1</f>
        <v>-3.0616267859969293E-2</v>
      </c>
      <c r="K771" s="8">
        <f>SUMPRODUCT(B771:I771,weights!$B$5:$I$5)</f>
        <v>-2.6494436330754056E-2</v>
      </c>
      <c r="L771" s="4">
        <f t="shared" si="22"/>
        <v>173.29056530845671</v>
      </c>
      <c r="M771" s="4">
        <f>L771/MAX(L$2:L771)-1</f>
        <v>-5.0600583433040747E-2</v>
      </c>
      <c r="N771" s="4">
        <f t="shared" si="23"/>
        <v>-4.353644008742652E-2</v>
      </c>
    </row>
    <row r="772" spans="1:14">
      <c r="A772" s="3">
        <f>prices!A773</f>
        <v>44607</v>
      </c>
      <c r="B772" s="5">
        <f>prices!B773/prices!B772-1</f>
        <v>3.3951112663689553E-2</v>
      </c>
      <c r="C772" s="5">
        <f>prices!C773/prices!C772-1</f>
        <v>2.2510014007323109E-2</v>
      </c>
      <c r="D772" s="5">
        <f>prices!D773/prices!D772-1</f>
        <v>2.993299881080147E-2</v>
      </c>
      <c r="E772" s="5">
        <f>prices!E773/prices!E772-1</f>
        <v>3.3325891498041438E-2</v>
      </c>
      <c r="F772" s="5">
        <f>prices!F773/prices!F772-1</f>
        <v>1.622018763422628E-2</v>
      </c>
      <c r="G772" s="5">
        <f>prices!G773/prices!G772-1</f>
        <v>3.0634978647134492E-2</v>
      </c>
      <c r="H772" s="5">
        <f>prices!H773/prices!H772-1</f>
        <v>1.3824773705208182E-2</v>
      </c>
      <c r="I772" s="5">
        <f>prices!I773/prices!I772-1</f>
        <v>4.2830322207080496E-2</v>
      </c>
      <c r="J772" s="5">
        <f>prices!J773/prices!J772-1</f>
        <v>3.0259220557152133E-2</v>
      </c>
      <c r="K772" s="8">
        <f>SUMPRODUCT(B772:I772,weights!$B$5:$I$5)</f>
        <v>2.9181345862184477E-2</v>
      </c>
      <c r="L772" s="4">
        <f t="shared" ref="L772:L835" si="24">L771*(1+K772)</f>
        <v>178.34741722937628</v>
      </c>
      <c r="M772" s="4">
        <f>L772/MAX(L$2:L772)-1</f>
        <v>-2.2895830696843977E-2</v>
      </c>
      <c r="N772" s="4">
        <f t="shared" si="23"/>
        <v>-2.2895830696843977E-2</v>
      </c>
    </row>
    <row r="773" spans="1:14">
      <c r="A773" s="3">
        <f>prices!A774</f>
        <v>44608</v>
      </c>
      <c r="B773" s="5">
        <f>prices!B774/prices!B773-1</f>
        <v>-2.0636819373044402E-3</v>
      </c>
      <c r="C773" s="5">
        <f>prices!C774/prices!C773-1</f>
        <v>-1.2317046792761355E-3</v>
      </c>
      <c r="D773" s="5">
        <f>prices!D774/prices!D773-1</f>
        <v>-1.3517699738093691E-3</v>
      </c>
      <c r="E773" s="5">
        <f>prices!E774/prices!E773-1</f>
        <v>-2.8479956003378826E-3</v>
      </c>
      <c r="F773" s="5">
        <f>prices!F774/prices!F773-1</f>
        <v>-1.1678994494188633E-3</v>
      </c>
      <c r="G773" s="5">
        <f>prices!G774/prices!G773-1</f>
        <v>-4.6111882948439709E-3</v>
      </c>
      <c r="H773" s="5">
        <f>prices!H774/prices!H773-1</f>
        <v>-9.0710226597237043E-3</v>
      </c>
      <c r="I773" s="5">
        <f>prices!I774/prices!I773-1</f>
        <v>-8.1828379136286156E-3</v>
      </c>
      <c r="J773" s="5">
        <f>prices!J774/prices!J773-1</f>
        <v>-1.7432696823791449E-3</v>
      </c>
      <c r="K773" s="8">
        <f>SUMPRODUCT(B773:I773,weights!$B$5:$I$5)</f>
        <v>-4.6868229692852452E-3</v>
      </c>
      <c r="L773" s="4">
        <f t="shared" si="24"/>
        <v>177.51153445779295</v>
      </c>
      <c r="M773" s="4">
        <f>L773/MAX(L$2:L773)-1</f>
        <v>-2.7475344960918302E-2</v>
      </c>
      <c r="N773" s="4">
        <f t="shared" si="23"/>
        <v>-9.7520639187651526E-3</v>
      </c>
    </row>
    <row r="774" spans="1:14">
      <c r="A774" s="3">
        <f>prices!A775</f>
        <v>44609</v>
      </c>
      <c r="B774" s="5">
        <f>prices!B775/prices!B774-1</f>
        <v>1.2654753081336345E-2</v>
      </c>
      <c r="C774" s="5">
        <f>prices!C775/prices!C774-1</f>
        <v>-7.5798136328362187E-3</v>
      </c>
      <c r="D774" s="5">
        <f>prices!D775/prices!D774-1</f>
        <v>-6.1052987789402824E-3</v>
      </c>
      <c r="E774" s="5">
        <f>prices!E775/prices!E774-1</f>
        <v>-4.9046643554995217E-3</v>
      </c>
      <c r="F774" s="5">
        <f>prices!F775/prices!F774-1</f>
        <v>-4.4543429844090543E-4</v>
      </c>
      <c r="G774" s="5">
        <f>prices!G775/prices!G774-1</f>
        <v>-3.5528009418828166E-3</v>
      </c>
      <c r="H774" s="5">
        <f>prices!H775/prices!H774-1</f>
        <v>-7.2464637496850726E-3</v>
      </c>
      <c r="I774" s="5">
        <f>prices!I775/prices!I774-1</f>
        <v>4.2976459079058227E-3</v>
      </c>
      <c r="J774" s="5">
        <f>prices!J775/prices!J774-1</f>
        <v>-1.0160372239093052E-3</v>
      </c>
      <c r="K774" s="8">
        <f>SUMPRODUCT(B774:I774,weights!$B$5:$I$5)</f>
        <v>-8.9847846605078073E-4</v>
      </c>
      <c r="L774" s="4">
        <f t="shared" si="24"/>
        <v>177.35204416660699</v>
      </c>
      <c r="M774" s="4">
        <f>L774/MAX(L$2:L774)-1</f>
        <v>-2.8349137421174397E-2</v>
      </c>
      <c r="N774" s="4">
        <f t="shared" si="23"/>
        <v>-6.9719905449990849E-3</v>
      </c>
    </row>
    <row r="775" spans="1:14">
      <c r="A775" s="3">
        <f>prices!A776</f>
        <v>44610</v>
      </c>
      <c r="B775" s="5">
        <f>prices!B776/prices!B775-1</f>
        <v>-7.8160296376615923E-3</v>
      </c>
      <c r="C775" s="5">
        <f>prices!C776/prices!C775-1</f>
        <v>2.5640870213552436E-3</v>
      </c>
      <c r="D775" s="5">
        <f>prices!D776/prices!D775-1</f>
        <v>3.8871313254551509E-3</v>
      </c>
      <c r="E775" s="5">
        <f>prices!E776/prices!E775-1</f>
        <v>-1.0352540628278395E-2</v>
      </c>
      <c r="F775" s="5">
        <f>prices!F776/prices!F775-1</f>
        <v>-3.3422459893049927E-3</v>
      </c>
      <c r="G775" s="5">
        <f>prices!G776/prices!G775-1</f>
        <v>1.9468044857313682E-3</v>
      </c>
      <c r="H775" s="5">
        <f>prices!H776/prices!H775-1</f>
        <v>3.9880599900898872E-4</v>
      </c>
      <c r="I775" s="5">
        <f>prices!I776/prices!I775-1</f>
        <v>7.7082899307998609E-3</v>
      </c>
      <c r="J775" s="5">
        <f>prices!J776/prices!J775-1</f>
        <v>-1.6354033031679149E-3</v>
      </c>
      <c r="K775" s="8">
        <f>SUMPRODUCT(B775:I775,weights!$B$5:$I$5)</f>
        <v>3.1929556210712217E-4</v>
      </c>
      <c r="L775" s="4">
        <f t="shared" si="24"/>
        <v>177.40867188724002</v>
      </c>
      <c r="M775" s="4">
        <f>L775/MAX(L$2:L775)-1</f>
        <v>-2.8038893612835403E-2</v>
      </c>
      <c r="N775" s="4">
        <f t="shared" si="23"/>
        <v>5.1708974188644508E-3</v>
      </c>
    </row>
    <row r="776" spans="1:14">
      <c r="A776" s="3">
        <f>prices!A777</f>
        <v>44613</v>
      </c>
      <c r="B776" s="5">
        <f>prices!B777/prices!B776-1</f>
        <v>-1.0099722234870878E-2</v>
      </c>
      <c r="C776" s="5">
        <f>prices!C777/prices!C776-1</f>
        <v>-1.9634932343374101E-2</v>
      </c>
      <c r="D776" s="5">
        <f>prices!D777/prices!D776-1</f>
        <v>6.4440456170598015E-3</v>
      </c>
      <c r="E776" s="5">
        <f>prices!E777/prices!E776-1</f>
        <v>1.3914446489052379E-2</v>
      </c>
      <c r="F776" s="5">
        <f>prices!F777/prices!F776-1</f>
        <v>-1.7605633802816767E-2</v>
      </c>
      <c r="G776" s="5">
        <f>prices!G777/prices!G776-1</f>
        <v>5.0885174743648953E-3</v>
      </c>
      <c r="H776" s="5">
        <f>prices!H777/prices!H776-1</f>
        <v>-2.2070548441652571E-2</v>
      </c>
      <c r="I776" s="5">
        <f>prices!I777/prices!I776-1</f>
        <v>-1.0169302117673418E-2</v>
      </c>
      <c r="J776" s="5">
        <f>prices!J777/prices!J776-1</f>
        <v>-4.0315345299628547E-3</v>
      </c>
      <c r="K776" s="8">
        <f>SUMPRODUCT(B776:I776,weights!$B$5:$I$5)</f>
        <v>-7.1658318541930974E-3</v>
      </c>
      <c r="L776" s="4">
        <f t="shared" si="24"/>
        <v>176.13739117502035</v>
      </c>
      <c r="M776" s="4">
        <f>L776/MAX(L$2:L776)-1</f>
        <v>-3.5003803470021189E-2</v>
      </c>
      <c r="N776" s="4">
        <f t="shared" si="23"/>
        <v>2.6257574714450005E-3</v>
      </c>
    </row>
    <row r="777" spans="1:14">
      <c r="A777" s="3">
        <f>prices!A778</f>
        <v>44614</v>
      </c>
      <c r="B777" s="5">
        <f>prices!B778/prices!B777-1</f>
        <v>-4.5447854566865731E-3</v>
      </c>
      <c r="C777" s="5">
        <f>prices!C778/prices!C777-1</f>
        <v>-3.5760870570749281E-2</v>
      </c>
      <c r="D777" s="5">
        <f>prices!D778/prices!D777-1</f>
        <v>-7.4979991294458204E-3</v>
      </c>
      <c r="E777" s="5">
        <f>prices!E778/prices!E777-1</f>
        <v>2.1108005918133443E-3</v>
      </c>
      <c r="F777" s="5">
        <f>prices!F778/prices!F777-1</f>
        <v>-1.4450702622745726E-2</v>
      </c>
      <c r="G777" s="5">
        <f>prices!G778/prices!G777-1</f>
        <v>1.1720692493528695E-3</v>
      </c>
      <c r="H777" s="5">
        <f>prices!H778/prices!H777-1</f>
        <v>2.3099823354291171E-3</v>
      </c>
      <c r="I777" s="5">
        <f>prices!I778/prices!I777-1</f>
        <v>-1.0460062094270417E-2</v>
      </c>
      <c r="J777" s="5">
        <f>prices!J778/prices!J777-1</f>
        <v>-6.651498112648313E-3</v>
      </c>
      <c r="K777" s="8">
        <f>SUMPRODUCT(B777:I777,weights!$B$5:$I$5)</f>
        <v>-6.7888952252235651E-3</v>
      </c>
      <c r="L777" s="4">
        <f t="shared" si="24"/>
        <v>174.94161288108893</v>
      </c>
      <c r="M777" s="4">
        <f>L777/MAX(L$2:L777)-1</f>
        <v>-4.1555061541002414E-2</v>
      </c>
      <c r="N777" s="4">
        <f t="shared" si="23"/>
        <v>1.9255332173189643E-2</v>
      </c>
    </row>
    <row r="778" spans="1:14">
      <c r="A778" s="3">
        <f>prices!A779</f>
        <v>44615</v>
      </c>
      <c r="B778" s="5">
        <f>prices!B779/prices!B778-1</f>
        <v>-6.256815955342776E-3</v>
      </c>
      <c r="C778" s="5">
        <f>prices!C779/prices!C778-1</f>
        <v>-6.3000486095120545E-3</v>
      </c>
      <c r="D778" s="5">
        <f>prices!D779/prices!D778-1</f>
        <v>-6.4794510858032783E-3</v>
      </c>
      <c r="E778" s="5">
        <f>prices!E779/prices!E778-1</f>
        <v>4.901703456783757E-3</v>
      </c>
      <c r="F778" s="5">
        <f>prices!F779/prices!F778-1</f>
        <v>5.1376782312533287E-3</v>
      </c>
      <c r="G778" s="5">
        <f>prices!G779/prices!G778-1</f>
        <v>8.81908964941025E-3</v>
      </c>
      <c r="H778" s="5">
        <f>prices!H779/prices!H778-1</f>
        <v>-6.5688932708897196E-3</v>
      </c>
      <c r="I778" s="5">
        <f>prices!I779/prices!I778-1</f>
        <v>-1.3097771211144527E-2</v>
      </c>
      <c r="J778" s="5">
        <f>prices!J779/prices!J778-1</f>
        <v>-1.693755046161427E-3</v>
      </c>
      <c r="K778" s="8">
        <f>SUMPRODUCT(B778:I778,weights!$B$5:$I$5)</f>
        <v>-2.8428381511742184E-3</v>
      </c>
      <c r="L778" s="4">
        <f t="shared" si="24"/>
        <v>174.44428218976262</v>
      </c>
      <c r="M778" s="4">
        <f>L778/MAX(L$2:L778)-1</f>
        <v>-4.4279765377853497E-2</v>
      </c>
      <c r="N778" s="4">
        <f t="shared" si="23"/>
        <v>-9.6017043399998503E-4</v>
      </c>
    </row>
    <row r="779" spans="1:14">
      <c r="A779" s="3">
        <f>prices!A780</f>
        <v>44616</v>
      </c>
      <c r="B779" s="5">
        <f>prices!B780/prices!B779-1</f>
        <v>-4.9830272029760536E-2</v>
      </c>
      <c r="C779" s="5">
        <f>prices!C780/prices!C779-1</f>
        <v>-4.5499893797107505E-2</v>
      </c>
      <c r="D779" s="5">
        <f>prices!D780/prices!D779-1</f>
        <v>-5.4295356486821267E-2</v>
      </c>
      <c r="E779" s="5">
        <f>prices!E780/prices!E779-1</f>
        <v>-3.7122166863650441E-2</v>
      </c>
      <c r="F779" s="5">
        <f>prices!F780/prices!F779-1</f>
        <v>-3.4516425453710031E-2</v>
      </c>
      <c r="G779" s="5">
        <f>prices!G780/prices!G779-1</f>
        <v>-5.6178923153040294E-2</v>
      </c>
      <c r="H779" s="5">
        <f>prices!H780/prices!H779-1</f>
        <v>-2.6176386666170504E-2</v>
      </c>
      <c r="I779" s="5">
        <f>prices!I780/prices!I779-1</f>
        <v>-3.4577834810203378E-2</v>
      </c>
      <c r="J779" s="5">
        <f>prices!J780/prices!J779-1</f>
        <v>-4.7781049917219764E-2</v>
      </c>
      <c r="K779" s="8">
        <f>SUMPRODUCT(B779:I779,weights!$B$5:$I$5)</f>
        <v>-4.2086206645175837E-2</v>
      </c>
      <c r="L779" s="4">
        <f t="shared" si="24"/>
        <v>167.10258408145489</v>
      </c>
      <c r="M779" s="4">
        <f>L779/MAX(L$2:L779)-1</f>
        <v>-8.450240466713721E-2</v>
      </c>
      <c r="N779" s="4">
        <f t="shared" si="23"/>
        <v>-3.9948704220057141E-2</v>
      </c>
    </row>
    <row r="780" spans="1:14">
      <c r="A780" s="3">
        <f>prices!A781</f>
        <v>44617</v>
      </c>
      <c r="B780" s="5">
        <f>prices!B781/prices!B780-1</f>
        <v>1.2499143559074888E-2</v>
      </c>
      <c r="C780" s="5">
        <f>prices!C781/prices!C780-1</f>
        <v>3.5011531147585151E-2</v>
      </c>
      <c r="D780" s="5">
        <f>prices!D781/prices!D780-1</f>
        <v>2.5852982804830171E-2</v>
      </c>
      <c r="E780" s="5">
        <f>prices!E781/prices!E780-1</f>
        <v>9.799400507263023E-3</v>
      </c>
      <c r="F780" s="5">
        <f>prices!F781/prices!F780-1</f>
        <v>2.6173338885253639E-2</v>
      </c>
      <c r="G780" s="5">
        <f>prices!G781/prices!G780-1</f>
        <v>1.7775992143207908E-2</v>
      </c>
      <c r="H780" s="5">
        <f>prices!H781/prices!H780-1</f>
        <v>1.6255398295476287E-2</v>
      </c>
      <c r="I780" s="5">
        <f>prices!I781/prices!I780-1</f>
        <v>1.1208305641873029E-2</v>
      </c>
      <c r="J780" s="5">
        <f>prices!J781/prices!J780-1</f>
        <v>2.5261648392566505E-2</v>
      </c>
      <c r="K780" s="8">
        <f>SUMPRODUCT(B780:I780,weights!$B$5:$I$5)</f>
        <v>1.7720746314275698E-2</v>
      </c>
      <c r="L780" s="4">
        <f t="shared" si="24"/>
        <v>170.06376658242226</v>
      </c>
      <c r="M780" s="4">
        <f>L780/MAX(L$2:L780)-1</f>
        <v>-6.8279104028914128E-2</v>
      </c>
      <c r="N780" s="4">
        <f t="shared" si="23"/>
        <v>-2.03416691693179E-2</v>
      </c>
    </row>
    <row r="781" spans="1:14">
      <c r="A781" s="3">
        <f>prices!A782</f>
        <v>44620</v>
      </c>
      <c r="B781" s="5">
        <f>prices!B782/prices!B781-1</f>
        <v>3.3100034801438527E-2</v>
      </c>
      <c r="C781" s="5">
        <f>prices!C782/prices!C781-1</f>
        <v>9.5024953415947522E-3</v>
      </c>
      <c r="D781" s="5">
        <f>prices!D782/prices!D781-1</f>
        <v>-2.0504616107205109E-2</v>
      </c>
      <c r="E781" s="5">
        <f>prices!E782/prices!E781-1</f>
        <v>1.2390616710207247E-2</v>
      </c>
      <c r="F781" s="5">
        <f>prices!F782/prices!F781-1</f>
        <v>8.8690510695033087E-3</v>
      </c>
      <c r="G781" s="5">
        <f>prices!G782/prices!G781-1</f>
        <v>-5.0202262736036563E-3</v>
      </c>
      <c r="H781" s="5">
        <f>prices!H782/prices!H781-1</f>
        <v>1.4842114499893588E-2</v>
      </c>
      <c r="I781" s="5">
        <f>prices!I782/prices!I781-1</f>
        <v>2.2339852330793164E-2</v>
      </c>
      <c r="J781" s="5">
        <f>prices!J782/prices!J781-1</f>
        <v>8.1340344811027254E-3</v>
      </c>
      <c r="K781" s="8">
        <f>SUMPRODUCT(B781:I781,weights!$B$5:$I$5)</f>
        <v>1.0978279270856751E-2</v>
      </c>
      <c r="L781" s="4">
        <f t="shared" si="24"/>
        <v>171.9307741058179</v>
      </c>
      <c r="M781" s="4">
        <f>L781/MAX(L$2:L781)-1</f>
        <v>-5.8050411830450677E-2</v>
      </c>
      <c r="N781" s="4">
        <f t="shared" si="23"/>
        <v>-2.1409063164483766E-2</v>
      </c>
    </row>
    <row r="782" spans="1:14">
      <c r="A782" s="3">
        <f>prices!A783</f>
        <v>44622</v>
      </c>
      <c r="B782" s="5">
        <f>prices!B783/prices!B782-1</f>
        <v>1.6534416289253784E-2</v>
      </c>
      <c r="C782" s="5">
        <f>prices!C783/prices!C782-1</f>
        <v>-2.2653272623422982E-3</v>
      </c>
      <c r="D782" s="5">
        <f>prices!D783/prices!D782-1</f>
        <v>-3.6458177240986656E-2</v>
      </c>
      <c r="E782" s="5">
        <f>prices!E783/prices!E782-1</f>
        <v>-7.4561519887494931E-3</v>
      </c>
      <c r="F782" s="5">
        <f>prices!F783/prices!F782-1</f>
        <v>-2.5281544472535167E-3</v>
      </c>
      <c r="G782" s="5">
        <f>prices!G783/prices!G782-1</f>
        <v>-6.0132297856583361E-2</v>
      </c>
      <c r="H782" s="5">
        <f>prices!H783/prices!H782-1</f>
        <v>-2.7249033437503956E-2</v>
      </c>
      <c r="I782" s="5">
        <f>prices!I783/prices!I782-1</f>
        <v>-1.7751239401380792E-2</v>
      </c>
      <c r="J782" s="5">
        <f>prices!J783/prices!J782-1</f>
        <v>-1.1191563603451304E-2</v>
      </c>
      <c r="K782" s="8">
        <f>SUMPRODUCT(B782:I782,weights!$B$5:$I$5)</f>
        <v>-2.0943616718201701E-2</v>
      </c>
      <c r="L782" s="4">
        <f t="shared" si="24"/>
        <v>168.32992187088195</v>
      </c>
      <c r="M782" s="4">
        <f>L782/MAX(L$2:L782)-1</f>
        <v>-7.7778242972941558E-2</v>
      </c>
      <c r="N782" s="4">
        <f t="shared" si="23"/>
        <v>-6.4502995762802828E-2</v>
      </c>
    </row>
    <row r="783" spans="1:14">
      <c r="A783" s="3">
        <f>prices!A784</f>
        <v>44623</v>
      </c>
      <c r="B783" s="5">
        <f>prices!B784/prices!B783-1</f>
        <v>-8.4503152759237699E-3</v>
      </c>
      <c r="C783" s="5">
        <f>prices!C784/prices!C783-1</f>
        <v>-4.9484616106099111E-4</v>
      </c>
      <c r="D783" s="5">
        <f>prices!D784/prices!D783-1</f>
        <v>-2.3638823657485819E-3</v>
      </c>
      <c r="E783" s="5">
        <f>prices!E784/prices!E783-1</f>
        <v>1.0599903758755191E-2</v>
      </c>
      <c r="F783" s="5">
        <f>prices!F784/prices!F783-1</f>
        <v>1.9009216589861877E-2</v>
      </c>
      <c r="G783" s="5">
        <f>prices!G784/prices!G783-1</f>
        <v>-2.7980911872188208E-2</v>
      </c>
      <c r="H783" s="5">
        <f>prices!H784/prices!H783-1</f>
        <v>0</v>
      </c>
      <c r="I783" s="5">
        <f>prices!I784/prices!I783-1</f>
        <v>-1.8042559213202858E-2</v>
      </c>
      <c r="J783" s="5">
        <f>prices!J784/prices!J783-1</f>
        <v>-6.4976710155095763E-3</v>
      </c>
      <c r="K783" s="8">
        <f>SUMPRODUCT(B783:I783,weights!$B$5:$I$5)</f>
        <v>-7.8000540244851316E-3</v>
      </c>
      <c r="L783" s="4">
        <f t="shared" si="24"/>
        <v>167.01693938635171</v>
      </c>
      <c r="M783" s="4">
        <f>L783/MAX(L$2:L783)-1</f>
        <v>-8.4971622500308208E-2</v>
      </c>
      <c r="N783" s="4">
        <f t="shared" si="23"/>
        <v>-7.5141435053035388E-2</v>
      </c>
    </row>
    <row r="784" spans="1:14">
      <c r="A784" s="3">
        <f>prices!A785</f>
        <v>44624</v>
      </c>
      <c r="B784" s="5">
        <f>prices!B785/prices!B784-1</f>
        <v>-2.2178486218517146E-2</v>
      </c>
      <c r="C784" s="5">
        <f>prices!C785/prices!C784-1</f>
        <v>-5.6563355488392641E-3</v>
      </c>
      <c r="D784" s="5">
        <f>prices!D785/prices!D784-1</f>
        <v>-3.2892172909944062E-3</v>
      </c>
      <c r="E784" s="5">
        <f>prices!E785/prices!E784-1</f>
        <v>1.4218636333576118E-3</v>
      </c>
      <c r="F784" s="5">
        <f>prices!F785/prices!F784-1</f>
        <v>2.7812323346523282E-2</v>
      </c>
      <c r="G784" s="5">
        <f>prices!G785/prices!G784-1</f>
        <v>-4.5848653671435535E-2</v>
      </c>
      <c r="H784" s="5">
        <f>prices!H785/prices!H784-1</f>
        <v>1.065383296720035E-2</v>
      </c>
      <c r="I784" s="5">
        <f>prices!I785/prices!I784-1</f>
        <v>-2.3141726562546983E-2</v>
      </c>
      <c r="J784" s="5">
        <f>prices!J785/prices!J784-1</f>
        <v>-1.5316961701534404E-2</v>
      </c>
      <c r="K784" s="8">
        <f>SUMPRODUCT(B784:I784,weights!$B$5:$I$5)</f>
        <v>-1.2981952281496022E-2</v>
      </c>
      <c r="L784" s="4">
        <f t="shared" si="24"/>
        <v>164.84873344903659</v>
      </c>
      <c r="M784" s="4">
        <f>L784/MAX(L$2:L784)-1</f>
        <v>-9.6850477233223931E-2</v>
      </c>
      <c r="N784" s="4">
        <f t="shared" si="23"/>
        <v>-7.8954628614530842E-2</v>
      </c>
    </row>
    <row r="785" spans="1:14">
      <c r="A785" s="3">
        <f>prices!A786</f>
        <v>44627</v>
      </c>
      <c r="B785" s="5">
        <f>prices!B786/prices!B785-1</f>
        <v>-3.6979720492176793E-2</v>
      </c>
      <c r="C785" s="5">
        <f>prices!C786/prices!C785-1</f>
        <v>-1.1191528413269869E-2</v>
      </c>
      <c r="D785" s="5">
        <f>prices!D786/prices!D785-1</f>
        <v>-3.0513935374894441E-2</v>
      </c>
      <c r="E785" s="5">
        <f>prices!E786/prices!E785-1</f>
        <v>9.602113257388023E-3</v>
      </c>
      <c r="F785" s="5">
        <f>prices!F786/prices!F785-1</f>
        <v>-2.4199758002420024E-3</v>
      </c>
      <c r="G785" s="5">
        <f>prices!G786/prices!G785-1</f>
        <v>-6.5990258450165928E-2</v>
      </c>
      <c r="H785" s="5">
        <f>prices!H786/prices!H785-1</f>
        <v>-8.4307073752982742E-3</v>
      </c>
      <c r="I785" s="5">
        <f>prices!I786/prices!I785-1</f>
        <v>-4.5160893751728715E-2</v>
      </c>
      <c r="J785" s="5">
        <f>prices!J786/prices!J785-1</f>
        <v>-2.3526732264925077E-2</v>
      </c>
      <c r="K785" s="8">
        <f>SUMPRODUCT(B785:I785,weights!$B$5:$I$5)</f>
        <v>-3.0341752628668863E-2</v>
      </c>
      <c r="L785" s="4">
        <f t="shared" si="24"/>
        <v>159.84693395757654</v>
      </c>
      <c r="M785" s="4">
        <f>L785/MAX(L$2:L785)-1</f>
        <v>-0.12425361663971379</v>
      </c>
      <c r="N785" s="4">
        <f t="shared" si="23"/>
        <v>-0.10812619542008273</v>
      </c>
    </row>
    <row r="786" spans="1:14">
      <c r="A786" s="3">
        <f>prices!A787</f>
        <v>44628</v>
      </c>
      <c r="B786" s="5">
        <f>prices!B787/prices!B786-1</f>
        <v>-1.8041465795155531E-3</v>
      </c>
      <c r="C786" s="5">
        <f>prices!C787/prices!C786-1</f>
        <v>3.3013325785675063E-2</v>
      </c>
      <c r="D786" s="5">
        <f>prices!D787/prices!D786-1</f>
        <v>2.2746704954264008E-3</v>
      </c>
      <c r="E786" s="5">
        <f>prices!E787/prices!E786-1</f>
        <v>2.2043576946473964E-2</v>
      </c>
      <c r="F786" s="5">
        <f>prices!F787/prices!F786-1</f>
        <v>8.6558606241040614E-3</v>
      </c>
      <c r="G786" s="5">
        <f>prices!G787/prices!G786-1</f>
        <v>5.5026484492957106E-3</v>
      </c>
      <c r="H786" s="5">
        <f>prices!H787/prices!H786-1</f>
        <v>3.9318795220415925E-2</v>
      </c>
      <c r="I786" s="5">
        <f>prices!I787/prices!I786-1</f>
        <v>1.4716296076941804E-2</v>
      </c>
      <c r="J786" s="5">
        <f>prices!J787/prices!J786-1</f>
        <v>9.4747890551372116E-3</v>
      </c>
      <c r="K786" s="8">
        <f>SUMPRODUCT(B786:I786,weights!$B$5:$I$5)</f>
        <v>1.5328798255143711E-2</v>
      </c>
      <c r="L786" s="4">
        <f t="shared" si="24"/>
        <v>162.29719535991552</v>
      </c>
      <c r="M786" s="4">
        <f>L786/MAX(L$2:L786)-1</f>
        <v>-0.11082947700651213</v>
      </c>
      <c r="N786" s="4">
        <f t="shared" si="23"/>
        <v>-8.0176191004230235E-2</v>
      </c>
    </row>
    <row r="787" spans="1:14">
      <c r="A787" s="3">
        <f>prices!A788</f>
        <v>44629</v>
      </c>
      <c r="B787" s="5">
        <f>prices!B788/prices!B787-1</f>
        <v>5.3046913580246935E-2</v>
      </c>
      <c r="C787" s="5">
        <f>prices!C788/prices!C787-1</f>
        <v>9.0704031502684135E-3</v>
      </c>
      <c r="D787" s="5">
        <f>prices!D788/prices!D787-1</f>
        <v>3.2642286891578554E-2</v>
      </c>
      <c r="E787" s="5">
        <f>prices!E788/prices!E787-1</f>
        <v>1.9769726526249753E-2</v>
      </c>
      <c r="F787" s="5">
        <f>prices!F788/prices!F787-1</f>
        <v>1.0330691445750384E-2</v>
      </c>
      <c r="G787" s="5">
        <f>prices!G788/prices!G787-1</f>
        <v>3.2404422952953649E-2</v>
      </c>
      <c r="H787" s="5">
        <f>prices!H788/prices!H787-1</f>
        <v>1.5495842578820307E-2</v>
      </c>
      <c r="I787" s="5">
        <f>prices!I788/prices!I787-1</f>
        <v>1.956554839364566E-2</v>
      </c>
      <c r="J787" s="5">
        <f>prices!J788/prices!J787-1</f>
        <v>2.0726326931423289E-2</v>
      </c>
      <c r="K787" s="8">
        <f>SUMPRODUCT(B787:I787,weights!$B$5:$I$5)</f>
        <v>2.5005165217805467E-2</v>
      </c>
      <c r="L787" s="4">
        <f t="shared" si="24"/>
        <v>166.35546354427663</v>
      </c>
      <c r="M787" s="4">
        <f>L787/MAX(L$2:L787)-1</f>
        <v>-8.859562117225761E-2</v>
      </c>
      <c r="N787" s="4">
        <f t="shared" si="23"/>
        <v>-6.0706974454789897E-2</v>
      </c>
    </row>
    <row r="788" spans="1:14">
      <c r="A788" s="3">
        <f>prices!A789</f>
        <v>44630</v>
      </c>
      <c r="B788" s="5">
        <f>prices!B789/prices!B788-1</f>
        <v>1.6206938595586307E-2</v>
      </c>
      <c r="C788" s="5">
        <f>prices!C789/prices!C788-1</f>
        <v>-3.2078301365537909E-3</v>
      </c>
      <c r="D788" s="5">
        <f>prices!D789/prices!D788-1</f>
        <v>1.5711702724608756E-2</v>
      </c>
      <c r="E788" s="5">
        <f>prices!E789/prices!E788-1</f>
        <v>6.9161154275816372E-3</v>
      </c>
      <c r="F788" s="5">
        <f>prices!F789/prices!F788-1</f>
        <v>1.201038736204274E-2</v>
      </c>
      <c r="G788" s="5">
        <f>prices!G789/prices!G788-1</f>
        <v>2.6320534696401721E-2</v>
      </c>
      <c r="H788" s="5">
        <f>prices!H789/prices!H788-1</f>
        <v>1.5007263515540714E-3</v>
      </c>
      <c r="I788" s="5">
        <f>prices!I789/prices!I788-1</f>
        <v>2.2027528187769096E-2</v>
      </c>
      <c r="J788" s="5">
        <f>prices!J789/prices!J788-1</f>
        <v>1.5267339029142901E-2</v>
      </c>
      <c r="K788" s="8">
        <f>SUMPRODUCT(B788:I788,weights!$B$5:$I$5)</f>
        <v>1.4221750661824394E-2</v>
      </c>
      <c r="L788" s="4">
        <f t="shared" si="24"/>
        <v>168.72132946803555</v>
      </c>
      <c r="M788" s="4">
        <f>L788/MAX(L$2:L788)-1</f>
        <v>-7.5633855344474532E-2</v>
      </c>
      <c r="N788" s="4">
        <f t="shared" si="23"/>
        <v>-6.0020363220847472E-2</v>
      </c>
    </row>
    <row r="789" spans="1:14">
      <c r="A789" s="3">
        <f>prices!A790</f>
        <v>44631</v>
      </c>
      <c r="B789" s="5">
        <f>prices!B790/prices!B789-1</f>
        <v>2.8888130024271597E-3</v>
      </c>
      <c r="C789" s="5">
        <f>prices!C790/prices!C789-1</f>
        <v>-6.0213677785556641E-3</v>
      </c>
      <c r="D789" s="5">
        <f>prices!D790/prices!D789-1</f>
        <v>2.9464121293965029E-3</v>
      </c>
      <c r="E789" s="5">
        <f>prices!E790/prices!E789-1</f>
        <v>-2.1316379955124143E-3</v>
      </c>
      <c r="F789" s="5">
        <f>prices!F790/prices!F789-1</f>
        <v>1.8764032930610464E-2</v>
      </c>
      <c r="G789" s="5">
        <f>prices!G790/prices!G789-1</f>
        <v>-1.5148897120213944E-2</v>
      </c>
      <c r="H789" s="5">
        <f>prices!H790/prices!H789-1</f>
        <v>3.7318084825816999E-2</v>
      </c>
      <c r="I789" s="5">
        <f>prices!I790/prices!I789-1</f>
        <v>2.6179923043212483E-4</v>
      </c>
      <c r="J789" s="5">
        <f>prices!J790/prices!J789-1</f>
        <v>2.1422244183453287E-3</v>
      </c>
      <c r="K789" s="8">
        <f>SUMPRODUCT(B789:I789,weights!$B$5:$I$5)</f>
        <v>4.1820868194999911E-3</v>
      </c>
      <c r="L789" s="4">
        <f t="shared" si="24"/>
        <v>169.42693671617232</v>
      </c>
      <c r="M789" s="4">
        <f>L789/MAX(L$2:L789)-1</f>
        <v>-7.1768075874518722E-2</v>
      </c>
      <c r="N789" s="4">
        <f t="shared" si="23"/>
        <v>-5.9174523273967883E-2</v>
      </c>
    </row>
    <row r="790" spans="1:14">
      <c r="A790" s="3">
        <f>prices!A791</f>
        <v>44634</v>
      </c>
      <c r="B790" s="5">
        <f>prices!B791/prices!B790-1</f>
        <v>8.2089414882848821E-3</v>
      </c>
      <c r="C790" s="5">
        <f>prices!C791/prices!C790-1</f>
        <v>1.2182608473971346E-2</v>
      </c>
      <c r="D790" s="5">
        <f>prices!D791/prices!D790-1</f>
        <v>3.2759042781075998E-2</v>
      </c>
      <c r="E790" s="5">
        <f>prices!E791/prices!E790-1</f>
        <v>3.7701907581606298E-2</v>
      </c>
      <c r="F790" s="5">
        <f>prices!F791/prices!F790-1</f>
        <v>1.122946948627801E-2</v>
      </c>
      <c r="G790" s="5">
        <f>prices!G791/prices!G790-1</f>
        <v>3.0157873630326737E-2</v>
      </c>
      <c r="H790" s="5">
        <f>prices!H791/prices!H790-1</f>
        <v>-1.0805376107984266E-2</v>
      </c>
      <c r="I790" s="5">
        <f>prices!I791/prices!I790-1</f>
        <v>1.0469228381347673E-2</v>
      </c>
      <c r="J790" s="5">
        <f>prices!J791/prices!J790-1</f>
        <v>1.4482470408196946E-2</v>
      </c>
      <c r="K790" s="8">
        <f>SUMPRODUCT(B790:I790,weights!$B$5:$I$5)</f>
        <v>1.4979263238638494E-2</v>
      </c>
      <c r="L790" s="4">
        <f t="shared" si="24"/>
        <v>171.96482740096002</v>
      </c>
      <c r="M790" s="4">
        <f>L790/MAX(L$2:L790)-1</f>
        <v>-5.786384553653523E-2</v>
      </c>
      <c r="N790" s="4">
        <f t="shared" si="23"/>
        <v>-3.3942119513147517E-2</v>
      </c>
    </row>
    <row r="791" spans="1:14">
      <c r="A791" s="3">
        <f>prices!A792</f>
        <v>44635</v>
      </c>
      <c r="B791" s="5">
        <f>prices!B792/prices!B791-1</f>
        <v>-2.290194789784028E-2</v>
      </c>
      <c r="C791" s="5">
        <f>prices!C792/prices!C791-1</f>
        <v>-1.3477903605126684E-2</v>
      </c>
      <c r="D791" s="5">
        <f>prices!D792/prices!D791-1</f>
        <v>-1.2859830807295247E-2</v>
      </c>
      <c r="E791" s="5">
        <f>prices!E792/prices!E791-1</f>
        <v>-2.7182876473208273E-2</v>
      </c>
      <c r="F791" s="5">
        <f>prices!F792/prices!F791-1</f>
        <v>-4.8259042083961257E-3</v>
      </c>
      <c r="G791" s="5">
        <f>prices!G792/prices!G791-1</f>
        <v>1.4124419115552955E-2</v>
      </c>
      <c r="H791" s="5">
        <f>prices!H792/prices!H791-1</f>
        <v>-6.7760175709152826E-4</v>
      </c>
      <c r="I791" s="5">
        <f>prices!I792/prices!I791-1</f>
        <v>-1.8854172313882422E-3</v>
      </c>
      <c r="J791" s="5">
        <f>prices!J792/prices!J791-1</f>
        <v>-1.2346410768583338E-2</v>
      </c>
      <c r="K791" s="8">
        <f>SUMPRODUCT(B791:I791,weights!$B$5:$I$5)</f>
        <v>-5.4901125199178363E-3</v>
      </c>
      <c r="L791" s="4">
        <f t="shared" si="24"/>
        <v>171.02072114906051</v>
      </c>
      <c r="M791" s="4">
        <f>L791/MAX(L$2:L791)-1</f>
        <v>-6.30362790336223E-2</v>
      </c>
      <c r="N791" s="4">
        <f t="shared" ref="N791:N854" si="25">L791/L771-1</f>
        <v>-1.3098486668076115E-2</v>
      </c>
    </row>
    <row r="792" spans="1:14">
      <c r="A792" s="3">
        <f>prices!A793</f>
        <v>44636</v>
      </c>
      <c r="B792" s="5">
        <f>prices!B793/prices!B792-1</f>
        <v>1.6880751085991852E-2</v>
      </c>
      <c r="C792" s="5">
        <f>prices!C793/prices!C792-1</f>
        <v>1.7252273815222541E-2</v>
      </c>
      <c r="D792" s="5">
        <f>prices!D793/prices!D792-1</f>
        <v>1.6959582163922793E-2</v>
      </c>
      <c r="E792" s="5">
        <f>prices!E793/prices!E792-1</f>
        <v>2.7237065178383535E-2</v>
      </c>
      <c r="F792" s="5">
        <f>prices!F793/prices!F792-1</f>
        <v>1.9970799874856615E-2</v>
      </c>
      <c r="G792" s="5">
        <f>prices!G793/prices!G792-1</f>
        <v>8.8542284091743806E-3</v>
      </c>
      <c r="H792" s="5">
        <f>prices!H793/prices!H792-1</f>
        <v>-2.7473169819262067E-3</v>
      </c>
      <c r="I792" s="5">
        <f>prices!I793/prices!I792-1</f>
        <v>7.3084768675542033E-3</v>
      </c>
      <c r="J792" s="5">
        <f>prices!J793/prices!J792-1</f>
        <v>1.8745123927264018E-2</v>
      </c>
      <c r="K792" s="8">
        <f>SUMPRODUCT(B792:I792,weights!$B$5:$I$5)</f>
        <v>1.1649062583463899E-2</v>
      </c>
      <c r="L792" s="4">
        <f t="shared" si="24"/>
        <v>173.01295223279504</v>
      </c>
      <c r="M792" s="4">
        <f>L792/MAX(L$2:L792)-1</f>
        <v>-5.2121530009649697E-2</v>
      </c>
      <c r="N792" s="4">
        <f t="shared" si="25"/>
        <v>-2.9910525644004538E-2</v>
      </c>
    </row>
    <row r="793" spans="1:14">
      <c r="A793" s="3">
        <f>prices!A794</f>
        <v>44637</v>
      </c>
      <c r="B793" s="5">
        <f>prices!B794/prices!B793-1</f>
        <v>3.2603902546576968E-2</v>
      </c>
      <c r="C793" s="5">
        <f>prices!C794/prices!C793-1</f>
        <v>4.6085407019789137E-3</v>
      </c>
      <c r="D793" s="5">
        <f>prices!D794/prices!D793-1</f>
        <v>2.2019215159609695E-2</v>
      </c>
      <c r="E793" s="5">
        <f>prices!E794/prices!E793-1</f>
        <v>-1.8419467534032119E-2</v>
      </c>
      <c r="F793" s="5">
        <f>prices!F794/prices!F793-1</f>
        <v>9.4575941925258977E-3</v>
      </c>
      <c r="G793" s="5">
        <f>prices!G794/prices!G793-1</f>
        <v>2.7679468205052071E-2</v>
      </c>
      <c r="H793" s="5">
        <f>prices!H794/prices!H793-1</f>
        <v>2.5192548913871793E-2</v>
      </c>
      <c r="I793" s="5">
        <f>prices!I794/prices!I793-1</f>
        <v>1.8051752751499395E-2</v>
      </c>
      <c r="J793" s="5">
        <f>prices!J794/prices!J793-1</f>
        <v>1.8361918900052121E-2</v>
      </c>
      <c r="K793" s="8">
        <f>SUMPRODUCT(B793:I793,weights!$B$5:$I$5)</f>
        <v>1.8157441578719066E-2</v>
      </c>
      <c r="L793" s="4">
        <f t="shared" si="24"/>
        <v>176.15442480532374</v>
      </c>
      <c r="M793" s="4">
        <f>L793/MAX(L$2:L793)-1</f>
        <v>-3.4910482067074255E-2</v>
      </c>
      <c r="N793" s="4">
        <f t="shared" si="25"/>
        <v>-7.6451913765180901E-3</v>
      </c>
    </row>
    <row r="794" spans="1:14">
      <c r="A794" s="3">
        <f>prices!A795</f>
        <v>44641</v>
      </c>
      <c r="B794" s="5">
        <f>prices!B795/prices!B794-1</f>
        <v>-5.7650732644727309E-3</v>
      </c>
      <c r="C794" s="5">
        <f>prices!C795/prices!C794-1</f>
        <v>-1.2538059177141125E-2</v>
      </c>
      <c r="D794" s="5">
        <f>prices!D795/prices!D794-1</f>
        <v>4.3609478563486626E-3</v>
      </c>
      <c r="E794" s="5">
        <f>prices!E795/prices!E794-1</f>
        <v>-8.3455038597946007E-4</v>
      </c>
      <c r="F794" s="5">
        <f>prices!F795/prices!F794-1</f>
        <v>-1.6205813835714622E-3</v>
      </c>
      <c r="G794" s="5">
        <f>prices!G795/prices!G794-1</f>
        <v>1.6320719146150076E-3</v>
      </c>
      <c r="H794" s="5">
        <f>prices!H795/prices!H794-1</f>
        <v>2.4127521383159323E-3</v>
      </c>
      <c r="I794" s="5">
        <f>prices!I795/prices!I794-1</f>
        <v>-1.7672814585515728E-2</v>
      </c>
      <c r="J794" s="5">
        <f>prices!J795/prices!J794-1</f>
        <v>-9.8021351242694177E-3</v>
      </c>
      <c r="K794" s="8">
        <f>SUMPRODUCT(B794:I794,weights!$B$5:$I$5)</f>
        <v>-4.5167183839023919E-3</v>
      </c>
      <c r="L794" s="4">
        <f t="shared" si="24"/>
        <v>175.35878487639977</v>
      </c>
      <c r="M794" s="4">
        <f>L794/MAX(L$2:L794)-1</f>
        <v>-3.9269519634833494E-2</v>
      </c>
      <c r="N794" s="4">
        <f t="shared" si="25"/>
        <v>-1.1238998115717935E-2</v>
      </c>
    </row>
    <row r="795" spans="1:14">
      <c r="A795" s="3">
        <f>prices!A796</f>
        <v>44642</v>
      </c>
      <c r="B795" s="5">
        <f>prices!B796/prices!B795-1</f>
        <v>2.5833758377851179E-2</v>
      </c>
      <c r="C795" s="5">
        <f>prices!C796/prices!C795-1</f>
        <v>2.0473735808481885E-2</v>
      </c>
      <c r="D795" s="5">
        <f>prices!D796/prices!D795-1</f>
        <v>5.1471539689158519E-3</v>
      </c>
      <c r="E795" s="5">
        <f>prices!E796/prices!E795-1</f>
        <v>1.853512338324359E-2</v>
      </c>
      <c r="F795" s="5">
        <f>prices!F796/prices!F795-1</f>
        <v>2.1456832707720475E-2</v>
      </c>
      <c r="G795" s="5">
        <f>prices!G796/prices!G795-1</f>
        <v>7.9282677944358948E-3</v>
      </c>
      <c r="H795" s="5">
        <f>prices!H796/prices!H795-1</f>
        <v>3.3081231534404232E-4</v>
      </c>
      <c r="I795" s="5">
        <f>prices!I796/prices!I795-1</f>
        <v>1.0106698458533625E-2</v>
      </c>
      <c r="J795" s="5">
        <f>prices!J796/prices!J795-1</f>
        <v>1.1561200168247909E-2</v>
      </c>
      <c r="K795" s="8">
        <f>SUMPRODUCT(B795:I795,weights!$B$5:$I$5)</f>
        <v>1.2415378312486736E-2</v>
      </c>
      <c r="L795" s="4">
        <f t="shared" si="24"/>
        <v>177.53593053105826</v>
      </c>
      <c r="M795" s="4">
        <f>L795/MAX(L$2:L795)-1</f>
        <v>-2.7341687264762826E-2</v>
      </c>
      <c r="N795" s="4">
        <f t="shared" si="25"/>
        <v>7.1731918436945818E-4</v>
      </c>
    </row>
    <row r="796" spans="1:14">
      <c r="A796" s="3">
        <f>prices!A797</f>
        <v>44643</v>
      </c>
      <c r="B796" s="5">
        <f>prices!B797/prices!B796-1</f>
        <v>3.1838799720864674E-3</v>
      </c>
      <c r="C796" s="5">
        <f>prices!C797/prices!C796-1</f>
        <v>3.0928090639759098E-3</v>
      </c>
      <c r="D796" s="5">
        <f>prices!D797/prices!D796-1</f>
        <v>-9.9698187695784757E-3</v>
      </c>
      <c r="E796" s="5">
        <f>prices!E797/prices!E796-1</f>
        <v>-7.9472275150141991E-3</v>
      </c>
      <c r="F796" s="5">
        <f>prices!F797/prices!F796-1</f>
        <v>9.0380890897352462E-3</v>
      </c>
      <c r="G796" s="5">
        <f>prices!G797/prices!G796-1</f>
        <v>-1.5681922980468666E-2</v>
      </c>
      <c r="H796" s="5">
        <f>prices!H797/prices!H796-1</f>
        <v>-1.4550928248871053E-2</v>
      </c>
      <c r="I796" s="5">
        <f>prices!I797/prices!I796-1</f>
        <v>-3.8314176245211051E-3</v>
      </c>
      <c r="J796" s="5">
        <f>prices!J797/prices!J796-1</f>
        <v>-4.0339580144955756E-3</v>
      </c>
      <c r="K796" s="8">
        <f>SUMPRODUCT(B796:I796,weights!$B$5:$I$5)</f>
        <v>-5.9801196839536254E-3</v>
      </c>
      <c r="L796" s="4">
        <f t="shared" si="24"/>
        <v>176.47424441828045</v>
      </c>
      <c r="M796" s="4">
        <f>L796/MAX(L$2:L796)-1</f>
        <v>-3.3158300386511907E-2</v>
      </c>
      <c r="N796" s="4">
        <f t="shared" si="25"/>
        <v>1.9124459662591686E-3</v>
      </c>
    </row>
    <row r="797" spans="1:14">
      <c r="A797" s="3">
        <f>prices!A798</f>
        <v>44644</v>
      </c>
      <c r="B797" s="5">
        <f>prices!B798/prices!B797-1</f>
        <v>1.5538454849789218E-2</v>
      </c>
      <c r="C797" s="5">
        <f>prices!C798/prices!C797-1</f>
        <v>1.0087060757162813E-2</v>
      </c>
      <c r="D797" s="5">
        <f>prices!D798/prices!D797-1</f>
        <v>-2.474932817060127E-2</v>
      </c>
      <c r="E797" s="5">
        <f>prices!E798/prices!E797-1</f>
        <v>7.6401298275043938E-3</v>
      </c>
      <c r="F797" s="5">
        <f>prices!F798/prices!F797-1</f>
        <v>1.1319454697573672E-2</v>
      </c>
      <c r="G797" s="5">
        <f>prices!G798/prices!G797-1</f>
        <v>-1.1497826864150684E-2</v>
      </c>
      <c r="H797" s="5">
        <f>prices!H798/prices!H797-1</f>
        <v>8.9335308276246028E-3</v>
      </c>
      <c r="I797" s="5">
        <f>prices!I798/prices!I797-1</f>
        <v>2.4291497975710286E-3</v>
      </c>
      <c r="J797" s="5">
        <f>prices!J798/prices!J797-1</f>
        <v>-1.3278710863320331E-3</v>
      </c>
      <c r="K797" s="8">
        <f>SUMPRODUCT(B797:I797,weights!$B$5:$I$5)</f>
        <v>2.2083066403698923E-3</v>
      </c>
      <c r="L797" s="4">
        <f t="shared" si="24"/>
        <v>176.86395366408362</v>
      </c>
      <c r="M797" s="4">
        <f>L797/MAX(L$2:L797)-1</f>
        <v>-3.102321744106884E-2</v>
      </c>
      <c r="N797" s="4">
        <f t="shared" si="25"/>
        <v>1.0988470675078021E-2</v>
      </c>
    </row>
    <row r="798" spans="1:14">
      <c r="A798" s="3">
        <f>prices!A799</f>
        <v>44645</v>
      </c>
      <c r="B798" s="5">
        <f>prices!B799/prices!B798-1</f>
        <v>6.6699773957119568E-3</v>
      </c>
      <c r="C798" s="5">
        <f>prices!C799/prices!C798-1</f>
        <v>-1.1304584535107964E-2</v>
      </c>
      <c r="D798" s="5">
        <f>prices!D799/prices!D798-1</f>
        <v>-8.1332128412912041E-3</v>
      </c>
      <c r="E798" s="5">
        <f>prices!E799/prices!E798-1</f>
        <v>-5.3805275571077171E-3</v>
      </c>
      <c r="F798" s="5">
        <f>prices!F799/prices!F798-1</f>
        <v>-5.8883643972943434E-3</v>
      </c>
      <c r="G798" s="5">
        <f>prices!G799/prices!G798-1</f>
        <v>-1.8724962135751477E-2</v>
      </c>
      <c r="H798" s="5">
        <f>prices!H799/prices!H798-1</f>
        <v>-7.1454787356058924E-3</v>
      </c>
      <c r="I798" s="5">
        <f>prices!I799/prices!I798-1</f>
        <v>-1.1540197662263663E-2</v>
      </c>
      <c r="J798" s="5">
        <f>prices!J799/prices!J798-1</f>
        <v>-4.049875890900112E-3</v>
      </c>
      <c r="K798" s="8">
        <f>SUMPRODUCT(B798:I798,weights!$B$5:$I$5)</f>
        <v>-8.6873155017796501E-3</v>
      </c>
      <c r="L798" s="4">
        <f t="shared" si="24"/>
        <v>175.32748069771159</v>
      </c>
      <c r="M798" s="4">
        <f>L798/MAX(L$2:L798)-1</f>
        <v>-3.9441024465057595E-2</v>
      </c>
      <c r="N798" s="4">
        <f t="shared" si="25"/>
        <v>5.0629260922878672E-3</v>
      </c>
    </row>
    <row r="799" spans="1:14">
      <c r="A799" s="3">
        <f>prices!A800</f>
        <v>44648</v>
      </c>
      <c r="B799" s="5">
        <f>prices!B800/prices!B799-1</f>
        <v>1.005349958748325E-2</v>
      </c>
      <c r="C799" s="5">
        <f>prices!C800/prices!C799-1</f>
        <v>6.4964996241201334E-5</v>
      </c>
      <c r="D799" s="5">
        <f>prices!D800/prices!D799-1</f>
        <v>1.3293105508422887E-3</v>
      </c>
      <c r="E799" s="5">
        <f>prices!E800/prices!E799-1</f>
        <v>-1.413054684609949E-3</v>
      </c>
      <c r="F799" s="5">
        <f>prices!F800/prices!F799-1</f>
        <v>1.458782063833941E-2</v>
      </c>
      <c r="G799" s="5">
        <f>prices!G800/prices!G799-1</f>
        <v>8.3471723265324815E-3</v>
      </c>
      <c r="H799" s="5">
        <f>prices!H800/prices!H799-1</f>
        <v>3.9276843990065924E-3</v>
      </c>
      <c r="I799" s="5">
        <f>prices!I800/prices!I799-1</f>
        <v>-5.4258675078864282E-3</v>
      </c>
      <c r="J799" s="5">
        <f>prices!J800/prices!J799-1</f>
        <v>4.0226199498629711E-3</v>
      </c>
      <c r="K799" s="8">
        <f>SUMPRODUCT(B799:I799,weights!$B$5:$I$5)</f>
        <v>3.6302791644313307E-3</v>
      </c>
      <c r="L799" s="4">
        <f t="shared" si="24"/>
        <v>175.96396839784074</v>
      </c>
      <c r="M799" s="4">
        <f>L799/MAX(L$2:L799)-1</f>
        <v>-3.5953927229965488E-2</v>
      </c>
      <c r="N799" s="4">
        <f t="shared" si="25"/>
        <v>5.3029606723893119E-2</v>
      </c>
    </row>
    <row r="800" spans="1:14">
      <c r="A800" s="3">
        <f>prices!A801</f>
        <v>44649</v>
      </c>
      <c r="B800" s="5">
        <f>prices!B801/prices!B800-1</f>
        <v>2.2736267715339764E-4</v>
      </c>
      <c r="C800" s="5">
        <f>prices!C801/prices!C800-1</f>
        <v>-6.34140909203329E-4</v>
      </c>
      <c r="D800" s="5">
        <f>prices!D801/prices!D800-1</f>
        <v>1.326054205635363E-2</v>
      </c>
      <c r="E800" s="5">
        <f>prices!E801/prices!E800-1</f>
        <v>6.4558053662744364E-3</v>
      </c>
      <c r="F800" s="5">
        <f>prices!F801/prices!F800-1</f>
        <v>-9.5532181800636051E-3</v>
      </c>
      <c r="G800" s="5">
        <f>prices!G801/prices!G800-1</f>
        <v>-5.1088501586012969E-3</v>
      </c>
      <c r="H800" s="5">
        <f>prices!H801/prices!H800-1</f>
        <v>1.4843794948507183E-2</v>
      </c>
      <c r="I800" s="5">
        <f>prices!I801/prices!I800-1</f>
        <v>2.8999166273968591E-3</v>
      </c>
      <c r="J800" s="5">
        <f>prices!J801/prices!J800-1</f>
        <v>5.9981419115084922E-3</v>
      </c>
      <c r="K800" s="8">
        <f>SUMPRODUCT(B800:I800,weights!$B$5:$I$5)</f>
        <v>2.524711873616736E-3</v>
      </c>
      <c r="L800" s="4">
        <f t="shared" si="24"/>
        <v>176.4082267181835</v>
      </c>
      <c r="M800" s="4">
        <f>L800/MAX(L$2:L800)-1</f>
        <v>-3.3519988663329392E-2</v>
      </c>
      <c r="N800" s="4">
        <f t="shared" si="25"/>
        <v>3.7306360215692225E-2</v>
      </c>
    </row>
    <row r="801" spans="1:14">
      <c r="A801" s="3">
        <f>prices!A802</f>
        <v>44650</v>
      </c>
      <c r="B801" s="5">
        <f>prices!B802/prices!B801-1</f>
        <v>1.9220407476006285E-2</v>
      </c>
      <c r="C801" s="5">
        <f>prices!C802/prices!C801-1</f>
        <v>7.0728362847334303E-3</v>
      </c>
      <c r="D801" s="5">
        <f>prices!D802/prices!D801-1</f>
        <v>1.7311938760488754E-2</v>
      </c>
      <c r="E801" s="5">
        <f>prices!E802/prices!E801-1</f>
        <v>9.5159937485291834E-3</v>
      </c>
      <c r="F801" s="5">
        <f>prices!F802/prices!F801-1</f>
        <v>-2.1190568978955548E-2</v>
      </c>
      <c r="G801" s="5">
        <f>prices!G802/prices!G801-1</f>
        <v>2.1434191949122106E-2</v>
      </c>
      <c r="H801" s="5">
        <f>prices!H802/prices!H801-1</f>
        <v>1.360621350416702E-3</v>
      </c>
      <c r="I801" s="5">
        <f>prices!I802/prices!I801-1</f>
        <v>1.5427524969578776E-2</v>
      </c>
      <c r="J801" s="5">
        <f>prices!J802/prices!J801-1</f>
        <v>9.9825111253484256E-3</v>
      </c>
      <c r="K801" s="8">
        <f>SUMPRODUCT(B801:I801,weights!$B$5:$I$5)</f>
        <v>1.0799988165971747E-2</v>
      </c>
      <c r="L801" s="4">
        <f t="shared" si="24"/>
        <v>178.31343347911994</v>
      </c>
      <c r="M801" s="4">
        <f>L801/MAX(L$2:L801)-1</f>
        <v>-2.3082015978245107E-2</v>
      </c>
      <c r="N801" s="4">
        <f t="shared" si="25"/>
        <v>3.7123426021299144E-2</v>
      </c>
    </row>
    <row r="802" spans="1:14">
      <c r="A802" s="3">
        <f>prices!A803</f>
        <v>44651</v>
      </c>
      <c r="B802" s="5">
        <f>prices!B803/prices!B802-1</f>
        <v>-1.4290080371377023E-2</v>
      </c>
      <c r="C802" s="5">
        <f>prices!C803/prices!C802-1</f>
        <v>2.2498709090461588E-3</v>
      </c>
      <c r="D802" s="5">
        <f>prices!D803/prices!D802-1</f>
        <v>-4.4713917749542587E-3</v>
      </c>
      <c r="E802" s="5">
        <f>prices!E803/prices!E802-1</f>
        <v>1.5242262310368737E-3</v>
      </c>
      <c r="F802" s="5">
        <f>prices!F803/prices!F802-1</f>
        <v>5.8229234061613067E-3</v>
      </c>
      <c r="G802" s="5">
        <f>prices!G803/prices!G802-1</f>
        <v>-4.9088107778852974E-3</v>
      </c>
      <c r="H802" s="5">
        <f>prices!H803/prices!H802-1</f>
        <v>-6.3522617901828893E-3</v>
      </c>
      <c r="I802" s="5">
        <f>prices!I803/prices!I802-1</f>
        <v>-3.3518625083797104E-3</v>
      </c>
      <c r="J802" s="5">
        <f>prices!J803/prices!J802-1</f>
        <v>-1.9144771620018819E-3</v>
      </c>
      <c r="K802" s="8">
        <f>SUMPRODUCT(B802:I802,weights!$B$5:$I$5)</f>
        <v>-3.910387792338748E-3</v>
      </c>
      <c r="L802" s="4">
        <f t="shared" si="24"/>
        <v>177.61615880563318</v>
      </c>
      <c r="M802" s="4">
        <f>L802/MAX(L$2:L802)-1</f>
        <v>-2.6902144137080031E-2</v>
      </c>
      <c r="N802" s="4">
        <f t="shared" si="25"/>
        <v>5.5166881987114946E-2</v>
      </c>
    </row>
    <row r="803" spans="1:14">
      <c r="A803" s="3">
        <f>prices!A804</f>
        <v>44652</v>
      </c>
      <c r="B803" s="5">
        <f>prices!B804/prices!B803-1</f>
        <v>8.0028156503231251E-3</v>
      </c>
      <c r="C803" s="5">
        <f>prices!C804/prices!C803-1</f>
        <v>5.0263122385643122E-3</v>
      </c>
      <c r="D803" s="5">
        <f>prices!D804/prices!D803-1</f>
        <v>2.4259778769422979E-2</v>
      </c>
      <c r="E803" s="5">
        <f>prices!E804/prices!E803-1</f>
        <v>-1.7307956288457049E-3</v>
      </c>
      <c r="F803" s="5">
        <f>prices!F804/prices!F803-1</f>
        <v>1.0588817417120255E-2</v>
      </c>
      <c r="G803" s="5">
        <f>prices!G804/prices!G803-1</f>
        <v>1.8349970640046953E-2</v>
      </c>
      <c r="H803" s="5">
        <f>prices!H804/prices!H803-1</f>
        <v>-6.6093853271644853E-3</v>
      </c>
      <c r="I803" s="5">
        <f>prices!I804/prices!I803-1</f>
        <v>1.2696579721187096E-2</v>
      </c>
      <c r="J803" s="5">
        <f>prices!J804/prices!J803-1</f>
        <v>1.1778009991554539E-2</v>
      </c>
      <c r="K803" s="8">
        <f>SUMPRODUCT(B803:I803,weights!$B$5:$I$5)</f>
        <v>9.0733693758978141E-3</v>
      </c>
      <c r="L803" s="4">
        <f t="shared" si="24"/>
        <v>179.2277358216048</v>
      </c>
      <c r="M803" s="4">
        <f>L803/MAX(L$2:L803)-1</f>
        <v>-1.8072867851941621E-2</v>
      </c>
      <c r="N803" s="4">
        <f t="shared" si="25"/>
        <v>7.3111125614668815E-2</v>
      </c>
    </row>
    <row r="804" spans="1:14">
      <c r="A804" s="3">
        <f>prices!A805</f>
        <v>44655</v>
      </c>
      <c r="B804" s="5">
        <f>prices!B805/prices!B804-1</f>
        <v>2.9595637137536102E-3</v>
      </c>
      <c r="C804" s="5">
        <f>prices!C805/prices!C804-1</f>
        <v>3.0879736850937256E-3</v>
      </c>
      <c r="D804" s="5">
        <f>prices!D805/prices!D804-1</f>
        <v>0.10011920642579408</v>
      </c>
      <c r="E804" s="5">
        <f>prices!E805/prices!E804-1</f>
        <v>-1.0821281454954201E-2</v>
      </c>
      <c r="F804" s="5">
        <f>prices!F805/prices!F804-1</f>
        <v>8.4704269486877148E-3</v>
      </c>
      <c r="G804" s="5">
        <f>prices!G805/prices!G804-1</f>
        <v>9.7086718471635081E-3</v>
      </c>
      <c r="H804" s="5">
        <f>prices!H805/prices!H804-1</f>
        <v>1.9088260261086898E-2</v>
      </c>
      <c r="I804" s="5">
        <f>prices!I805/prices!I804-1</f>
        <v>2.0249102162451349E-2</v>
      </c>
      <c r="J804" s="5">
        <f>prices!J805/prices!J804-1</f>
        <v>2.1671774063478866E-2</v>
      </c>
      <c r="K804" s="8">
        <f>SUMPRODUCT(B804:I804,weights!$B$5:$I$5)</f>
        <v>1.6637852276924856E-2</v>
      </c>
      <c r="L804" s="4">
        <f t="shared" si="24"/>
        <v>182.20970041413236</v>
      </c>
      <c r="M804" s="4">
        <f>L804/MAX(L$2:L804)-1</f>
        <v>-1.7357092805578844E-3</v>
      </c>
      <c r="N804" s="4">
        <f t="shared" si="25"/>
        <v>0.10531453049023853</v>
      </c>
    </row>
    <row r="805" spans="1:14">
      <c r="A805" s="3">
        <f>prices!A806</f>
        <v>44656</v>
      </c>
      <c r="B805" s="5">
        <f>prices!B806/prices!B805-1</f>
        <v>-1.4132488975829638E-2</v>
      </c>
      <c r="C805" s="5">
        <f>prices!C806/prices!C805-1</f>
        <v>1.1787610081068323E-2</v>
      </c>
      <c r="D805" s="5">
        <f>prices!D806/prices!D805-1</f>
        <v>-2.9295287728486552E-2</v>
      </c>
      <c r="E805" s="5">
        <f>prices!E806/prices!E805-1</f>
        <v>-1.1604503998114302E-2</v>
      </c>
      <c r="F805" s="5">
        <f>prices!F806/prices!F805-1</f>
        <v>1.5681895421663317E-2</v>
      </c>
      <c r="G805" s="5">
        <f>prices!G806/prices!G805-1</f>
        <v>-1.6660807773067887E-3</v>
      </c>
      <c r="H805" s="5">
        <f>prices!H806/prices!H805-1</f>
        <v>3.2981381841103996E-3</v>
      </c>
      <c r="I805" s="5">
        <f>prices!I806/prices!I805-1</f>
        <v>5.3117942572706855E-3</v>
      </c>
      <c r="J805" s="5">
        <f>prices!J806/prices!J805-1</f>
        <v>-5.3175579115291027E-3</v>
      </c>
      <c r="K805" s="8">
        <f>SUMPRODUCT(B805:I805,weights!$B$5:$I$5)</f>
        <v>-1.3946258588789235E-3</v>
      </c>
      <c r="L805" s="4">
        <f t="shared" si="24"/>
        <v>181.95558605419623</v>
      </c>
      <c r="M805" s="4">
        <f>L805/MAX(L$2:L805)-1</f>
        <v>-3.1279144743905363E-3</v>
      </c>
      <c r="N805" s="4">
        <f t="shared" si="25"/>
        <v>0.13831139296351691</v>
      </c>
    </row>
    <row r="806" spans="1:14">
      <c r="A806" s="3">
        <f>prices!A807</f>
        <v>44657</v>
      </c>
      <c r="B806" s="5">
        <f>prices!B807/prices!B806-1</f>
        <v>-2.6736394286147602E-3</v>
      </c>
      <c r="C806" s="5">
        <f>prices!C807/prices!C806-1</f>
        <v>-1.5582814707916115E-2</v>
      </c>
      <c r="D806" s="5">
        <f>prices!D807/prices!D806-1</f>
        <v>-3.5694352159468479E-2</v>
      </c>
      <c r="E806" s="5">
        <f>prices!E807/prices!E806-1</f>
        <v>-1.7329835568356211E-2</v>
      </c>
      <c r="F806" s="5">
        <f>prices!F807/prices!F806-1</f>
        <v>5.7361376673048525E-4</v>
      </c>
      <c r="G806" s="5">
        <f>prices!G807/prices!G806-1</f>
        <v>-2.2746160404951699E-3</v>
      </c>
      <c r="H806" s="5">
        <f>prices!H807/prices!H806-1</f>
        <v>-1.077066340554822E-3</v>
      </c>
      <c r="I806" s="5">
        <f>prices!I807/prices!I806-1</f>
        <v>9.1233137342547899E-3</v>
      </c>
      <c r="J806" s="5">
        <f>prices!J807/prices!J806-1</f>
        <v>-8.3391805049728429E-3</v>
      </c>
      <c r="K806" s="8">
        <f>SUMPRODUCT(B806:I806,weights!$B$5:$I$5)</f>
        <v>-4.590448278312175E-3</v>
      </c>
      <c r="L806" s="4">
        <f t="shared" si="24"/>
        <v>181.12032834746446</v>
      </c>
      <c r="M806" s="4">
        <f>L806/MAX(L$2:L806)-1</f>
        <v>-7.7040042230890338E-3</v>
      </c>
      <c r="N806" s="4">
        <f t="shared" si="25"/>
        <v>0.11597941015435387</v>
      </c>
    </row>
    <row r="807" spans="1:14">
      <c r="A807" s="3">
        <f>prices!A808</f>
        <v>44658</v>
      </c>
      <c r="B807" s="5">
        <f>prices!B808/prices!B807-1</f>
        <v>-1.7636000370929272E-2</v>
      </c>
      <c r="C807" s="5">
        <f>prices!C808/prices!C807-1</f>
        <v>-1.8959951378475171E-2</v>
      </c>
      <c r="D807" s="5">
        <f>prices!D808/prices!D807-1</f>
        <v>-2.1980596439005518E-2</v>
      </c>
      <c r="E807" s="5">
        <f>prices!E808/prices!E807-1</f>
        <v>-9.7573724789824512E-3</v>
      </c>
      <c r="F807" s="5">
        <f>prices!F808/prices!F807-1</f>
        <v>-1.137015096502958E-2</v>
      </c>
      <c r="G807" s="5">
        <f>prices!G808/prices!G807-1</f>
        <v>-1.339079262999332E-2</v>
      </c>
      <c r="H807" s="5">
        <f>prices!H808/prices!H807-1</f>
        <v>3.0662099174483259E-3</v>
      </c>
      <c r="I807" s="5">
        <f>prices!I808/prices!I807-1</f>
        <v>-1.4299505934465384E-2</v>
      </c>
      <c r="J807" s="5">
        <f>prices!J808/prices!J807-1</f>
        <v>-9.4397632478178117E-3</v>
      </c>
      <c r="K807" s="8">
        <f>SUMPRODUCT(B807:I807,weights!$B$5:$I$5)</f>
        <v>-1.2278557738782654E-2</v>
      </c>
      <c r="L807" s="4">
        <f t="shared" si="24"/>
        <v>178.89643193818284</v>
      </c>
      <c r="M807" s="4">
        <f>L807/MAX(L$2:L807)-1</f>
        <v>-1.9887967901198733E-2</v>
      </c>
      <c r="N807" s="4">
        <f t="shared" si="25"/>
        <v>7.5386573585954686E-2</v>
      </c>
    </row>
    <row r="808" spans="1:14">
      <c r="A808" s="3">
        <f>prices!A809</f>
        <v>44659</v>
      </c>
      <c r="B808" s="5">
        <f>prices!B809/prices!B808-1</f>
        <v>1.6631053214221536E-2</v>
      </c>
      <c r="C808" s="5">
        <f>prices!C809/prices!C808-1</f>
        <v>4.0782145514439705E-4</v>
      </c>
      <c r="D808" s="5">
        <f>prices!D809/prices!D808-1</f>
        <v>-1.3949752708929397E-3</v>
      </c>
      <c r="E808" s="5">
        <f>prices!E809/prices!E808-1</f>
        <v>1.9857852963911515E-3</v>
      </c>
      <c r="F808" s="5">
        <f>prices!F809/prices!F808-1</f>
        <v>4.3442543732482797E-2</v>
      </c>
      <c r="G808" s="5">
        <f>prices!G809/prices!G808-1</f>
        <v>-1.0804032153062804E-2</v>
      </c>
      <c r="H808" s="5">
        <f>prices!H809/prices!H808-1</f>
        <v>-6.8190979531509432E-3</v>
      </c>
      <c r="I808" s="5">
        <f>prices!I809/prices!I808-1</f>
        <v>2.437029013896197E-3</v>
      </c>
      <c r="J808" s="5">
        <f>prices!J809/prices!J808-1</f>
        <v>8.208826188876639E-3</v>
      </c>
      <c r="K808" s="8">
        <f>SUMPRODUCT(B808:I808,weights!$B$5:$I$5)</f>
        <v>3.201219350165963E-3</v>
      </c>
      <c r="L808" s="4">
        <f t="shared" si="24"/>
        <v>179.46911865777901</v>
      </c>
      <c r="M808" s="4">
        <f>L808/MAX(L$2:L808)-1</f>
        <v>-1.6750414298713601E-2</v>
      </c>
      <c r="N808" s="4">
        <f t="shared" si="25"/>
        <v>6.3701425442949988E-2</v>
      </c>
    </row>
    <row r="809" spans="1:14">
      <c r="A809" s="3">
        <f>prices!A810</f>
        <v>44662</v>
      </c>
      <c r="B809" s="5">
        <f>prices!B810/prices!B809-1</f>
        <v>-2.0765276406088384E-3</v>
      </c>
      <c r="C809" s="5">
        <f>prices!C810/prices!C809-1</f>
        <v>2.9158238680566662E-3</v>
      </c>
      <c r="D809" s="5">
        <f>prices!D810/prices!D809-1</f>
        <v>-1.2205446592352343E-2</v>
      </c>
      <c r="E809" s="5">
        <f>prices!E810/prices!E809-1</f>
        <v>-2.6479018106330021E-2</v>
      </c>
      <c r="F809" s="5">
        <f>prices!F810/prices!F809-1</f>
        <v>-1.1114713101468832E-3</v>
      </c>
      <c r="G809" s="5">
        <f>prices!G810/prices!G809-1</f>
        <v>9.8648843370030548E-4</v>
      </c>
      <c r="H809" s="5">
        <f>prices!H810/prices!H809-1</f>
        <v>8.681044882128397E-4</v>
      </c>
      <c r="I809" s="5">
        <f>prices!I810/prices!I809-1</f>
        <v>-2.6903071927354194E-2</v>
      </c>
      <c r="J809" s="5">
        <f>prices!J810/prices!J809-1</f>
        <v>-6.1514758762618582E-3</v>
      </c>
      <c r="K809" s="8">
        <f>SUMPRODUCT(B809:I809,weights!$B$5:$I$5)</f>
        <v>-8.2301827529766697E-3</v>
      </c>
      <c r="L809" s="4">
        <f t="shared" si="24"/>
        <v>177.99205501270981</v>
      </c>
      <c r="M809" s="4">
        <f>L809/MAX(L$2:L809)-1</f>
        <v>-2.4842738080823823E-2</v>
      </c>
      <c r="N809" s="4">
        <f t="shared" si="25"/>
        <v>5.0553462528133641E-2</v>
      </c>
    </row>
    <row r="810" spans="1:14">
      <c r="A810" s="3">
        <f>prices!A811</f>
        <v>44663</v>
      </c>
      <c r="B810" s="5">
        <f>prices!B811/prices!B810-1</f>
        <v>-1.8829142030603707E-2</v>
      </c>
      <c r="C810" s="5">
        <f>prices!C811/prices!C810-1</f>
        <v>-1.4335049195282057E-3</v>
      </c>
      <c r="D810" s="5">
        <f>prices!D811/prices!D810-1</f>
        <v>-1.7713020498535403E-3</v>
      </c>
      <c r="E810" s="5">
        <f>prices!E811/prices!E810-1</f>
        <v>-1.3638267031728213E-2</v>
      </c>
      <c r="F810" s="5">
        <f>prices!F811/prices!F810-1</f>
        <v>-1.0107098150122895E-2</v>
      </c>
      <c r="G810" s="5">
        <f>prices!G811/prices!G810-1</f>
        <v>6.9982725782875566E-3</v>
      </c>
      <c r="H810" s="5">
        <f>prices!H811/prices!H810-1</f>
        <v>-4.4268721276019551E-3</v>
      </c>
      <c r="I810" s="5">
        <f>prices!I811/prices!I810-1</f>
        <v>-1.8970669879632029E-2</v>
      </c>
      <c r="J810" s="5">
        <f>prices!J811/prices!J810-1</f>
        <v>-8.1838986814674053E-3</v>
      </c>
      <c r="K810" s="8">
        <f>SUMPRODUCT(B810:I810,weights!$B$5:$I$5)</f>
        <v>-7.6998099631903349E-3</v>
      </c>
      <c r="L810" s="4">
        <f t="shared" si="24"/>
        <v>176.62155001415422</v>
      </c>
      <c r="M810" s="4">
        <f>L810/MAX(L$2:L810)-1</f>
        <v>-3.2351263681826503E-2</v>
      </c>
      <c r="N810" s="4">
        <f t="shared" si="25"/>
        <v>2.7079506219817917E-2</v>
      </c>
    </row>
    <row r="811" spans="1:14">
      <c r="A811" s="3">
        <f>prices!A812</f>
        <v>44664</v>
      </c>
      <c r="B811" s="5">
        <f>prices!B812/prices!B811-1</f>
        <v>-3.6725720936247042E-3</v>
      </c>
      <c r="C811" s="5">
        <f>prices!C812/prices!C811-1</f>
        <v>-7.8955954323001176E-3</v>
      </c>
      <c r="D811" s="5">
        <f>prices!D812/prices!D811-1</f>
        <v>-1.9118215251641923E-2</v>
      </c>
      <c r="E811" s="5">
        <f>prices!E812/prices!E811-1</f>
        <v>3.5007968231575148E-3</v>
      </c>
      <c r="F811" s="5">
        <f>prices!F812/prices!F811-1</f>
        <v>1.7938269870263701E-2</v>
      </c>
      <c r="G811" s="5">
        <f>prices!G812/prices!G811-1</f>
        <v>-1.9537607213547359E-2</v>
      </c>
      <c r="H811" s="5">
        <f>prices!H812/prices!H811-1</f>
        <v>1.6767930484369087E-2</v>
      </c>
      <c r="I811" s="5">
        <f>prices!I812/prices!I811-1</f>
        <v>7.4953943962143832E-3</v>
      </c>
      <c r="J811" s="5">
        <f>prices!J812/prices!J811-1</f>
        <v>-3.1174594844354253E-3</v>
      </c>
      <c r="K811" s="8">
        <f>SUMPRODUCT(B811:I811,weights!$B$5:$I$5)</f>
        <v>-5.7745589354240147E-4</v>
      </c>
      <c r="L811" s="4">
        <f t="shared" si="24"/>
        <v>176.51955885917195</v>
      </c>
      <c r="M811" s="4">
        <f>L811/MAX(L$2:L811)-1</f>
        <v>-3.2910038147492382E-2</v>
      </c>
      <c r="N811" s="4">
        <f t="shared" si="25"/>
        <v>3.2153049485264873E-2</v>
      </c>
    </row>
    <row r="812" spans="1:14">
      <c r="A812" s="3">
        <f>prices!A813</f>
        <v>44669</v>
      </c>
      <c r="B812" s="5">
        <f>prices!B813/prices!B812-1</f>
        <v>-3.0544523185283001E-3</v>
      </c>
      <c r="C812" s="5">
        <f>prices!C813/prices!C812-1</f>
        <v>-3.65661918542739E-2</v>
      </c>
      <c r="D812" s="5">
        <f>prices!D813/prices!D812-1</f>
        <v>-4.7443285432927418E-2</v>
      </c>
      <c r="E812" s="5">
        <f>prices!E813/prices!E812-1</f>
        <v>-7.2720054151154678E-2</v>
      </c>
      <c r="F812" s="5">
        <f>prices!F813/prices!F812-1</f>
        <v>2.0244777767552957E-3</v>
      </c>
      <c r="G812" s="5">
        <f>prices!G813/prices!G812-1</f>
        <v>1.3922496095644776E-2</v>
      </c>
      <c r="H812" s="5">
        <f>prices!H813/prices!H812-1</f>
        <v>-9.8814889000167216E-3</v>
      </c>
      <c r="I812" s="5">
        <f>prices!I813/prices!I812-1</f>
        <v>-1.2751946554165894E-2</v>
      </c>
      <c r="J812" s="5">
        <f>prices!J813/prices!J812-1</f>
        <v>-1.7281188396425895E-2</v>
      </c>
      <c r="K812" s="8">
        <f>SUMPRODUCT(B812:I812,weights!$B$5:$I$5)</f>
        <v>-1.4416979381232549E-2</v>
      </c>
      <c r="L812" s="4">
        <f t="shared" si="24"/>
        <v>173.97468001871499</v>
      </c>
      <c r="M812" s="4">
        <f>L812/MAX(L$2:L812)-1</f>
        <v>-4.6852554187317041E-2</v>
      </c>
      <c r="N812" s="4">
        <f t="shared" si="25"/>
        <v>5.5587039785662817E-3</v>
      </c>
    </row>
    <row r="813" spans="1:14">
      <c r="A813" s="3">
        <f>prices!A814</f>
        <v>44670</v>
      </c>
      <c r="B813" s="5">
        <f>prices!B814/prices!B813-1</f>
        <v>3.8111026246354651E-2</v>
      </c>
      <c r="C813" s="5">
        <f>prices!C814/prices!C813-1</f>
        <v>-1.5916309340754053E-2</v>
      </c>
      <c r="D813" s="5">
        <f>prices!D814/prices!D813-1</f>
        <v>-3.8166419064830759E-2</v>
      </c>
      <c r="E813" s="5">
        <f>prices!E814/prices!E813-1</f>
        <v>-3.663201634016755E-2</v>
      </c>
      <c r="F813" s="5">
        <f>prices!F814/prices!F813-1</f>
        <v>-3.1637432271099386E-2</v>
      </c>
      <c r="G813" s="5">
        <f>prices!G814/prices!G813-1</f>
        <v>-1.8273401388479882E-2</v>
      </c>
      <c r="H813" s="5">
        <f>prices!H814/prices!H813-1</f>
        <v>-5.9228789462445475E-3</v>
      </c>
      <c r="I813" s="5">
        <f>prices!I814/prices!I813-1</f>
        <v>-1.8751551028066804E-2</v>
      </c>
      <c r="J813" s="5">
        <f>prices!J814/prices!J813-1</f>
        <v>-1.251917909122402E-2</v>
      </c>
      <c r="K813" s="8">
        <f>SUMPRODUCT(B813:I813,weights!$B$5:$I$5)</f>
        <v>-1.3273418507557427E-2</v>
      </c>
      <c r="L813" s="4">
        <f t="shared" si="24"/>
        <v>171.6654412811082</v>
      </c>
      <c r="M813" s="4">
        <f>L813/MAX(L$2:L813)-1</f>
        <v>-5.9504079134998111E-2</v>
      </c>
      <c r="N813" s="4">
        <f t="shared" si="25"/>
        <v>-2.5483228872487995E-2</v>
      </c>
    </row>
    <row r="814" spans="1:14">
      <c r="A814" s="3">
        <f>prices!A815</f>
        <v>44671</v>
      </c>
      <c r="B814" s="5">
        <f>prices!B815/prices!B814-1</f>
        <v>2.9396272793398515E-2</v>
      </c>
      <c r="C814" s="5">
        <f>prices!C815/prices!C814-1</f>
        <v>2.4455507361758499E-2</v>
      </c>
      <c r="D814" s="5">
        <f>prices!D815/prices!D814-1</f>
        <v>9.0285186541614326E-3</v>
      </c>
      <c r="E814" s="5">
        <f>prices!E815/prices!E814-1</f>
        <v>1.6451490688660142E-2</v>
      </c>
      <c r="F814" s="5">
        <f>prices!F815/prices!F814-1</f>
        <v>-7.6343117264924265E-3</v>
      </c>
      <c r="G814" s="5">
        <f>prices!G815/prices!G814-1</f>
        <v>3.1149782893745481E-2</v>
      </c>
      <c r="H814" s="5">
        <f>prices!H815/prices!H814-1</f>
        <v>1.6280384397966419E-3</v>
      </c>
      <c r="I814" s="5">
        <f>prices!I815/prices!I814-1</f>
        <v>-8.2965795885636684E-3</v>
      </c>
      <c r="J814" s="5">
        <f>prices!J815/prices!J814-1</f>
        <v>1.0490221804211775E-2</v>
      </c>
      <c r="K814" s="8">
        <f>SUMPRODUCT(B814:I814,weights!$B$5:$I$5)</f>
        <v>1.1982048872384141E-2</v>
      </c>
      <c r="L814" s="4">
        <f t="shared" si="24"/>
        <v>173.72234498823781</v>
      </c>
      <c r="M814" s="4">
        <f>L814/MAX(L$2:L814)-1</f>
        <v>-4.8235011046915854E-2</v>
      </c>
      <c r="N814" s="4">
        <f t="shared" si="25"/>
        <v>-9.3319527123513213E-3</v>
      </c>
    </row>
    <row r="815" spans="1:14">
      <c r="A815" s="3">
        <f>prices!A816</f>
        <v>44672</v>
      </c>
      <c r="B815" s="5">
        <f>prices!B816/prices!B815-1</f>
        <v>2.3415608781462316E-2</v>
      </c>
      <c r="C815" s="5">
        <f>prices!C816/prices!C815-1</f>
        <v>2.0198893317339373E-2</v>
      </c>
      <c r="D815" s="5">
        <f>prices!D816/prices!D815-1</f>
        <v>1.4802423936371767E-2</v>
      </c>
      <c r="E815" s="5">
        <f>prices!E816/prices!E815-1</f>
        <v>1.9589993548849716E-2</v>
      </c>
      <c r="F815" s="5">
        <f>prices!F816/prices!F815-1</f>
        <v>3.2492354740061291E-3</v>
      </c>
      <c r="G815" s="5">
        <f>prices!G816/prices!G815-1</f>
        <v>2.7716086311597055E-2</v>
      </c>
      <c r="H815" s="5">
        <f>prices!H816/prices!H815-1</f>
        <v>2.2303993498431041E-2</v>
      </c>
      <c r="I815" s="5">
        <f>prices!I816/prices!I815-1</f>
        <v>1.3534863469552683E-2</v>
      </c>
      <c r="J815" s="5">
        <f>prices!J816/prices!J815-1</f>
        <v>1.4941747317867238E-2</v>
      </c>
      <c r="K815" s="8">
        <f>SUMPRODUCT(B815:I815,weights!$B$5:$I$5)</f>
        <v>1.9204201688422618E-2</v>
      </c>
      <c r="L815" s="4">
        <f t="shared" si="24"/>
        <v>177.05854393917767</v>
      </c>
      <c r="M815" s="4">
        <f>L815/MAX(L$2:L815)-1</f>
        <v>-2.9957124239081478E-2</v>
      </c>
      <c r="N815" s="4">
        <f t="shared" si="25"/>
        <v>-2.6889576124258241E-3</v>
      </c>
    </row>
    <row r="816" spans="1:14">
      <c r="A816" s="3">
        <f>prices!A817</f>
        <v>44673</v>
      </c>
      <c r="B816" s="5">
        <f>prices!B817/prices!B816-1</f>
        <v>-8.3726171769598068E-3</v>
      </c>
      <c r="C816" s="5">
        <f>prices!C817/prices!C816-1</f>
        <v>-4.437701498198332E-3</v>
      </c>
      <c r="D816" s="5">
        <f>prices!D817/prices!D816-1</f>
        <v>-1.3653469349671821E-2</v>
      </c>
      <c r="E816" s="5">
        <f>prices!E817/prices!E816-1</f>
        <v>-2.0605583403049854E-2</v>
      </c>
      <c r="F816" s="5">
        <f>prices!F817/prices!F816-1</f>
        <v>2.714802819584694E-3</v>
      </c>
      <c r="G816" s="5">
        <f>prices!G817/prices!G816-1</f>
        <v>3.2109299203912922E-3</v>
      </c>
      <c r="H816" s="5">
        <f>prices!H817/prices!H816-1</f>
        <v>-2.0448272054764405E-2</v>
      </c>
      <c r="I816" s="5">
        <f>prices!I817/prices!I816-1</f>
        <v>-1.1752359677439261E-2</v>
      </c>
      <c r="J816" s="5">
        <f>prices!J817/prices!J816-1</f>
        <v>-1.2686429860975235E-2</v>
      </c>
      <c r="K816" s="8">
        <f>SUMPRODUCT(B816:I816,weights!$B$5:$I$5)</f>
        <v>-8.76519802471642E-3</v>
      </c>
      <c r="L816" s="4">
        <f t="shared" si="24"/>
        <v>175.50659073958283</v>
      </c>
      <c r="M816" s="4">
        <f>L816/MAX(L$2:L816)-1</f>
        <v>-3.8459742137591291E-2</v>
      </c>
      <c r="N816" s="4">
        <f t="shared" si="25"/>
        <v>-5.483257241799433E-3</v>
      </c>
    </row>
    <row r="817" spans="1:14">
      <c r="A817" s="3">
        <f>prices!A818</f>
        <v>44676</v>
      </c>
      <c r="B817" s="5">
        <f>prices!B818/prices!B817-1</f>
        <v>-2.3129066594104963E-2</v>
      </c>
      <c r="C817" s="5">
        <f>prices!C818/prices!C817-1</f>
        <v>-1.7810880829015607E-2</v>
      </c>
      <c r="D817" s="5">
        <f>prices!D818/prices!D817-1</f>
        <v>7.4888062054612181E-3</v>
      </c>
      <c r="E817" s="5">
        <f>prices!E818/prices!E817-1</f>
        <v>-1.5354025496726709E-2</v>
      </c>
      <c r="F817" s="5">
        <f>prices!F818/prices!F817-1</f>
        <v>-2.2419607656866014E-2</v>
      </c>
      <c r="G817" s="5">
        <f>prices!G818/prices!G817-1</f>
        <v>9.9358014747386036E-4</v>
      </c>
      <c r="H817" s="5">
        <f>prices!H818/prices!H817-1</f>
        <v>-2.6815302418900289E-2</v>
      </c>
      <c r="I817" s="5">
        <f>prices!I818/prices!I817-1</f>
        <v>-2.1834305195893911E-2</v>
      </c>
      <c r="J817" s="5">
        <f>prices!J818/prices!J817-1</f>
        <v>-1.2695121986728397E-2</v>
      </c>
      <c r="K817" s="8">
        <f>SUMPRODUCT(B817:I817,weights!$B$5:$I$5)</f>
        <v>-1.527940996564606E-2</v>
      </c>
      <c r="L817" s="4">
        <f t="shared" si="24"/>
        <v>172.82495358799989</v>
      </c>
      <c r="M817" s="4">
        <f>L817/MAX(L$2:L817)-1</f>
        <v>-5.3151509935944086E-2</v>
      </c>
      <c r="N817" s="4">
        <f t="shared" si="25"/>
        <v>-2.283676233855414E-2</v>
      </c>
    </row>
    <row r="818" spans="1:14">
      <c r="A818" s="3">
        <f>prices!A819</f>
        <v>44677</v>
      </c>
      <c r="B818" s="5">
        <f>prices!B819/prices!B818-1</f>
        <v>2.9927659121259165E-2</v>
      </c>
      <c r="C818" s="5">
        <f>prices!C819/prices!C818-1</f>
        <v>-5.3658126620248492E-4</v>
      </c>
      <c r="D818" s="5">
        <f>prices!D819/prices!D818-1</f>
        <v>4.6163716883402817E-3</v>
      </c>
      <c r="E818" s="5">
        <f>prices!E819/prices!E818-1</f>
        <v>1.2743032520977193E-2</v>
      </c>
      <c r="F818" s="5">
        <f>prices!F819/prices!F818-1</f>
        <v>1.4479374180068838E-2</v>
      </c>
      <c r="G818" s="5">
        <f>prices!G819/prices!G818-1</f>
        <v>-7.080503337763E-4</v>
      </c>
      <c r="H818" s="5">
        <f>prices!H819/prices!H818-1</f>
        <v>2.0060459352089E-2</v>
      </c>
      <c r="I818" s="5">
        <f>prices!I819/prices!I818-1</f>
        <v>2.5699139764466805E-2</v>
      </c>
      <c r="J818" s="5">
        <f>prices!J819/prices!J818-1</f>
        <v>1.4560028783852541E-2</v>
      </c>
      <c r="K818" s="8">
        <f>SUMPRODUCT(B818:I818,weights!$B$5:$I$5)</f>
        <v>1.4346964167415051E-2</v>
      </c>
      <c r="L818" s="4">
        <f t="shared" si="24"/>
        <v>175.30446700436207</v>
      </c>
      <c r="M818" s="4">
        <f>L818/MAX(L$2:L818)-1</f>
        <v>-3.9567108577024057E-2</v>
      </c>
      <c r="N818" s="4">
        <f t="shared" si="25"/>
        <v>-1.3126118768114203E-4</v>
      </c>
    </row>
    <row r="819" spans="1:14">
      <c r="A819" s="3">
        <f>prices!A820</f>
        <v>44678</v>
      </c>
      <c r="B819" s="5">
        <f>prices!B820/prices!B819-1</f>
        <v>9.7045675103801798E-4</v>
      </c>
      <c r="C819" s="5">
        <f>prices!C820/prices!C819-1</f>
        <v>4.2011642949546513E-3</v>
      </c>
      <c r="D819" s="5">
        <f>prices!D820/prices!D819-1</f>
        <v>3.5826661266713522E-4</v>
      </c>
      <c r="E819" s="5">
        <f>prices!E820/prices!E819-1</f>
        <v>-1.7837475975554407E-2</v>
      </c>
      <c r="F819" s="5">
        <f>prices!F820/prices!F819-1</f>
        <v>-5.6037166530963356E-3</v>
      </c>
      <c r="G819" s="5">
        <f>prices!G820/prices!G819-1</f>
        <v>-1.4968327062316766E-2</v>
      </c>
      <c r="H819" s="5">
        <f>prices!H820/prices!H819-1</f>
        <v>-1.3023583245336146E-2</v>
      </c>
      <c r="I819" s="5">
        <f>prices!I820/prices!I819-1</f>
        <v>-1.3468430271782683E-2</v>
      </c>
      <c r="J819" s="5">
        <f>prices!J820/prices!J819-1</f>
        <v>-9.4414213292404181E-3</v>
      </c>
      <c r="K819" s="8">
        <f>SUMPRODUCT(B819:I819,weights!$B$5:$I$5)</f>
        <v>-8.9885919316656862E-3</v>
      </c>
      <c r="L819" s="4">
        <f t="shared" si="24"/>
        <v>173.7287266866617</v>
      </c>
      <c r="M819" s="4">
        <f>L819/MAX(L$2:L819)-1</f>
        <v>-4.8200047915775035E-2</v>
      </c>
      <c r="N819" s="4">
        <f t="shared" si="25"/>
        <v>-1.270283758391566E-2</v>
      </c>
    </row>
    <row r="820" spans="1:14">
      <c r="A820" s="3">
        <f>prices!A821</f>
        <v>44679</v>
      </c>
      <c r="B820" s="5">
        <f>prices!B821/prices!B820-1</f>
        <v>1.4940080740010853E-2</v>
      </c>
      <c r="C820" s="5">
        <f>prices!C821/prices!C820-1</f>
        <v>6.4863332893183578E-3</v>
      </c>
      <c r="D820" s="5">
        <f>prices!D821/prices!D820-1</f>
        <v>-8.7198891328388317E-4</v>
      </c>
      <c r="E820" s="5">
        <f>prices!E821/prices!E820-1</f>
        <v>1.9194828609748971E-2</v>
      </c>
      <c r="F820" s="5">
        <f>prices!F821/prices!F820-1</f>
        <v>1.4015990752336061E-2</v>
      </c>
      <c r="G820" s="5">
        <f>prices!G821/prices!G820-1</f>
        <v>1.2807912240389685E-2</v>
      </c>
      <c r="H820" s="5">
        <f>prices!H821/prices!H820-1</f>
        <v>1.6451152731121299E-2</v>
      </c>
      <c r="I820" s="5">
        <f>prices!I821/prices!I820-1</f>
        <v>2.5165164034708143E-2</v>
      </c>
      <c r="J820" s="5">
        <f>prices!J821/prices!J820-1</f>
        <v>1.2128486242839465E-2</v>
      </c>
      <c r="K820" s="8">
        <f>SUMPRODUCT(B820:I820,weights!$B$5:$I$5)</f>
        <v>1.5133444485115496E-2</v>
      </c>
      <c r="L820" s="4">
        <f t="shared" si="24"/>
        <v>176.35784072744408</v>
      </c>
      <c r="M820" s="4">
        <f>L820/MAX(L$2:L820)-1</f>
        <v>-3.3796036179972955E-2</v>
      </c>
      <c r="N820" s="4">
        <f t="shared" si="25"/>
        <v>-2.8562154768385639E-4</v>
      </c>
    </row>
    <row r="821" spans="1:14">
      <c r="A821" s="3">
        <f>prices!A822</f>
        <v>44680</v>
      </c>
      <c r="B821" s="5">
        <f>prices!B822/prices!B821-1</f>
        <v>-1.0499859062294559E-2</v>
      </c>
      <c r="C821" s="5">
        <f>prices!C822/prices!C821-1</f>
        <v>-1.0489163650792221E-2</v>
      </c>
      <c r="D821" s="5">
        <f>prices!D822/prices!D821-1</f>
        <v>9.662588638666092E-3</v>
      </c>
      <c r="E821" s="5">
        <f>prices!E822/prices!E821-1</f>
        <v>-9.5137420718814925E-3</v>
      </c>
      <c r="F821" s="5">
        <f>prices!F822/prices!F821-1</f>
        <v>-5.9373960955683147E-3</v>
      </c>
      <c r="G821" s="5">
        <f>prices!G822/prices!G821-1</f>
        <v>-2.1596075854424357E-2</v>
      </c>
      <c r="H821" s="5">
        <f>prices!H822/prices!H821-1</f>
        <v>8.3074903230186958E-3</v>
      </c>
      <c r="I821" s="5">
        <f>prices!I822/prices!I821-1</f>
        <v>-1.4486101421070097E-2</v>
      </c>
      <c r="J821" s="5">
        <f>prices!J822/prices!J821-1</f>
        <v>-8.263240756043011E-3</v>
      </c>
      <c r="K821" s="8">
        <f>SUMPRODUCT(B821:I821,weights!$B$5:$I$5)</f>
        <v>-8.6401859028695117E-3</v>
      </c>
      <c r="L821" s="4">
        <f t="shared" si="24"/>
        <v>174.8340761981303</v>
      </c>
      <c r="M821" s="4">
        <f>L821/MAX(L$2:L821)-1</f>
        <v>-4.2144218047467374E-2</v>
      </c>
      <c r="N821" s="4">
        <f t="shared" si="25"/>
        <v>-1.9512592030241249E-2</v>
      </c>
    </row>
    <row r="822" spans="1:14">
      <c r="A822" s="3">
        <f>prices!A823</f>
        <v>44683</v>
      </c>
      <c r="B822" s="5">
        <f>prices!B823/prices!B822-1</f>
        <v>-3.5054401582591543E-3</v>
      </c>
      <c r="C822" s="5">
        <f>prices!C823/prices!C822-1</f>
        <v>-1.2126699759082982E-3</v>
      </c>
      <c r="D822" s="5">
        <f>prices!D823/prices!D822-1</f>
        <v>1.3799490622829369E-2</v>
      </c>
      <c r="E822" s="5">
        <f>prices!E823/prices!E822-1</f>
        <v>-1.6937831696179129E-2</v>
      </c>
      <c r="F822" s="5">
        <f>prices!F823/prices!F822-1</f>
        <v>1.3857033639143701E-2</v>
      </c>
      <c r="G822" s="5">
        <f>prices!G823/prices!G822-1</f>
        <v>-1.0760945812647527E-2</v>
      </c>
      <c r="H822" s="5">
        <f>prices!H823/prices!H822-1</f>
        <v>-5.6573275862068506E-3</v>
      </c>
      <c r="I822" s="5">
        <f>prices!I823/prices!I822-1</f>
        <v>-8.7933379287217228E-3</v>
      </c>
      <c r="J822" s="5">
        <f>prices!J823/prices!J822-1</f>
        <v>-1.9558486892305993E-3</v>
      </c>
      <c r="K822" s="8">
        <f>SUMPRODUCT(B822:I822,weights!$B$5:$I$5)</f>
        <v>-4.4809131000452746E-3</v>
      </c>
      <c r="L822" s="4">
        <f t="shared" si="24"/>
        <v>174.05065989575979</v>
      </c>
      <c r="M822" s="4">
        <f>L822/MAX(L$2:L822)-1</f>
        <v>-4.6436286568772633E-2</v>
      </c>
      <c r="N822" s="4">
        <f t="shared" si="25"/>
        <v>-2.0074180940795716E-2</v>
      </c>
    </row>
    <row r="823" spans="1:14">
      <c r="A823" s="3">
        <f>prices!A824</f>
        <v>44685</v>
      </c>
      <c r="B823" s="5">
        <f>prices!B824/prices!B823-1</f>
        <v>-3.122319982212618E-2</v>
      </c>
      <c r="C823" s="5">
        <f>prices!C824/prices!C823-1</f>
        <v>-1.7684387748494457E-2</v>
      </c>
      <c r="D823" s="5">
        <f>prices!D824/prices!D823-1</f>
        <v>-3.3983465034485794E-2</v>
      </c>
      <c r="E823" s="5">
        <f>prices!E824/prices!E823-1</f>
        <v>-3.5375094161262943E-3</v>
      </c>
      <c r="F823" s="5">
        <f>prices!F824/prices!F823-1</f>
        <v>-1.2913563955132434E-2</v>
      </c>
      <c r="G823" s="5">
        <f>prices!G824/prices!G823-1</f>
        <v>-3.1022403392740983E-2</v>
      </c>
      <c r="H823" s="5">
        <f>prices!H824/prices!H823-1</f>
        <v>-2.436105843041636E-2</v>
      </c>
      <c r="I823" s="5">
        <f>prices!I824/prices!I823-1</f>
        <v>-2.7090185759483743E-2</v>
      </c>
      <c r="J823" s="5">
        <f>prices!J824/prices!J823-1</f>
        <v>-2.293618292704358E-2</v>
      </c>
      <c r="K823" s="8">
        <f>SUMPRODUCT(B823:I823,weights!$B$5:$I$5)</f>
        <v>-2.4474064844081458E-2</v>
      </c>
      <c r="L823" s="4">
        <f t="shared" si="24"/>
        <v>169.79093275931581</v>
      </c>
      <c r="M823" s="4">
        <f>L823/MAX(L$2:L823)-1</f>
        <v>-6.9773866724251565E-2</v>
      </c>
      <c r="N823" s="4">
        <f t="shared" si="25"/>
        <v>-5.2652582029390604E-2</v>
      </c>
    </row>
    <row r="824" spans="1:14">
      <c r="A824" s="3">
        <f>prices!A825</f>
        <v>44686</v>
      </c>
      <c r="B824" s="5">
        <f>prices!B825/prices!B824-1</f>
        <v>-1.9581967213114782E-2</v>
      </c>
      <c r="C824" s="5">
        <f>prices!C825/prices!C824-1</f>
        <v>9.6671698560966135E-3</v>
      </c>
      <c r="D824" s="5">
        <f>prices!D825/prices!D824-1</f>
        <v>-2.2538496698032429E-3</v>
      </c>
      <c r="E824" s="5">
        <f>prices!E825/prices!E824-1</f>
        <v>3.2306358252981227E-2</v>
      </c>
      <c r="F824" s="5">
        <f>prices!F825/prices!F824-1</f>
        <v>8.8330786860197907E-3</v>
      </c>
      <c r="G824" s="5">
        <f>prices!G825/prices!G824-1</f>
        <v>1.3178233125916705E-3</v>
      </c>
      <c r="H824" s="5">
        <f>prices!H825/prices!H824-1</f>
        <v>-2.5258602735288016E-2</v>
      </c>
      <c r="I824" s="5">
        <f>prices!I825/prices!I824-1</f>
        <v>2.2602726494129755E-3</v>
      </c>
      <c r="J824" s="5">
        <f>prices!J825/prices!J824-1</f>
        <v>3.0280136230653731E-4</v>
      </c>
      <c r="K824" s="8">
        <f>SUMPRODUCT(B824:I824,weights!$B$5:$I$5)</f>
        <v>-1.4429018849319551E-3</v>
      </c>
      <c r="L824" s="4">
        <f t="shared" si="24"/>
        <v>169.54594110239304</v>
      </c>
      <c r="M824" s="4">
        <f>L824/MAX(L$2:L824)-1</f>
        <v>-7.1116091765368039E-2</v>
      </c>
      <c r="N824" s="4">
        <f t="shared" si="25"/>
        <v>-6.9501016043364783E-2</v>
      </c>
    </row>
    <row r="825" spans="1:14">
      <c r="A825" s="3">
        <f>prices!A826</f>
        <v>44687</v>
      </c>
      <c r="B825" s="5">
        <f>prices!B826/prices!B825-1</f>
        <v>-7.6665189656468513E-3</v>
      </c>
      <c r="C825" s="5">
        <f>prices!C826/prices!C825-1</f>
        <v>-2.2994734453907761E-2</v>
      </c>
      <c r="D825" s="5">
        <f>prices!D826/prices!D825-1</f>
        <v>-2.6127890812586818E-2</v>
      </c>
      <c r="E825" s="5">
        <f>prices!E826/prices!E825-1</f>
        <v>-2.6686099105437622E-2</v>
      </c>
      <c r="F825" s="5">
        <f>prices!F826/prices!F825-1</f>
        <v>1.7558805433290692E-2</v>
      </c>
      <c r="G825" s="5">
        <f>prices!G826/prices!G825-1</f>
        <v>-1.7332509658622652E-2</v>
      </c>
      <c r="H825" s="5">
        <f>prices!H826/prices!H825-1</f>
        <v>5.8639886993578916E-3</v>
      </c>
      <c r="I825" s="5">
        <f>prices!I826/prices!I825-1</f>
        <v>-9.2777013916552908E-3</v>
      </c>
      <c r="J825" s="5">
        <f>prices!J826/prices!J825-1</f>
        <v>-1.6268398605737144E-2</v>
      </c>
      <c r="K825" s="8">
        <f>SUMPRODUCT(B825:I825,weights!$B$5:$I$5)</f>
        <v>-1.0043087820202808E-2</v>
      </c>
      <c r="L825" s="4">
        <f t="shared" si="24"/>
        <v>167.84317632634279</v>
      </c>
      <c r="M825" s="4">
        <f>L825/MAX(L$2:L825)-1</f>
        <v>-8.044495443054156E-2</v>
      </c>
      <c r="N825" s="4">
        <f t="shared" si="25"/>
        <v>-7.7559639876348729E-2</v>
      </c>
    </row>
    <row r="826" spans="1:14">
      <c r="A826" s="3">
        <f>prices!A827</f>
        <v>44690</v>
      </c>
      <c r="B826" s="5">
        <f>prices!B827/prices!B826-1</f>
        <v>-3.9058419128178423E-2</v>
      </c>
      <c r="C826" s="5">
        <f>prices!C827/prices!C826-1</f>
        <v>3.6386478530641142E-3</v>
      </c>
      <c r="D826" s="5">
        <f>prices!D827/prices!D826-1</f>
        <v>1.7193836171938148E-3</v>
      </c>
      <c r="E826" s="5">
        <f>prices!E827/prices!E826-1</f>
        <v>1.7821183308868394E-2</v>
      </c>
      <c r="F826" s="5">
        <f>prices!F827/prices!F826-1</f>
        <v>-1.386046511627903E-2</v>
      </c>
      <c r="G826" s="5">
        <f>prices!G827/prices!G826-1</f>
        <v>1.1134479772361594E-2</v>
      </c>
      <c r="H826" s="5">
        <f>prices!H827/prices!H826-1</f>
        <v>2.383846489727004E-3</v>
      </c>
      <c r="I826" s="5">
        <f>prices!I827/prices!I826-1</f>
        <v>-3.8846158834745514E-3</v>
      </c>
      <c r="J826" s="5">
        <f>prices!J827/prices!J826-1</f>
        <v>-6.6661588849112885E-3</v>
      </c>
      <c r="K826" s="8">
        <f>SUMPRODUCT(B826:I826,weights!$B$5:$I$5)</f>
        <v>-2.4141305760568936E-3</v>
      </c>
      <c r="L826" s="4">
        <f t="shared" si="24"/>
        <v>167.43798098239085</v>
      </c>
      <c r="M826" s="4">
        <f>L826/MAX(L$2:L826)-1</f>
        <v>-8.2664880382418149E-2</v>
      </c>
      <c r="N826" s="4">
        <f t="shared" si="25"/>
        <v>-7.554285866148136E-2</v>
      </c>
    </row>
    <row r="827" spans="1:14">
      <c r="A827" s="3">
        <f>prices!A828</f>
        <v>44691</v>
      </c>
      <c r="B827" s="5">
        <f>prices!B828/prices!B827-1</f>
        <v>-1.7333286573497642E-2</v>
      </c>
      <c r="C827" s="5">
        <f>prices!C828/prices!C827-1</f>
        <v>-1.8410259141876661E-3</v>
      </c>
      <c r="D827" s="5">
        <f>prices!D828/prices!D827-1</f>
        <v>1.6063216529567992E-2</v>
      </c>
      <c r="E827" s="5">
        <f>prices!E828/prices!E827-1</f>
        <v>-1.1044678769431493E-2</v>
      </c>
      <c r="F827" s="5">
        <f>prices!F828/prices!F827-1</f>
        <v>-1.2168663333647856E-2</v>
      </c>
      <c r="G827" s="5">
        <f>prices!G828/prices!G827-1</f>
        <v>2.1140226326617162E-2</v>
      </c>
      <c r="H827" s="5">
        <f>prices!H828/prices!H827-1</f>
        <v>-2.6607329966211068E-2</v>
      </c>
      <c r="I827" s="5">
        <f>prices!I828/prices!I827-1</f>
        <v>-5.0716476018723977E-3</v>
      </c>
      <c r="J827" s="5">
        <f>prices!J828/prices!J827-1</f>
        <v>-3.7909807782553484E-3</v>
      </c>
      <c r="K827" s="8">
        <f>SUMPRODUCT(B827:I827,weights!$B$5:$I$5)</f>
        <v>-4.0302978040020667E-3</v>
      </c>
      <c r="L827" s="4">
        <f t="shared" si="24"/>
        <v>166.76315605533097</v>
      </c>
      <c r="M827" s="4">
        <f>L827/MAX(L$2:L827)-1</f>
        <v>-8.6362014100547002E-2</v>
      </c>
      <c r="N827" s="4">
        <f t="shared" si="25"/>
        <v>-6.7822905976372416E-2</v>
      </c>
    </row>
    <row r="828" spans="1:14">
      <c r="A828" s="3">
        <f>prices!A829</f>
        <v>44692</v>
      </c>
      <c r="B828" s="5">
        <f>prices!B829/prices!B828-1</f>
        <v>-1.0242592410845797E-2</v>
      </c>
      <c r="C828" s="5">
        <f>prices!C829/prices!C828-1</f>
        <v>-7.7779223074948556E-3</v>
      </c>
      <c r="D828" s="5">
        <f>prices!D829/prices!D828-1</f>
        <v>5.6256773124243598E-3</v>
      </c>
      <c r="E828" s="5">
        <f>prices!E829/prices!E828-1</f>
        <v>-1.6905929166575073E-2</v>
      </c>
      <c r="F828" s="5">
        <f>prices!F829/prices!F828-1</f>
        <v>-1.580404889228415E-2</v>
      </c>
      <c r="G828" s="5">
        <f>prices!G829/prices!G828-1</f>
        <v>-1.5893008163157196E-2</v>
      </c>
      <c r="H828" s="5">
        <f>prices!H829/prices!H828-1</f>
        <v>-8.1761995186201419E-3</v>
      </c>
      <c r="I828" s="5">
        <f>prices!I829/prices!I828-1</f>
        <v>-2.3105614448370559E-2</v>
      </c>
      <c r="J828" s="5">
        <f>prices!J829/prices!J828-1</f>
        <v>-4.4919812439000451E-3</v>
      </c>
      <c r="K828" s="8">
        <f>SUMPRODUCT(B828:I828,weights!$B$5:$I$5)</f>
        <v>-1.3196805945275772E-2</v>
      </c>
      <c r="L828" s="4">
        <f t="shared" si="24"/>
        <v>164.56241504604702</v>
      </c>
      <c r="M828" s="4">
        <f>L828/MAX(L$2:L828)-1</f>
        <v>-9.8419117304694659E-2</v>
      </c>
      <c r="N828" s="4">
        <f t="shared" si="25"/>
        <v>-8.3059992288460838E-2</v>
      </c>
    </row>
    <row r="829" spans="1:14">
      <c r="A829" s="3">
        <f>prices!A830</f>
        <v>44693</v>
      </c>
      <c r="B829" s="5">
        <f>prices!B830/prices!B829-1</f>
        <v>-2.037265736976368E-2</v>
      </c>
      <c r="C829" s="5">
        <f>prices!C830/prices!C829-1</f>
        <v>-9.8490374498716449E-4</v>
      </c>
      <c r="D829" s="5">
        <f>prices!D830/prices!D829-1</f>
        <v>-2.2551148159300149E-2</v>
      </c>
      <c r="E829" s="5">
        <f>prices!E830/prices!E829-1</f>
        <v>-1.1755147069785421E-2</v>
      </c>
      <c r="F829" s="5">
        <f>prices!F830/prices!F829-1</f>
        <v>-1.0769902488720673E-2</v>
      </c>
      <c r="G829" s="5">
        <f>prices!G830/prices!G829-1</f>
        <v>-1.9306839579233515E-2</v>
      </c>
      <c r="H829" s="5">
        <f>prices!H830/prices!H829-1</f>
        <v>-5.6095508700901853E-3</v>
      </c>
      <c r="I829" s="5">
        <f>prices!I830/prices!I829-1</f>
        <v>-2.8428082444118541E-2</v>
      </c>
      <c r="J829" s="5">
        <f>prices!J830/prices!J829-1</f>
        <v>-2.2211775766835085E-2</v>
      </c>
      <c r="K829" s="8">
        <f>SUMPRODUCT(B829:I829,weights!$B$5:$I$5)</f>
        <v>-1.6452281759469365E-2</v>
      </c>
      <c r="L829" s="4">
        <f t="shared" si="24"/>
        <v>161.85498782669072</v>
      </c>
      <c r="M829" s="4">
        <f>L829/MAX(L$2:L829)-1</f>
        <v>-0.11325218001574899</v>
      </c>
      <c r="N829" s="4">
        <f t="shared" si="25"/>
        <v>-9.0661727484784627E-2</v>
      </c>
    </row>
    <row r="830" spans="1:14">
      <c r="A830" s="3">
        <f>prices!A831</f>
        <v>44694</v>
      </c>
      <c r="B830" s="5">
        <f>prices!B831/prices!B830-1</f>
        <v>1.133676258132188E-2</v>
      </c>
      <c r="C830" s="5">
        <f>prices!C831/prices!C830-1</f>
        <v>1.8337943054798078E-3</v>
      </c>
      <c r="D830" s="5">
        <f>prices!D831/prices!D830-1</f>
        <v>-8.9659197769058618E-3</v>
      </c>
      <c r="E830" s="5">
        <f>prices!E831/prices!E830-1</f>
        <v>-2.9190583585387841E-3</v>
      </c>
      <c r="F830" s="5">
        <f>prices!F831/prices!F830-1</f>
        <v>2.255897209553237E-2</v>
      </c>
      <c r="G830" s="5">
        <f>prices!G831/prices!G830-1</f>
        <v>-2.0914026848834921E-2</v>
      </c>
      <c r="H830" s="5">
        <f>prices!H831/prices!H830-1</f>
        <v>3.8225230859791903E-2</v>
      </c>
      <c r="I830" s="5">
        <f>prices!I831/prices!I830-1</f>
        <v>5.474163190734016E-3</v>
      </c>
      <c r="J830" s="5">
        <f>prices!J831/prices!J830-1</f>
        <v>-1.6352479757085758E-3</v>
      </c>
      <c r="K830" s="8">
        <f>SUMPRODUCT(B830:I830,weights!$B$5:$I$5)</f>
        <v>5.3548442828479257E-3</v>
      </c>
      <c r="L830" s="4">
        <f t="shared" si="24"/>
        <v>162.72169608290488</v>
      </c>
      <c r="M830" s="4">
        <f>L830/MAX(L$2:L830)-1</f>
        <v>-0.10850378352157852</v>
      </c>
      <c r="N830" s="4">
        <f t="shared" si="25"/>
        <v>-7.8698516291672349E-2</v>
      </c>
    </row>
    <row r="831" spans="1:14">
      <c r="A831" s="3">
        <f>prices!A832</f>
        <v>44697</v>
      </c>
      <c r="B831" s="5">
        <f>prices!B832/prices!B831-1</f>
        <v>2.4566671216041946E-4</v>
      </c>
      <c r="C831" s="5">
        <f>prices!C832/prices!C831-1</f>
        <v>-1.1157273218849739E-2</v>
      </c>
      <c r="D831" s="5">
        <f>prices!D832/prices!D831-1</f>
        <v>1.0633946830265861E-2</v>
      </c>
      <c r="E831" s="5">
        <f>prices!E832/prices!E831-1</f>
        <v>-1.0167183599364638E-2</v>
      </c>
      <c r="F831" s="5">
        <f>prices!F832/prices!F831-1</f>
        <v>-1.7409236967051878E-2</v>
      </c>
      <c r="G831" s="5">
        <f>prices!G832/prices!G831-1</f>
        <v>2.050851806088394E-2</v>
      </c>
      <c r="H831" s="5">
        <f>prices!H832/prices!H831-1</f>
        <v>3.5199622017481058E-3</v>
      </c>
      <c r="I831" s="5">
        <f>prices!I832/prices!I831-1</f>
        <v>5.4717873819758456E-3</v>
      </c>
      <c r="J831" s="5">
        <f>prices!J832/prices!J831-1</f>
        <v>3.811267793044637E-3</v>
      </c>
      <c r="K831" s="8">
        <f>SUMPRODUCT(B831:I831,weights!$B$5:$I$5)</f>
        <v>3.1202674189293226E-3</v>
      </c>
      <c r="L831" s="4">
        <f t="shared" si="24"/>
        <v>163.22943128954529</v>
      </c>
      <c r="M831" s="4">
        <f>L831/MAX(L$2:L831)-1</f>
        <v>-0.10572207692320212</v>
      </c>
      <c r="N831" s="4">
        <f t="shared" si="25"/>
        <v>-7.5289829951532883E-2</v>
      </c>
    </row>
    <row r="832" spans="1:14">
      <c r="A832" s="3">
        <f>prices!A833</f>
        <v>44698</v>
      </c>
      <c r="B832" s="5">
        <f>prices!B833/prices!B832-1</f>
        <v>4.2007786631736099E-2</v>
      </c>
      <c r="C832" s="5">
        <f>prices!C833/prices!C832-1</f>
        <v>2.215195247621593E-2</v>
      </c>
      <c r="D832" s="5">
        <f>prices!D833/prices!D832-1</f>
        <v>6.8312424119789661E-3</v>
      </c>
      <c r="E832" s="5">
        <f>prices!E833/prices!E832-1</f>
        <v>1.9710193662779041E-2</v>
      </c>
      <c r="F832" s="5">
        <f>prices!F833/prices!F832-1</f>
        <v>4.1731745411948573E-2</v>
      </c>
      <c r="G832" s="5">
        <f>prices!G833/prices!G832-1</f>
        <v>3.9351841818195066E-2</v>
      </c>
      <c r="H832" s="5">
        <f>prices!H833/prices!H832-1</f>
        <v>6.9446079239152692E-3</v>
      </c>
      <c r="I832" s="5">
        <f>prices!I833/prices!I832-1</f>
        <v>3.9669387671597223E-2</v>
      </c>
      <c r="J832" s="5">
        <f>prices!J833/prices!J832-1</f>
        <v>2.6321935577536149E-2</v>
      </c>
      <c r="K832" s="8">
        <f>SUMPRODUCT(B832:I832,weights!$B$5:$I$5)</f>
        <v>2.9470813317171683E-2</v>
      </c>
      <c r="L832" s="4">
        <f t="shared" si="24"/>
        <v>168.03993538694758</v>
      </c>
      <c r="M832" s="4">
        <f>L832/MAX(L$2:L832)-1</f>
        <v>-7.9366979198537857E-2</v>
      </c>
      <c r="N832" s="4">
        <f t="shared" si="25"/>
        <v>-3.4112691749908608E-2</v>
      </c>
    </row>
    <row r="833" spans="1:14">
      <c r="A833" s="3">
        <f>prices!A834</f>
        <v>44699</v>
      </c>
      <c r="B833" s="5">
        <f>prices!B834/prices!B833-1</f>
        <v>3.6316019205586691E-3</v>
      </c>
      <c r="C833" s="5">
        <f>prices!C834/prices!C833-1</f>
        <v>-8.1078476655049858E-4</v>
      </c>
      <c r="D833" s="5">
        <f>prices!D834/prices!D833-1</f>
        <v>-8.038972940827005E-5</v>
      </c>
      <c r="E833" s="5">
        <f>prices!E834/prices!E833-1</f>
        <v>-6.0933108487915E-3</v>
      </c>
      <c r="F833" s="5">
        <f>prices!F834/prices!F833-1</f>
        <v>7.9182870261913507E-3</v>
      </c>
      <c r="G833" s="5">
        <f>prices!G834/prices!G833-1</f>
        <v>4.4804274964516111E-3</v>
      </c>
      <c r="H833" s="5">
        <f>prices!H834/prices!H833-1</f>
        <v>8.2994342357507467E-3</v>
      </c>
      <c r="I833" s="5">
        <f>prices!I834/prices!I833-1</f>
        <v>-1.9704304249150595E-2</v>
      </c>
      <c r="J833" s="5">
        <f>prices!J834/prices!J833-1</f>
        <v>-1.1685619922137125E-3</v>
      </c>
      <c r="K833" s="8">
        <f>SUMPRODUCT(B833:I833,weights!$B$5:$I$5)</f>
        <v>-1.2281768115392582E-3</v>
      </c>
      <c r="L833" s="4">
        <f t="shared" si="24"/>
        <v>167.83355263489275</v>
      </c>
      <c r="M833" s="4">
        <f>L833/MAX(L$2:L833)-1</f>
        <v>-8.049767932662355E-2</v>
      </c>
      <c r="N833" s="4">
        <f t="shared" si="25"/>
        <v>-2.2321840771320933E-2</v>
      </c>
    </row>
    <row r="834" spans="1:14">
      <c r="A834" s="3">
        <f>prices!A835</f>
        <v>44700</v>
      </c>
      <c r="B834" s="5">
        <f>prices!B835/prices!B834-1</f>
        <v>-2.3041594906320184E-2</v>
      </c>
      <c r="C834" s="5">
        <f>prices!C835/prices!C834-1</f>
        <v>-5.4177100688728497E-2</v>
      </c>
      <c r="D834" s="5">
        <f>prices!D835/prices!D834-1</f>
        <v>-2.0436712117314015E-2</v>
      </c>
      <c r="E834" s="5">
        <f>prices!E835/prices!E834-1</f>
        <v>-5.4369137031339498E-2</v>
      </c>
      <c r="F834" s="5">
        <f>prices!F835/prices!F834-1</f>
        <v>3.3190777240609926E-2</v>
      </c>
      <c r="G834" s="5">
        <f>prices!G835/prices!G834-1</f>
        <v>-2.1410955832897427E-2</v>
      </c>
      <c r="H834" s="5">
        <f>prices!H835/prices!H834-1</f>
        <v>-1.6184006121171435E-2</v>
      </c>
      <c r="I834" s="5">
        <f>prices!I835/prices!I834-1</f>
        <v>-1.5610572097691455E-2</v>
      </c>
      <c r="J834" s="5">
        <f>prices!J835/prices!J834-1</f>
        <v>-2.6532761094314794E-2</v>
      </c>
      <c r="K834" s="8">
        <f>SUMPRODUCT(B834:I834,weights!$B$5:$I$5)</f>
        <v>-2.0719524314823917E-2</v>
      </c>
      <c r="L834" s="4">
        <f t="shared" si="24"/>
        <v>164.35612126023082</v>
      </c>
      <c r="M834" s="4">
        <f>L834/MAX(L$2:L834)-1</f>
        <v>-9.9549330017352555E-2</v>
      </c>
      <c r="N834" s="4">
        <f t="shared" si="25"/>
        <v>-5.3914905009146308E-2</v>
      </c>
    </row>
    <row r="835" spans="1:14">
      <c r="A835" s="3">
        <f>prices!A836</f>
        <v>44701</v>
      </c>
      <c r="B835" s="5">
        <f>prices!B836/prices!B835-1</f>
        <v>5.8308181308261542E-2</v>
      </c>
      <c r="C835" s="5">
        <f>prices!C836/prices!C835-1</f>
        <v>9.5180163708474819E-3</v>
      </c>
      <c r="D835" s="5">
        <f>prices!D836/prices!D835-1</f>
        <v>2.634559511498491E-2</v>
      </c>
      <c r="E835" s="5">
        <f>prices!E836/prices!E835-1</f>
        <v>1.9624886365448901E-2</v>
      </c>
      <c r="F835" s="5">
        <f>prices!F836/prices!F835-1</f>
        <v>1.5747322955097731E-2</v>
      </c>
      <c r="G835" s="5">
        <f>prices!G836/prices!G835-1</f>
        <v>2.458623425441564E-2</v>
      </c>
      <c r="H835" s="5">
        <f>prices!H836/prices!H835-1</f>
        <v>3.5104051283259885E-2</v>
      </c>
      <c r="I835" s="5">
        <f>prices!I836/prices!I835-1</f>
        <v>4.0151715981157743E-2</v>
      </c>
      <c r="J835" s="5">
        <f>prices!J836/prices!J835-1</f>
        <v>2.8891039508140759E-2</v>
      </c>
      <c r="K835" s="8">
        <f>SUMPRODUCT(B835:I835,weights!$B$5:$I$5)</f>
        <v>3.1179749170280754E-2</v>
      </c>
      <c r="L835" s="4">
        <f t="shared" si="24"/>
        <v>169.48070389572507</v>
      </c>
      <c r="M835" s="4">
        <f>L835/MAX(L$2:L835)-1</f>
        <v>-7.147350398708241E-2</v>
      </c>
      <c r="N835" s="4">
        <f t="shared" si="25"/>
        <v>-4.2798499721401151E-2</v>
      </c>
    </row>
    <row r="836" spans="1:14">
      <c r="A836" s="3">
        <f>prices!A837</f>
        <v>44704</v>
      </c>
      <c r="B836" s="5">
        <f>prices!B837/prices!B836-1</f>
        <v>-6.6882035232951331E-3</v>
      </c>
      <c r="C836" s="5">
        <f>prices!C837/prices!C836-1</f>
        <v>8.7316928756768775E-3</v>
      </c>
      <c r="D836" s="5">
        <f>prices!D837/prices!D836-1</f>
        <v>-1.2842657454498863E-2</v>
      </c>
      <c r="E836" s="5">
        <f>prices!E837/prices!E836-1</f>
        <v>9.1034935829754637E-3</v>
      </c>
      <c r="F836" s="5">
        <f>prices!F837/prices!F836-1</f>
        <v>-1.9622608079376214E-2</v>
      </c>
      <c r="G836" s="5">
        <f>prices!G837/prices!G836-1</f>
        <v>4.0973763540596897E-2</v>
      </c>
      <c r="H836" s="5">
        <f>prices!H837/prices!H836-1</f>
        <v>6.9785180041210815E-3</v>
      </c>
      <c r="I836" s="5">
        <f>prices!I837/prices!I836-1</f>
        <v>2.1147009619405965E-2</v>
      </c>
      <c r="J836" s="5">
        <f>prices!J837/prices!J836-1</f>
        <v>-3.1630103005320098E-3</v>
      </c>
      <c r="K836" s="8">
        <f>SUMPRODUCT(B836:I836,weights!$B$5:$I$5)</f>
        <v>1.1274049302610336E-2</v>
      </c>
      <c r="L836" s="4">
        <f t="shared" ref="L836:L899" si="26">L835*(1+K836)</f>
        <v>171.3914377072866</v>
      </c>
      <c r="M836" s="4">
        <f>L836/MAX(L$2:L836)-1</f>
        <v>-6.1005250492252583E-2</v>
      </c>
      <c r="N836" s="4">
        <f t="shared" si="25"/>
        <v>-2.3447284885171671E-2</v>
      </c>
    </row>
    <row r="837" spans="1:14">
      <c r="A837" s="3">
        <f>prices!A838</f>
        <v>44705</v>
      </c>
      <c r="B837" s="5">
        <f>prices!B838/prices!B837-1</f>
        <v>3.4386089725673141E-3</v>
      </c>
      <c r="C837" s="5">
        <f>prices!C838/prices!C837-1</f>
        <v>-1.0161520878938735E-2</v>
      </c>
      <c r="D837" s="5">
        <f>prices!D838/prices!D837-1</f>
        <v>1.1470602530661012E-2</v>
      </c>
      <c r="E837" s="5">
        <f>prices!E838/prices!E837-1</f>
        <v>-1.8662760507490606E-2</v>
      </c>
      <c r="F837" s="5">
        <f>prices!F838/prices!F837-1</f>
        <v>-1.3283332580310114E-2</v>
      </c>
      <c r="G837" s="5">
        <f>prices!G838/prices!G837-1</f>
        <v>-1.2003877094512783E-2</v>
      </c>
      <c r="H837" s="5">
        <f>prices!H838/prices!H837-1</f>
        <v>-1.3170687589029284E-2</v>
      </c>
      <c r="I837" s="5">
        <f>prices!I838/prices!I837-1</f>
        <v>-1.085370536285668E-2</v>
      </c>
      <c r="J837" s="5">
        <f>prices!J838/prices!J837-1</f>
        <v>-5.5227663786564518E-3</v>
      </c>
      <c r="K837" s="8">
        <f>SUMPRODUCT(B837:I837,weights!$B$5:$I$5)</f>
        <v>-8.752001410555349E-3</v>
      </c>
      <c r="L837" s="4">
        <f t="shared" si="26"/>
        <v>169.89141960271533</v>
      </c>
      <c r="M837" s="4">
        <f>L837/MAX(L$2:L837)-1</f>
        <v>-6.9223333864448455E-2</v>
      </c>
      <c r="N837" s="4">
        <f t="shared" si="25"/>
        <v>-1.6974018649400846E-2</v>
      </c>
    </row>
    <row r="838" spans="1:14">
      <c r="A838" s="3">
        <f>prices!A839</f>
        <v>44706</v>
      </c>
      <c r="B838" s="5">
        <f>prices!B839/prices!B838-1</f>
        <v>-1.4770799395663614E-3</v>
      </c>
      <c r="C838" s="5">
        <f>prices!C839/prices!C838-1</f>
        <v>-3.0113820684458892E-2</v>
      </c>
      <c r="D838" s="5">
        <f>prices!D839/prices!D838-1</f>
        <v>7.4642405215359364E-3</v>
      </c>
      <c r="E838" s="5">
        <f>prices!E839/prices!E838-1</f>
        <v>-2.1197450619575342E-2</v>
      </c>
      <c r="F838" s="5">
        <f>prices!F839/prices!F838-1</f>
        <v>6.8226567150511119E-3</v>
      </c>
      <c r="G838" s="5">
        <f>prices!G839/prices!G838-1</f>
        <v>-1.9728365900794076E-3</v>
      </c>
      <c r="H838" s="5">
        <f>prices!H839/prices!H838-1</f>
        <v>1.4320246537364856E-3</v>
      </c>
      <c r="I838" s="5">
        <f>prices!I839/prices!I838-1</f>
        <v>-3.1702078103568732E-2</v>
      </c>
      <c r="J838" s="5">
        <f>prices!J839/prices!J838-1</f>
        <v>-6.1611829967473941E-3</v>
      </c>
      <c r="K838" s="8">
        <f>SUMPRODUCT(B838:I838,weights!$B$5:$I$5)</f>
        <v>-9.9153780497081984E-3</v>
      </c>
      <c r="L838" s="4">
        <f t="shared" si="26"/>
        <v>168.20688194995279</v>
      </c>
      <c r="M838" s="4">
        <f>L838/MAX(L$2:L838)-1</f>
        <v>-7.8452336389029487E-2</v>
      </c>
      <c r="N838" s="4">
        <f t="shared" si="25"/>
        <v>-4.0487188807531438E-2</v>
      </c>
    </row>
    <row r="839" spans="1:14">
      <c r="A839" s="3">
        <f>prices!A840</f>
        <v>44707</v>
      </c>
      <c r="B839" s="5">
        <f>prices!B840/prices!B839-1</f>
        <v>-9.5349191053405447E-3</v>
      </c>
      <c r="C839" s="5">
        <f>prices!C840/prices!C839-1</f>
        <v>1.8719924041345815E-2</v>
      </c>
      <c r="D839" s="5">
        <f>prices!D840/prices!D839-1</f>
        <v>2.8522823028125144E-2</v>
      </c>
      <c r="E839" s="5">
        <f>prices!E840/prices!E839-1</f>
        <v>9.5695324161859663E-3</v>
      </c>
      <c r="F839" s="5">
        <f>prices!F840/prices!F839-1</f>
        <v>1.819174094960907E-3</v>
      </c>
      <c r="G839" s="5">
        <f>prices!G840/prices!G839-1</f>
        <v>2.2792980568815402E-3</v>
      </c>
      <c r="H839" s="5">
        <f>prices!H840/prices!H839-1</f>
        <v>-1.2355000343194367E-2</v>
      </c>
      <c r="I839" s="5">
        <f>prices!I840/prices!I839-1</f>
        <v>-6.4745028864656717E-3</v>
      </c>
      <c r="J839" s="5">
        <f>prices!J840/prices!J839-1</f>
        <v>9.0073506470815801E-3</v>
      </c>
      <c r="K839" s="8">
        <f>SUMPRODUCT(B839:I839,weights!$B$5:$I$5)</f>
        <v>8.176768579462011E-4</v>
      </c>
      <c r="L839" s="4">
        <f t="shared" si="26"/>
        <v>168.34442082467055</v>
      </c>
      <c r="M839" s="4">
        <f>L839/MAX(L$2:L839)-1</f>
        <v>-7.769880819100039E-2</v>
      </c>
      <c r="N839" s="4">
        <f t="shared" si="25"/>
        <v>-3.0992605337529011E-2</v>
      </c>
    </row>
    <row r="840" spans="1:14">
      <c r="A840" s="3">
        <f>prices!A841</f>
        <v>44708</v>
      </c>
      <c r="B840" s="5">
        <f>prices!B841/prices!B840-1</f>
        <v>-4.6341338522197795E-3</v>
      </c>
      <c r="C840" s="5">
        <f>prices!C841/prices!C840-1</f>
        <v>1.0644269570098563E-2</v>
      </c>
      <c r="D840" s="5">
        <f>prices!D841/prices!D840-1</f>
        <v>1.854972098128016E-2</v>
      </c>
      <c r="E840" s="5">
        <f>prices!E841/prices!E840-1</f>
        <v>2.6270570088154477E-2</v>
      </c>
      <c r="F840" s="5">
        <f>prices!F841/prices!F840-1</f>
        <v>9.3971309242781853E-3</v>
      </c>
      <c r="G840" s="5">
        <f>prices!G841/prices!G840-1</f>
        <v>1.767369473196978E-2</v>
      </c>
      <c r="H840" s="5">
        <f>prices!H841/prices!H840-1</f>
        <v>4.389927490907386E-3</v>
      </c>
      <c r="I840" s="5">
        <f>prices!I841/prices!I840-1</f>
        <v>2.2852147012340618E-2</v>
      </c>
      <c r="J840" s="5">
        <f>prices!J841/prices!J840-1</f>
        <v>1.1273859549849607E-2</v>
      </c>
      <c r="K840" s="8">
        <f>SUMPRODUCT(B840:I840,weights!$B$5:$I$5)</f>
        <v>1.3335421976738086E-2</v>
      </c>
      <c r="L840" s="4">
        <f t="shared" si="26"/>
        <v>170.5893647137971</v>
      </c>
      <c r="M840" s="4">
        <f>L840/MAX(L$2:L840)-1</f>
        <v>-6.5399532608579003E-2</v>
      </c>
      <c r="N840" s="4">
        <f t="shared" si="25"/>
        <v>-3.2708928561684947E-2</v>
      </c>
    </row>
    <row r="841" spans="1:14">
      <c r="A841" s="3">
        <f>prices!A842</f>
        <v>44711</v>
      </c>
      <c r="B841" s="5">
        <f>prices!B842/prices!B841-1</f>
        <v>3.4836364259930974E-2</v>
      </c>
      <c r="C841" s="5">
        <f>prices!C842/prices!C841-1</f>
        <v>3.4943025018689067E-2</v>
      </c>
      <c r="D841" s="5">
        <f>prices!D842/prices!D841-1</f>
        <v>6.8294607761303361E-3</v>
      </c>
      <c r="E841" s="5">
        <f>prices!E842/prices!E841-1</f>
        <v>4.4786929163292077E-2</v>
      </c>
      <c r="F841" s="5">
        <f>prices!F842/prices!F841-1</f>
        <v>-5.8466381830446501E-4</v>
      </c>
      <c r="G841" s="5">
        <f>prices!G842/prices!G841-1</f>
        <v>8.9332092316858347E-3</v>
      </c>
      <c r="H841" s="5">
        <f>prices!H842/prices!H841-1</f>
        <v>-1.7252315108461258E-2</v>
      </c>
      <c r="I841" s="5">
        <f>prices!I842/prices!I841-1</f>
        <v>3.7832115876470285E-2</v>
      </c>
      <c r="J841" s="5">
        <f>prices!J842/prices!J841-1</f>
        <v>1.8893193374693196E-2</v>
      </c>
      <c r="K841" s="8">
        <f>SUMPRODUCT(B841:I841,weights!$B$5:$I$5)</f>
        <v>1.8343680919410087E-2</v>
      </c>
      <c r="L841" s="4">
        <f t="shared" si="26"/>
        <v>173.71860158835187</v>
      </c>
      <c r="M841" s="4">
        <f>L841/MAX(L$2:L841)-1</f>
        <v>-4.8255519847619222E-2</v>
      </c>
      <c r="N841" s="4">
        <f t="shared" si="25"/>
        <v>-6.3801899151187946E-3</v>
      </c>
    </row>
    <row r="842" spans="1:14">
      <c r="A842" s="3">
        <f>prices!A843</f>
        <v>44712</v>
      </c>
      <c r="B842" s="5">
        <f>prices!B843/prices!B842-1</f>
        <v>-1.2071851127645306E-2</v>
      </c>
      <c r="C842" s="5">
        <f>prices!C843/prices!C842-1</f>
        <v>-3.2301725796489711E-3</v>
      </c>
      <c r="D842" s="5">
        <f>prices!D843/prices!D842-1</f>
        <v>-8.998959919205185E-3</v>
      </c>
      <c r="E842" s="5">
        <f>prices!E843/prices!E842-1</f>
        <v>-4.7704589330569425E-3</v>
      </c>
      <c r="F842" s="5">
        <f>prices!F843/prices!F842-1</f>
        <v>5.9850598505986063E-3</v>
      </c>
      <c r="G842" s="5">
        <f>prices!G843/prices!G842-1</f>
        <v>-5.9336673226236814E-3</v>
      </c>
      <c r="H842" s="5">
        <f>prices!H843/prices!H842-1</f>
        <v>-3.119095955032436E-2</v>
      </c>
      <c r="I842" s="5">
        <f>prices!I843/prices!I842-1</f>
        <v>-3.8201549601829532E-3</v>
      </c>
      <c r="J842" s="5">
        <f>prices!J843/prices!J842-1</f>
        <v>-4.6124575365816822E-3</v>
      </c>
      <c r="K842" s="8">
        <f>SUMPRODUCT(B842:I842,weights!$B$5:$I$5)</f>
        <v>-9.0036010935072627E-3</v>
      </c>
      <c r="L842" s="4">
        <f t="shared" si="26"/>
        <v>172.15450859712843</v>
      </c>
      <c r="M842" s="4">
        <f>L842/MAX(L$2:L842)-1</f>
        <v>-5.6824647489858715E-2</v>
      </c>
      <c r="N842" s="4">
        <f t="shared" si="25"/>
        <v>-1.0894249408574419E-2</v>
      </c>
    </row>
    <row r="843" spans="1:14">
      <c r="A843" s="3">
        <f>prices!A844</f>
        <v>44713</v>
      </c>
      <c r="B843" s="5">
        <f>prices!B844/prices!B843-1</f>
        <v>3.2707968164258361E-4</v>
      </c>
      <c r="C843" s="5">
        <f>prices!C844/prices!C843-1</f>
        <v>-2.71915804301881E-3</v>
      </c>
      <c r="D843" s="5">
        <f>prices!D844/prices!D843-1</f>
        <v>4.2589437819420262E-3</v>
      </c>
      <c r="E843" s="5">
        <f>prices!E844/prices!E843-1</f>
        <v>-1.6656805398482577E-2</v>
      </c>
      <c r="F843" s="5">
        <f>prices!F844/prices!F843-1</f>
        <v>4.4285394766270247E-3</v>
      </c>
      <c r="G843" s="5">
        <f>prices!G844/prices!G843-1</f>
        <v>-3.3834897792055507E-3</v>
      </c>
      <c r="H843" s="5">
        <f>prices!H844/prices!H843-1</f>
        <v>-2.4806502016739618E-2</v>
      </c>
      <c r="I843" s="5">
        <f>prices!I844/prices!I843-1</f>
        <v>-3.9301976546005646E-3</v>
      </c>
      <c r="J843" s="5">
        <f>prices!J844/prices!J843-1</f>
        <v>-3.7263597746094446E-3</v>
      </c>
      <c r="K843" s="8">
        <f>SUMPRODUCT(B843:I843,weights!$B$5:$I$5)</f>
        <v>-6.0954542614100032E-3</v>
      </c>
      <c r="L843" s="4">
        <f t="shared" si="26"/>
        <v>171.10514866407911</v>
      </c>
      <c r="M843" s="4">
        <f>L843/MAX(L$2:L843)-1</f>
        <v>-6.25737297115736E-2</v>
      </c>
      <c r="N843" s="4">
        <f t="shared" si="25"/>
        <v>7.7402007480944501E-3</v>
      </c>
    </row>
    <row r="844" spans="1:14">
      <c r="A844" s="3">
        <f>prices!A845</f>
        <v>44714</v>
      </c>
      <c r="B844" s="5">
        <f>prices!B845/prices!B844-1</f>
        <v>3.4474663804956673E-2</v>
      </c>
      <c r="C844" s="5">
        <f>prices!C845/prices!C844-1</f>
        <v>2.0206513213518074E-2</v>
      </c>
      <c r="D844" s="5">
        <f>prices!D845/prices!D844-1</f>
        <v>-6.9974554707379344E-3</v>
      </c>
      <c r="E844" s="5">
        <f>prices!E845/prices!E844-1</f>
        <v>1.9916980844662646E-2</v>
      </c>
      <c r="F844" s="5">
        <f>prices!F845/prices!F844-1</f>
        <v>6.0568272913512633E-3</v>
      </c>
      <c r="G844" s="5">
        <f>prices!G845/prices!G844-1</f>
        <v>-1.7634358113320925E-3</v>
      </c>
      <c r="H844" s="5">
        <f>prices!H845/prices!H844-1</f>
        <v>2.4195451553203906E-2</v>
      </c>
      <c r="I844" s="5">
        <f>prices!I845/prices!I844-1</f>
        <v>-6.5825597282698212E-3</v>
      </c>
      <c r="J844" s="5">
        <f>prices!J845/prices!J844-1</f>
        <v>6.3700049931154634E-3</v>
      </c>
      <c r="K844" s="8">
        <f>SUMPRODUCT(B844:I844,weights!$B$5:$I$5)</f>
        <v>9.8462938703861615E-3</v>
      </c>
      <c r="L844" s="4">
        <f t="shared" si="26"/>
        <v>172.78990024056176</v>
      </c>
      <c r="M844" s="4">
        <f>L844/MAX(L$2:L844)-1</f>
        <v>-5.3343555172493562E-2</v>
      </c>
      <c r="N844" s="4">
        <f t="shared" si="25"/>
        <v>1.9133216148239152E-2</v>
      </c>
    </row>
    <row r="845" spans="1:14">
      <c r="A845" s="3">
        <f>prices!A846</f>
        <v>44715</v>
      </c>
      <c r="B845" s="5">
        <f>prices!B846/prices!B845-1</f>
        <v>2.0269394106396055E-2</v>
      </c>
      <c r="C845" s="5">
        <f>prices!C846/prices!C845-1</f>
        <v>5.0089862211277758E-3</v>
      </c>
      <c r="D845" s="5">
        <f>prices!D846/prices!D845-1</f>
        <v>-3.4623714956834029E-3</v>
      </c>
      <c r="E845" s="5">
        <f>prices!E846/prices!E845-1</f>
        <v>9.0881935628408517E-3</v>
      </c>
      <c r="F845" s="5">
        <f>prices!F846/prices!F845-1</f>
        <v>-2.9216467463478724E-3</v>
      </c>
      <c r="G845" s="5">
        <f>prices!G846/prices!G845-1</f>
        <v>-2.7802368261803712E-2</v>
      </c>
      <c r="H845" s="5">
        <f>prices!H846/prices!H845-1</f>
        <v>6.4516911434773228E-3</v>
      </c>
      <c r="I845" s="5">
        <f>prices!I846/prices!I845-1</f>
        <v>9.1005495035185735E-3</v>
      </c>
      <c r="J845" s="5">
        <f>prices!J846/prices!J845-1</f>
        <v>-2.6280971854703017E-3</v>
      </c>
      <c r="K845" s="8">
        <f>SUMPRODUCT(B845:I845,weights!$B$5:$I$5)</f>
        <v>6.4999423765772107E-4</v>
      </c>
      <c r="L845" s="4">
        <f t="shared" si="26"/>
        <v>172.90221268004356</v>
      </c>
      <c r="M845" s="4">
        <f>L845/MAX(L$2:L845)-1</f>
        <v>-5.2728233938314273E-2</v>
      </c>
      <c r="N845" s="4">
        <f t="shared" si="25"/>
        <v>3.0141447894577178E-2</v>
      </c>
    </row>
    <row r="846" spans="1:14">
      <c r="A846" s="3">
        <f>prices!A847</f>
        <v>44718</v>
      </c>
      <c r="B846" s="5">
        <f>prices!B847/prices!B846-1</f>
        <v>-4.3053801364695277E-3</v>
      </c>
      <c r="C846" s="5">
        <f>prices!C847/prices!C846-1</f>
        <v>-2.67249515672352E-3</v>
      </c>
      <c r="D846" s="5">
        <f>prices!D847/prices!D846-1</f>
        <v>-1.3469044157036203E-3</v>
      </c>
      <c r="E846" s="5">
        <f>prices!E847/prices!E846-1</f>
        <v>5.483730120553254E-3</v>
      </c>
      <c r="F846" s="5">
        <f>prices!F847/prices!F846-1</f>
        <v>7.6806961463327106E-3</v>
      </c>
      <c r="G846" s="5">
        <f>prices!G847/prices!G846-1</f>
        <v>7.1350910573531046E-4</v>
      </c>
      <c r="H846" s="5">
        <f>prices!H847/prices!H846-1</f>
        <v>-6.1211456663974317E-3</v>
      </c>
      <c r="I846" s="5">
        <f>prices!I847/prices!I846-1</f>
        <v>-7.1714720624669326E-3</v>
      </c>
      <c r="J846" s="5">
        <f>prices!J847/prices!J846-1</f>
        <v>-8.8939539202737006E-4</v>
      </c>
      <c r="K846" s="8">
        <f>SUMPRODUCT(B846:I846,weights!$B$5:$I$5)</f>
        <v>-1.9730209909008889E-3</v>
      </c>
      <c r="L846" s="4">
        <f t="shared" si="26"/>
        <v>172.56107298505262</v>
      </c>
      <c r="M846" s="4">
        <f>L846/MAX(L$2:L846)-1</f>
        <v>-5.4597221016841835E-2</v>
      </c>
      <c r="N846" s="4">
        <f t="shared" si="25"/>
        <v>3.05969528096528E-2</v>
      </c>
    </row>
    <row r="847" spans="1:14">
      <c r="A847" s="3">
        <f>prices!A848</f>
        <v>44719</v>
      </c>
      <c r="B847" s="5">
        <f>prices!B848/prices!B847-1</f>
        <v>1.882773420983197E-3</v>
      </c>
      <c r="C847" s="5">
        <f>prices!C848/prices!C847-1</f>
        <v>-1.9893212200904453E-2</v>
      </c>
      <c r="D847" s="5">
        <f>prices!D848/prices!D847-1</f>
        <v>-1.1494781369258411E-2</v>
      </c>
      <c r="E847" s="5">
        <f>prices!E848/prices!E847-1</f>
        <v>-1.5257455765890438E-2</v>
      </c>
      <c r="F847" s="5">
        <f>prices!F848/prices!F847-1</f>
        <v>-3.2603427765784954E-3</v>
      </c>
      <c r="G847" s="5">
        <f>prices!G848/prices!G847-1</f>
        <v>1.2820425763080179E-2</v>
      </c>
      <c r="H847" s="5">
        <f>prices!H848/prices!H847-1</f>
        <v>-1.343307105706637E-2</v>
      </c>
      <c r="I847" s="5">
        <f>prices!I848/prices!I847-1</f>
        <v>-3.0945889598101184E-2</v>
      </c>
      <c r="J847" s="5">
        <f>prices!J848/prices!J847-1</f>
        <v>-9.2458757178076612E-3</v>
      </c>
      <c r="K847" s="8">
        <f>SUMPRODUCT(B847:I847,weights!$B$5:$I$5)</f>
        <v>-9.5573427562422805E-3</v>
      </c>
      <c r="L847" s="4">
        <f t="shared" si="26"/>
        <v>170.91184766414952</v>
      </c>
      <c r="M847" s="4">
        <f>L847/MAX(L$2:L847)-1</f>
        <v>-6.3632759418287832E-2</v>
      </c>
      <c r="N847" s="4">
        <f t="shared" si="25"/>
        <v>2.4877747021302632E-2</v>
      </c>
    </row>
    <row r="848" spans="1:14">
      <c r="A848" s="3">
        <f>prices!A849</f>
        <v>44720</v>
      </c>
      <c r="B848" s="5">
        <f>prices!B849/prices!B848-1</f>
        <v>-1.7566071840933839E-2</v>
      </c>
      <c r="C848" s="5">
        <f>prices!C849/prices!C848-1</f>
        <v>1.232522605846853E-2</v>
      </c>
      <c r="D848" s="5">
        <f>prices!D849/prices!D848-1</f>
        <v>3.5195435446608858E-3</v>
      </c>
      <c r="E848" s="5">
        <f>prices!E849/prices!E848-1</f>
        <v>-4.4471019096379294E-3</v>
      </c>
      <c r="F848" s="5">
        <f>prices!F849/prices!F848-1</f>
        <v>-2.1880387216549502E-2</v>
      </c>
      <c r="G848" s="5">
        <f>prices!G849/prices!G848-1</f>
        <v>1.0634717370753499E-2</v>
      </c>
      <c r="H848" s="5">
        <f>prices!H849/prices!H848-1</f>
        <v>-1.1797235023042196E-3</v>
      </c>
      <c r="I848" s="5">
        <f>prices!I849/prices!I848-1</f>
        <v>-3.0782266766404831E-3</v>
      </c>
      <c r="J848" s="5">
        <f>prices!J849/prices!J848-1</f>
        <v>-3.6609843235554385E-3</v>
      </c>
      <c r="K848" s="8">
        <f>SUMPRODUCT(B848:I848,weights!$B$5:$I$5)</f>
        <v>-1.8159136097420387E-3</v>
      </c>
      <c r="L848" s="4">
        <f t="shared" si="26"/>
        <v>170.60148651391003</v>
      </c>
      <c r="M848" s="4">
        <f>L848/MAX(L$2:L848)-1</f>
        <v>-6.53331214341768E-2</v>
      </c>
      <c r="N848" s="4">
        <f t="shared" si="25"/>
        <v>3.6697756691120409E-2</v>
      </c>
    </row>
    <row r="849" spans="1:14">
      <c r="A849" s="3">
        <f>prices!A850</f>
        <v>44721</v>
      </c>
      <c r="B849" s="5">
        <f>prices!B850/prices!B849-1</f>
        <v>2.742002155993406E-2</v>
      </c>
      <c r="C849" s="5">
        <f>prices!C850/prices!C849-1</f>
        <v>6.743528388079012E-3</v>
      </c>
      <c r="D849" s="5">
        <f>prices!D850/prices!D849-1</f>
        <v>7.5397070638403285E-3</v>
      </c>
      <c r="E849" s="5">
        <f>prices!E850/prices!E849-1</f>
        <v>1.0000000000000009E-2</v>
      </c>
      <c r="F849" s="5">
        <f>prices!F850/prices!F849-1</f>
        <v>1.098156182212584E-2</v>
      </c>
      <c r="G849" s="5">
        <f>prices!G850/prices!G849-1</f>
        <v>4.7379845454931235E-3</v>
      </c>
      <c r="H849" s="5">
        <f>prices!H850/prices!H849-1</f>
        <v>1.369357398590032E-2</v>
      </c>
      <c r="I849" s="5">
        <f>prices!I850/prices!I849-1</f>
        <v>6.6535631756488023E-3</v>
      </c>
      <c r="J849" s="5">
        <f>prices!J850/prices!J849-1</f>
        <v>7.4497516239968586E-3</v>
      </c>
      <c r="K849" s="8">
        <f>SUMPRODUCT(B849:I849,weights!$B$5:$I$5)</f>
        <v>1.0705681379961099E-2</v>
      </c>
      <c r="L849" s="4">
        <f t="shared" si="26"/>
        <v>172.42789167147569</v>
      </c>
      <c r="M849" s="4">
        <f>L849/MAX(L$2:L849)-1</f>
        <v>-5.5326875635848261E-2</v>
      </c>
      <c r="N849" s="4">
        <f t="shared" si="25"/>
        <v>6.5323311853114463E-2</v>
      </c>
    </row>
    <row r="850" spans="1:14">
      <c r="A850" s="3">
        <f>prices!A851</f>
        <v>44722</v>
      </c>
      <c r="B850" s="5">
        <f>prices!B851/prices!B850-1</f>
        <v>-3.0190911959608657E-2</v>
      </c>
      <c r="C850" s="5">
        <f>prices!C851/prices!C850-1</f>
        <v>-1.9609733395385853E-2</v>
      </c>
      <c r="D850" s="5">
        <f>prices!D851/prices!D850-1</f>
        <v>-1.9306262651045847E-2</v>
      </c>
      <c r="E850" s="5">
        <f>prices!E851/prices!E850-1</f>
        <v>-2.5220765319775129E-2</v>
      </c>
      <c r="F850" s="5">
        <f>prices!F851/prices!F850-1</f>
        <v>-2.5926422600689447E-3</v>
      </c>
      <c r="G850" s="5">
        <f>prices!G851/prices!G850-1</f>
        <v>6.6291017567121635E-4</v>
      </c>
      <c r="H850" s="5">
        <f>prices!H851/prices!H850-1</f>
        <v>-1.5317021070006764E-2</v>
      </c>
      <c r="I850" s="5">
        <f>prices!I851/prices!I850-1</f>
        <v>-6.2665734376442517E-3</v>
      </c>
      <c r="J850" s="5">
        <f>prices!J851/prices!J850-1</f>
        <v>-1.6767709869463077E-2</v>
      </c>
      <c r="K850" s="8">
        <f>SUMPRODUCT(B850:I850,weights!$B$5:$I$5)</f>
        <v>-1.2770190853816024E-2</v>
      </c>
      <c r="L850" s="4">
        <f t="shared" si="26"/>
        <v>170.22595458630983</v>
      </c>
      <c r="M850" s="4">
        <f>L850/MAX(L$2:L850)-1</f>
        <v>-6.7390531728449221E-2</v>
      </c>
      <c r="N850" s="4">
        <f t="shared" si="25"/>
        <v>4.6117135477629301E-2</v>
      </c>
    </row>
    <row r="851" spans="1:14">
      <c r="A851" s="3">
        <f>prices!A852</f>
        <v>44725</v>
      </c>
      <c r="B851" s="5">
        <f>prices!B852/prices!B851-1</f>
        <v>-1.891274108660812E-2</v>
      </c>
      <c r="C851" s="5">
        <f>prices!C852/prices!C851-1</f>
        <v>-4.1756945080207997E-2</v>
      </c>
      <c r="D851" s="5">
        <f>prices!D852/prices!D851-1</f>
        <v>-1.8138320328991653E-2</v>
      </c>
      <c r="E851" s="5">
        <f>prices!E852/prices!E851-1</f>
        <v>-3.5412806259007668E-2</v>
      </c>
      <c r="F851" s="5">
        <f>prices!F852/prices!F851-1</f>
        <v>-2.0346882983014347E-2</v>
      </c>
      <c r="G851" s="5">
        <f>prices!G852/prices!G851-1</f>
        <v>-4.222922816847885E-3</v>
      </c>
      <c r="H851" s="5">
        <f>prices!H852/prices!H851-1</f>
        <v>-1.9154443485763561E-2</v>
      </c>
      <c r="I851" s="5">
        <f>prices!I852/prices!I851-1</f>
        <v>-3.3468748340502397E-2</v>
      </c>
      <c r="J851" s="5">
        <f>prices!J852/prices!J851-1</f>
        <v>-2.6379784962164643E-2</v>
      </c>
      <c r="K851" s="8">
        <f>SUMPRODUCT(B851:I851,weights!$B$5:$I$5)</f>
        <v>-2.2427494117878331E-2</v>
      </c>
      <c r="L851" s="4">
        <f t="shared" si="26"/>
        <v>166.40821299111514</v>
      </c>
      <c r="M851" s="4">
        <f>L851/MAX(L$2:L851)-1</f>
        <v>-8.830662509238707E-2</v>
      </c>
      <c r="N851" s="4">
        <f t="shared" si="25"/>
        <v>1.9474317079075876E-2</v>
      </c>
    </row>
    <row r="852" spans="1:14">
      <c r="A852" s="3">
        <f>prices!A853</f>
        <v>44726</v>
      </c>
      <c r="B852" s="5">
        <f>prices!B853/prices!B852-1</f>
        <v>-1.307541788272748E-2</v>
      </c>
      <c r="C852" s="5">
        <f>prices!C853/prices!C852-1</f>
        <v>-2.809565260468605E-3</v>
      </c>
      <c r="D852" s="5">
        <f>prices!D853/prices!D852-1</f>
        <v>-1.1004411319733065E-2</v>
      </c>
      <c r="E852" s="5">
        <f>prices!E853/prices!E852-1</f>
        <v>1.1265267401873613E-2</v>
      </c>
      <c r="F852" s="5">
        <f>prices!F853/prices!F852-1</f>
        <v>3.0193512969485248E-3</v>
      </c>
      <c r="G852" s="5">
        <f>prices!G853/prices!G852-1</f>
        <v>-1.1382656854442619E-2</v>
      </c>
      <c r="H852" s="5">
        <f>prices!H853/prices!H852-1</f>
        <v>-5.3659394792399118E-3</v>
      </c>
      <c r="I852" s="5">
        <f>prices!I853/prices!I852-1</f>
        <v>8.2276829251541894E-3</v>
      </c>
      <c r="J852" s="5">
        <f>prices!J853/prices!J852-1</f>
        <v>-2.6815599959427727E-3</v>
      </c>
      <c r="K852" s="8">
        <f>SUMPRODUCT(B852:I852,weights!$B$5:$I$5)</f>
        <v>-2.9229325746949887E-3</v>
      </c>
      <c r="L852" s="4">
        <f t="shared" si="26"/>
        <v>165.92181300466663</v>
      </c>
      <c r="M852" s="4">
        <f>L852/MAX(L$2:L852)-1</f>
        <v>-9.0971443356038129E-2</v>
      </c>
      <c r="N852" s="4">
        <f t="shared" si="25"/>
        <v>-1.2604875010237993E-2</v>
      </c>
    </row>
    <row r="853" spans="1:14">
      <c r="A853" s="3">
        <f>prices!A854</f>
        <v>44727</v>
      </c>
      <c r="B853" s="5">
        <f>prices!B854/prices!B853-1</f>
        <v>-1.209768883736162E-2</v>
      </c>
      <c r="C853" s="5">
        <f>prices!C854/prices!C853-1</f>
        <v>-1.3235774204078954E-3</v>
      </c>
      <c r="D853" s="5">
        <f>prices!D854/prices!D853-1</f>
        <v>-3.4620463109078514E-3</v>
      </c>
      <c r="E853" s="5">
        <f>prices!E854/prices!E853-1</f>
        <v>-1.2734521575984981E-2</v>
      </c>
      <c r="F853" s="5">
        <f>prices!F854/prices!F853-1</f>
        <v>-7.7080957810717887E-3</v>
      </c>
      <c r="G853" s="5">
        <f>prices!G854/prices!G853-1</f>
        <v>5.350009383629617E-3</v>
      </c>
      <c r="H853" s="5">
        <f>prices!H854/prices!H853-1</f>
        <v>-3.3354811810635265E-3</v>
      </c>
      <c r="I853" s="5">
        <f>prices!I854/prices!I853-1</f>
        <v>1.0163210811694467E-2</v>
      </c>
      <c r="J853" s="5">
        <f>prices!J854/prices!J853-1</f>
        <v>-2.5393939779178032E-3</v>
      </c>
      <c r="K853" s="8">
        <f>SUMPRODUCT(B853:I853,weights!$B$5:$I$5)</f>
        <v>-1.0984730261482363E-3</v>
      </c>
      <c r="L853" s="4">
        <f t="shared" si="26"/>
        <v>165.73955236863139</v>
      </c>
      <c r="M853" s="4">
        <f>L853/MAX(L$2:L853)-1</f>
        <v>-9.1969986705509932E-2</v>
      </c>
      <c r="N853" s="4">
        <f t="shared" si="25"/>
        <v>-1.247664864019582E-2</v>
      </c>
    </row>
    <row r="854" spans="1:14">
      <c r="A854" s="3">
        <f>prices!A855</f>
        <v>44728</v>
      </c>
      <c r="B854" s="5">
        <f>prices!B855/prices!B854-1</f>
        <v>-1.3980661785340742E-2</v>
      </c>
      <c r="C854" s="5">
        <f>prices!C855/prices!C854-1</f>
        <v>-2.0054079214323561E-2</v>
      </c>
      <c r="D854" s="5">
        <f>prices!D855/prices!D854-1</f>
        <v>-2.0004201205422789E-2</v>
      </c>
      <c r="E854" s="5">
        <f>prices!E855/prices!E854-1</f>
        <v>-1.7578449770767501E-2</v>
      </c>
      <c r="F854" s="5">
        <f>prices!F855/prices!F854-1</f>
        <v>-1.0250045964331655E-2</v>
      </c>
      <c r="G854" s="5">
        <f>prices!G855/prices!G854-1</f>
        <v>-2.5267643682221896E-3</v>
      </c>
      <c r="H854" s="5">
        <f>prices!H855/prices!H854-1</f>
        <v>-9.3553907586994001E-3</v>
      </c>
      <c r="I854" s="5">
        <f>prices!I855/prices!I854-1</f>
        <v>-2.1119922317527018E-2</v>
      </c>
      <c r="J854" s="5">
        <f>prices!J855/prices!J854-1</f>
        <v>-2.1128398594201458E-2</v>
      </c>
      <c r="K854" s="8">
        <f>SUMPRODUCT(B854:I854,weights!$B$5:$I$5)</f>
        <v>-1.3437030552691801E-2</v>
      </c>
      <c r="L854" s="4">
        <f t="shared" si="26"/>
        <v>163.51250493966461</v>
      </c>
      <c r="M854" s="4">
        <f>L854/MAX(L$2:L854)-1</f>
        <v>-0.1041712137369093</v>
      </c>
      <c r="N854" s="4">
        <f t="shared" si="25"/>
        <v>-5.132856105982686E-3</v>
      </c>
    </row>
    <row r="855" spans="1:14">
      <c r="A855" s="3">
        <f>prices!A856</f>
        <v>44729</v>
      </c>
      <c r="B855" s="5">
        <f>prices!B856/prices!B855-1</f>
        <v>1.1720872467592791E-2</v>
      </c>
      <c r="C855" s="5">
        <f>prices!C856/prices!C855-1</f>
        <v>-1.6900233869359349E-2</v>
      </c>
      <c r="D855" s="5">
        <f>prices!D856/prices!D855-1</f>
        <v>6.5953272106711314E-3</v>
      </c>
      <c r="E855" s="5">
        <f>prices!E856/prices!E855-1</f>
        <v>-7.0846531421524528E-3</v>
      </c>
      <c r="F855" s="5">
        <f>prices!F856/prices!F855-1</f>
        <v>9.984674685366457E-3</v>
      </c>
      <c r="G855" s="5">
        <f>prices!G856/prices!G855-1</f>
        <v>-1.8567632165715886E-2</v>
      </c>
      <c r="H855" s="5">
        <f>prices!H856/prices!H855-1</f>
        <v>-2.6027870551652676E-2</v>
      </c>
      <c r="I855" s="5">
        <f>prices!I856/prices!I855-1</f>
        <v>-2.4517097903061447E-2</v>
      </c>
      <c r="J855" s="5">
        <f>prices!J856/prices!J855-1</f>
        <v>-4.3683189458745275E-3</v>
      </c>
      <c r="K855" s="8">
        <f>SUMPRODUCT(B855:I855,weights!$B$5:$I$5)</f>
        <v>-1.1631569413942531E-2</v>
      </c>
      <c r="L855" s="4">
        <f t="shared" si="26"/>
        <v>161.61059788841129</v>
      </c>
      <c r="M855" s="4">
        <f>L855/MAX(L$2:L855)-1</f>
        <v>-0.11459110844733622</v>
      </c>
      <c r="N855" s="4">
        <f t="shared" ref="N855:N918" si="27">L855/L835-1</f>
        <v>-4.6436590280837797E-2</v>
      </c>
    </row>
    <row r="856" spans="1:14">
      <c r="A856" s="3">
        <f>prices!A857</f>
        <v>44732</v>
      </c>
      <c r="B856" s="5">
        <f>prices!B857/prices!B856-1</f>
        <v>-1.8132064856017593E-2</v>
      </c>
      <c r="C856" s="5">
        <f>prices!C857/prices!C856-1</f>
        <v>7.6050956353683752E-3</v>
      </c>
      <c r="D856" s="5">
        <f>prices!D857/prices!D856-1</f>
        <v>2.5127356713459781E-2</v>
      </c>
      <c r="E856" s="5">
        <f>prices!E857/prices!E856-1</f>
        <v>1.9351905967919913E-2</v>
      </c>
      <c r="F856" s="5">
        <f>prices!F857/prices!F856-1</f>
        <v>3.034761817178655E-3</v>
      </c>
      <c r="G856" s="5">
        <f>prices!G857/prices!G856-1</f>
        <v>-3.5386128310809228E-3</v>
      </c>
      <c r="H856" s="5">
        <f>prices!H857/prices!H856-1</f>
        <v>1.4990868839751315E-2</v>
      </c>
      <c r="I856" s="5">
        <f>prices!I857/prices!I856-1</f>
        <v>-1.2181773242470273E-2</v>
      </c>
      <c r="J856" s="5">
        <f>prices!J857/prices!J856-1</f>
        <v>3.7041880537482808E-3</v>
      </c>
      <c r="K856" s="8">
        <f>SUMPRODUCT(B856:I856,weights!$B$5:$I$5)</f>
        <v>1.2954347826895003E-3</v>
      </c>
      <c r="L856" s="4">
        <f t="shared" si="26"/>
        <v>161.81995387816718</v>
      </c>
      <c r="M856" s="4">
        <f>L856/MAX(L$2:L856)-1</f>
        <v>-0.11344411897231632</v>
      </c>
      <c r="N856" s="4">
        <f t="shared" si="27"/>
        <v>-5.5845752606768051E-2</v>
      </c>
    </row>
    <row r="857" spans="1:14">
      <c r="A857" s="3">
        <f>prices!A858</f>
        <v>44733</v>
      </c>
      <c r="B857" s="5">
        <f>prices!B858/prices!B857-1</f>
        <v>1.6148777120829516E-2</v>
      </c>
      <c r="C857" s="5">
        <f>prices!C858/prices!C857-1</f>
        <v>3.1988023250706377E-2</v>
      </c>
      <c r="D857" s="5">
        <f>prices!D858/prices!D857-1</f>
        <v>1.088154930252605E-2</v>
      </c>
      <c r="E857" s="5">
        <f>prices!E858/prices!E857-1</f>
        <v>2.5283493661209189E-2</v>
      </c>
      <c r="F857" s="5">
        <f>prices!F858/prices!F857-1</f>
        <v>2.195837535527656E-2</v>
      </c>
      <c r="G857" s="5">
        <f>prices!G858/prices!G857-1</f>
        <v>1.5619447011159249E-2</v>
      </c>
      <c r="H857" s="5">
        <f>prices!H858/prices!H857-1</f>
        <v>1.5093069614518395E-2</v>
      </c>
      <c r="I857" s="5">
        <f>prices!I858/prices!I857-1</f>
        <v>1.9366599942808316E-2</v>
      </c>
      <c r="J857" s="5">
        <f>prices!J858/prices!J857-1</f>
        <v>1.8804376504464093E-2</v>
      </c>
      <c r="K857" s="8">
        <f>SUMPRODUCT(B857:I857,weights!$B$5:$I$5)</f>
        <v>1.8779401031228028E-2</v>
      </c>
      <c r="L857" s="4">
        <f t="shared" si="26"/>
        <v>164.85883568690011</v>
      </c>
      <c r="M857" s="4">
        <f>L857/MAX(L$2:L857)-1</f>
        <v>-9.6795130545903829E-2</v>
      </c>
      <c r="N857" s="4">
        <f t="shared" si="27"/>
        <v>-2.9622354840425302E-2</v>
      </c>
    </row>
    <row r="858" spans="1:14">
      <c r="A858" s="3">
        <f>prices!A859</f>
        <v>44734</v>
      </c>
      <c r="B858" s="5">
        <f>prices!B859/prices!B858-1</f>
        <v>-3.0383034714924206E-2</v>
      </c>
      <c r="C858" s="5">
        <f>prices!C859/prices!C858-1</f>
        <v>3.4227747530459762E-3</v>
      </c>
      <c r="D858" s="5">
        <f>prices!D859/prices!D858-1</f>
        <v>-4.7104198280223386E-3</v>
      </c>
      <c r="E858" s="5">
        <f>prices!E859/prices!E858-1</f>
        <v>-8.730029281325935E-3</v>
      </c>
      <c r="F858" s="5">
        <f>prices!F859/prices!F858-1</f>
        <v>-1.7045709415511645E-2</v>
      </c>
      <c r="G858" s="5">
        <f>prices!G859/prices!G858-1</f>
        <v>2.7590290909329518E-4</v>
      </c>
      <c r="H858" s="5">
        <f>prices!H859/prices!H858-1</f>
        <v>-9.97194593216022E-3</v>
      </c>
      <c r="I858" s="5">
        <f>prices!I859/prices!I858-1</f>
        <v>-1.4369972438266654E-2</v>
      </c>
      <c r="J858" s="5">
        <f>prices!J859/prices!J858-1</f>
        <v>-1.4419264905235707E-2</v>
      </c>
      <c r="K858" s="8">
        <f>SUMPRODUCT(B858:I858,weights!$B$5:$I$5)</f>
        <v>-1.0363582340089057E-2</v>
      </c>
      <c r="L858" s="4">
        <f t="shared" si="26"/>
        <v>163.15030756876772</v>
      </c>
      <c r="M858" s="4">
        <f>L858/MAX(L$2:L858)-1</f>
        <v>-0.10615556858046071</v>
      </c>
      <c r="N858" s="4">
        <f t="shared" si="27"/>
        <v>-3.0061637922101037E-2</v>
      </c>
    </row>
    <row r="859" spans="1:14">
      <c r="A859" s="3">
        <f>prices!A860</f>
        <v>44735</v>
      </c>
      <c r="B859" s="5">
        <f>prices!B860/prices!B859-1</f>
        <v>-1.6222694148022021E-2</v>
      </c>
      <c r="C859" s="5">
        <f>prices!C860/prices!C859-1</f>
        <v>2.6638388123011669E-2</v>
      </c>
      <c r="D859" s="5">
        <f>prices!D860/prices!D859-1</f>
        <v>3.684528158053535E-3</v>
      </c>
      <c r="E859" s="5">
        <f>prices!E860/prices!E859-1</f>
        <v>1.0577699076214309E-2</v>
      </c>
      <c r="F859" s="5">
        <f>prices!F860/prices!F859-1</f>
        <v>7.3016017888916096E-4</v>
      </c>
      <c r="G859" s="5">
        <f>prices!G860/prices!G859-1</f>
        <v>6.2735125534834957E-2</v>
      </c>
      <c r="H859" s="5">
        <f>prices!H860/prices!H859-1</f>
        <v>1.928179499729521E-2</v>
      </c>
      <c r="I859" s="5">
        <f>prices!I860/prices!I859-1</f>
        <v>1.0516578909918861E-2</v>
      </c>
      <c r="J859" s="5">
        <f>prices!J860/prices!J859-1</f>
        <v>9.300409386698627E-3</v>
      </c>
      <c r="K859" s="8">
        <f>SUMPRODUCT(B859:I859,weights!$B$5:$I$5)</f>
        <v>1.8679456412343472E-2</v>
      </c>
      <c r="L859" s="4">
        <f t="shared" si="26"/>
        <v>166.19786662765893</v>
      </c>
      <c r="M859" s="4">
        <f>L859/MAX(L$2:L859)-1</f>
        <v>-8.9459040484343499E-2</v>
      </c>
      <c r="N859" s="4">
        <f t="shared" si="27"/>
        <v>-1.2750967252114886E-2</v>
      </c>
    </row>
    <row r="860" spans="1:14">
      <c r="A860" s="3">
        <f>prices!A861</f>
        <v>44736</v>
      </c>
      <c r="B860" s="5">
        <f>prices!B861/prices!B860-1</f>
        <v>1.4241951953565701E-2</v>
      </c>
      <c r="C860" s="5">
        <f>prices!C861/prices!C860-1</f>
        <v>-4.7445908909364842E-3</v>
      </c>
      <c r="D860" s="5">
        <f>prices!D861/prices!D860-1</f>
        <v>1.3971961138010691E-2</v>
      </c>
      <c r="E860" s="5">
        <f>prices!E861/prices!E860-1</f>
        <v>-7.8153469223194438E-3</v>
      </c>
      <c r="F860" s="5">
        <f>prices!F861/prices!F860-1</f>
        <v>1.3224497241097755E-3</v>
      </c>
      <c r="G860" s="5">
        <f>prices!G861/prices!G860-1</f>
        <v>1.1146476654942949E-2</v>
      </c>
      <c r="H860" s="5">
        <f>prices!H861/prices!H860-1</f>
        <v>-3.6646237442350404E-4</v>
      </c>
      <c r="I860" s="5">
        <f>prices!I861/prices!I860-1</f>
        <v>3.7319213057496192E-4</v>
      </c>
      <c r="J860" s="5">
        <f>prices!J861/prices!J860-1</f>
        <v>9.1664979285386305E-3</v>
      </c>
      <c r="K860" s="8">
        <f>SUMPRODUCT(B860:I860,weights!$B$5:$I$5)</f>
        <v>4.068156065191249E-3</v>
      </c>
      <c r="L860" s="4">
        <f t="shared" si="26"/>
        <v>166.87398548680207</v>
      </c>
      <c r="M860" s="4">
        <f>L860/MAX(L$2:L860)-1</f>
        <v>-8.5754817757284885E-2</v>
      </c>
      <c r="N860" s="4">
        <f t="shared" si="27"/>
        <v>-2.1779665064281306E-2</v>
      </c>
    </row>
    <row r="861" spans="1:14">
      <c r="A861" s="3">
        <f>prices!A862</f>
        <v>44739</v>
      </c>
      <c r="B861" s="5">
        <f>prices!B862/prices!B861-1</f>
        <v>-2.9585276246996139E-3</v>
      </c>
      <c r="C861" s="5">
        <f>prices!C862/prices!C861-1</f>
        <v>6.5592372465042015E-3</v>
      </c>
      <c r="D861" s="5">
        <f>prices!D862/prices!D861-1</f>
        <v>1.8102089542924027E-3</v>
      </c>
      <c r="E861" s="5">
        <f>prices!E862/prices!E861-1</f>
        <v>2.3247817830880813E-2</v>
      </c>
      <c r="F861" s="5">
        <f>prices!F862/prices!F861-1</f>
        <v>1.5438564532288757E-2</v>
      </c>
      <c r="G861" s="5">
        <f>prices!G862/prices!G861-1</f>
        <v>1.0229762724597746E-2</v>
      </c>
      <c r="H861" s="5">
        <f>prices!H862/prices!H861-1</f>
        <v>1.3399742118170632E-2</v>
      </c>
      <c r="I861" s="5">
        <f>prices!I862/prices!I861-1</f>
        <v>2.7394753327561583E-2</v>
      </c>
      <c r="J861" s="5">
        <f>prices!J862/prices!J861-1</f>
        <v>8.4590028186060096E-3</v>
      </c>
      <c r="K861" s="8">
        <f>SUMPRODUCT(B861:I861,weights!$B$5:$I$5)</f>
        <v>1.3001316750161144E-2</v>
      </c>
      <c r="L861" s="4">
        <f t="shared" si="26"/>
        <v>169.0435670294778</v>
      </c>
      <c r="M861" s="4">
        <f>L861/MAX(L$2:L861)-1</f>
        <v>-7.3868426555638522E-2</v>
      </c>
      <c r="N861" s="4">
        <f t="shared" si="27"/>
        <v>-2.6911536911586209E-2</v>
      </c>
    </row>
    <row r="862" spans="1:14">
      <c r="A862" s="3">
        <f>prices!A863</f>
        <v>44740</v>
      </c>
      <c r="B862" s="5">
        <f>prices!B863/prices!B862-1</f>
        <v>1.405706086078462E-2</v>
      </c>
      <c r="C862" s="5">
        <f>prices!C863/prices!C862-1</f>
        <v>1.0414017336073389E-3</v>
      </c>
      <c r="D862" s="5">
        <f>prices!D863/prices!D862-1</f>
        <v>-7.6327554247083151E-3</v>
      </c>
      <c r="E862" s="5">
        <f>prices!E863/prices!E862-1</f>
        <v>3.7649682306939436E-3</v>
      </c>
      <c r="F862" s="5">
        <f>prices!F863/prices!F862-1</f>
        <v>7.0413060052920695E-3</v>
      </c>
      <c r="G862" s="5">
        <f>prices!G863/prices!G862-1</f>
        <v>4.847425695942098E-3</v>
      </c>
      <c r="H862" s="5">
        <f>prices!H863/prices!H862-1</f>
        <v>-8.432502557193855E-3</v>
      </c>
      <c r="I862" s="5">
        <f>prices!I863/prices!I862-1</f>
        <v>1.0221768530380926E-2</v>
      </c>
      <c r="J862" s="5">
        <f>prices!J863/prices!J862-1</f>
        <v>1.1464087089165798E-3</v>
      </c>
      <c r="K862" s="8">
        <f>SUMPRODUCT(B862:I862,weights!$B$5:$I$5)</f>
        <v>3.9050608991636595E-3</v>
      </c>
      <c r="L862" s="4">
        <f t="shared" si="26"/>
        <v>169.70369245333978</v>
      </c>
      <c r="M862" s="4">
        <f>L862/MAX(L$2:L862)-1</f>
        <v>-7.0251826360699932E-2</v>
      </c>
      <c r="N862" s="4">
        <f t="shared" si="27"/>
        <v>-1.4236142659057371E-2</v>
      </c>
    </row>
    <row r="863" spans="1:14">
      <c r="A863" s="3">
        <f>prices!A864</f>
        <v>44741</v>
      </c>
      <c r="B863" s="5">
        <f>prices!B864/prices!B863-1</f>
        <v>2.0753991824185025E-2</v>
      </c>
      <c r="C863" s="5">
        <f>prices!C864/prices!C863-1</f>
        <v>-8.332846935867666E-3</v>
      </c>
      <c r="D863" s="5">
        <f>prices!D864/prices!D863-1</f>
        <v>-1.4598081843441024E-3</v>
      </c>
      <c r="E863" s="5">
        <f>prices!E864/prices!E863-1</f>
        <v>-1.141991980949042E-2</v>
      </c>
      <c r="F863" s="5">
        <f>prices!F864/prices!F863-1</f>
        <v>8.0609245568719068E-3</v>
      </c>
      <c r="G863" s="5">
        <f>prices!G864/prices!G863-1</f>
        <v>2.2609225501430963E-3</v>
      </c>
      <c r="H863" s="5">
        <f>prices!H864/prices!H863-1</f>
        <v>1.2190212605359241E-2</v>
      </c>
      <c r="I863" s="5">
        <f>prices!I864/prices!I863-1</f>
        <v>-2.3193516666100145E-3</v>
      </c>
      <c r="J863" s="5">
        <f>prices!J864/prices!J863-1</f>
        <v>-3.2239340828507101E-3</v>
      </c>
      <c r="K863" s="8">
        <f>SUMPRODUCT(B863:I863,weights!$B$5:$I$5)</f>
        <v>3.3289575680634262E-3</v>
      </c>
      <c r="L863" s="4">
        <f t="shared" si="26"/>
        <v>170.26862884466064</v>
      </c>
      <c r="M863" s="4">
        <f>L863/MAX(L$2:L863)-1</f>
        <v>-6.7156734141670116E-2</v>
      </c>
      <c r="N863" s="4">
        <f t="shared" si="27"/>
        <v>-4.8889225482090515E-3</v>
      </c>
    </row>
    <row r="864" spans="1:14">
      <c r="A864" s="3">
        <f>prices!A865</f>
        <v>44742</v>
      </c>
      <c r="B864" s="5">
        <f>prices!B865/prices!B864-1</f>
        <v>6.0071880883107998E-3</v>
      </c>
      <c r="C864" s="5">
        <f>prices!C865/prices!C864-1</f>
        <v>-7.1114496416576634E-3</v>
      </c>
      <c r="D864" s="5">
        <f>prices!D865/prices!D864-1</f>
        <v>3.0182035401011831E-3</v>
      </c>
      <c r="E864" s="5">
        <f>prices!E865/prices!E864-1</f>
        <v>-9.2353158478009068E-4</v>
      </c>
      <c r="F864" s="5">
        <f>prices!F865/prices!F864-1</f>
        <v>-1.9880715705764551E-3</v>
      </c>
      <c r="G864" s="5">
        <f>prices!G865/prices!G864-1</f>
        <v>-4.4833391585155091E-3</v>
      </c>
      <c r="H864" s="5">
        <f>prices!H865/prices!H864-1</f>
        <v>-9.6695211225594768E-3</v>
      </c>
      <c r="I864" s="5">
        <f>prices!I865/prices!I864-1</f>
        <v>6.6819383739029625E-3</v>
      </c>
      <c r="J864" s="5">
        <f>prices!J865/prices!J864-1</f>
        <v>-1.193105936414085E-3</v>
      </c>
      <c r="K864" s="8">
        <f>SUMPRODUCT(B864:I864,weights!$B$5:$I$5)</f>
        <v>-8.9337857770905573E-4</v>
      </c>
      <c r="L864" s="4">
        <f t="shared" si="26"/>
        <v>170.11651449919492</v>
      </c>
      <c r="M864" s="4">
        <f>L864/MAX(L$2:L864)-1</f>
        <v>-6.7990116331748229E-2</v>
      </c>
      <c r="N864" s="4">
        <f t="shared" si="27"/>
        <v>-1.5471886595483264E-2</v>
      </c>
    </row>
    <row r="865" spans="1:14">
      <c r="A865" s="3">
        <f>prices!A866</f>
        <v>44743</v>
      </c>
      <c r="B865" s="5">
        <f>prices!B866/prices!B865-1</f>
        <v>-7.2030077746210397E-2</v>
      </c>
      <c r="C865" s="5">
        <f>prices!C866/prices!C865-1</f>
        <v>1.4690908583702811E-2</v>
      </c>
      <c r="D865" s="5">
        <f>prices!D866/prices!D865-1</f>
        <v>4.2629219822587494E-3</v>
      </c>
      <c r="E865" s="5">
        <f>prices!E866/prices!E865-1</f>
        <v>1.1970789425032269E-2</v>
      </c>
      <c r="F865" s="5">
        <f>prices!F866/prices!F865-1</f>
        <v>3.9663567950420475E-2</v>
      </c>
      <c r="G865" s="5">
        <f>prices!G866/prices!G865-1</f>
        <v>-8.045285015471193E-3</v>
      </c>
      <c r="H865" s="5">
        <f>prices!H866/prices!H865-1</f>
        <v>-1.6189555853967086E-3</v>
      </c>
      <c r="I865" s="5">
        <f>prices!I866/prices!I865-1</f>
        <v>8.9198898012099459E-3</v>
      </c>
      <c r="J865" s="5">
        <f>prices!J866/prices!J865-1</f>
        <v>-1.7870439314966458E-3</v>
      </c>
      <c r="K865" s="8">
        <f>SUMPRODUCT(B865:I865,weights!$B$5:$I$5)</f>
        <v>-3.2816873716124766E-3</v>
      </c>
      <c r="L865" s="4">
        <f t="shared" si="26"/>
        <v>169.55824528186017</v>
      </c>
      <c r="M865" s="4">
        <f>L865/MAX(L$2:L865)-1</f>
        <v>-7.1048681397200331E-2</v>
      </c>
      <c r="N865" s="4">
        <f t="shared" si="27"/>
        <v>-1.9340223276213542E-2</v>
      </c>
    </row>
    <row r="866" spans="1:14">
      <c r="A866" s="3">
        <f>prices!A867</f>
        <v>44746</v>
      </c>
      <c r="B866" s="5">
        <f>prices!B867/prices!B866-1</f>
        <v>2.0807743780593135E-3</v>
      </c>
      <c r="C866" s="5">
        <f>prices!C867/prices!C866-1</f>
        <v>-2.414867915969332E-2</v>
      </c>
      <c r="D866" s="5">
        <f>prices!D867/prices!D866-1</f>
        <v>1.4045382190455147E-3</v>
      </c>
      <c r="E866" s="5">
        <f>prices!E867/prices!E866-1</f>
        <v>5.8156352287430657E-3</v>
      </c>
      <c r="F866" s="5">
        <f>prices!F867/prices!F866-1</f>
        <v>2.6569019841607755E-2</v>
      </c>
      <c r="G866" s="5">
        <f>prices!G867/prices!G866-1</f>
        <v>4.8491238302470485E-3</v>
      </c>
      <c r="H866" s="5">
        <f>prices!H867/prices!H866-1</f>
        <v>1.7598551890585235E-4</v>
      </c>
      <c r="I866" s="5">
        <f>prices!I867/prices!I866-1</f>
        <v>6.0769524217458848E-3</v>
      </c>
      <c r="J866" s="5">
        <f>prices!J867/prices!J866-1</f>
        <v>5.2882005834162804E-3</v>
      </c>
      <c r="K866" s="8">
        <f>SUMPRODUCT(B866:I866,weights!$B$5:$I$5)</f>
        <v>3.1301362046304146E-3</v>
      </c>
      <c r="L866" s="4">
        <f t="shared" si="26"/>
        <v>170.08898568421051</v>
      </c>
      <c r="M866" s="4">
        <f>L866/MAX(L$2:L866)-1</f>
        <v>-6.8140937242502586E-2</v>
      </c>
      <c r="N866" s="4">
        <f t="shared" si="27"/>
        <v>-1.4325868853725998E-2</v>
      </c>
    </row>
    <row r="867" spans="1:14">
      <c r="A867" s="3">
        <f>prices!A868</f>
        <v>44747</v>
      </c>
      <c r="B867" s="5">
        <f>prices!B868/prices!B867-1</f>
        <v>8.0954253985967561E-3</v>
      </c>
      <c r="C867" s="5">
        <f>prices!C868/prices!C867-1</f>
        <v>-5.7965502426381432E-3</v>
      </c>
      <c r="D867" s="5">
        <f>prices!D868/prices!D867-1</f>
        <v>-2.2441092133149709E-3</v>
      </c>
      <c r="E867" s="5">
        <f>prices!E868/prices!E867-1</f>
        <v>-8.0978400714425414E-3</v>
      </c>
      <c r="F867" s="5">
        <f>prices!F868/prices!F867-1</f>
        <v>-1.7129821650767263E-2</v>
      </c>
      <c r="G867" s="5">
        <f>prices!G868/prices!G867-1</f>
        <v>-1.1209171726792921E-2</v>
      </c>
      <c r="H867" s="5">
        <f>prices!H868/prices!H867-1</f>
        <v>7.7168639871301181E-3</v>
      </c>
      <c r="I867" s="5">
        <f>prices!I868/prices!I867-1</f>
        <v>-1.0623648761017845E-2</v>
      </c>
      <c r="J867" s="5">
        <f>prices!J868/prices!J867-1</f>
        <v>-1.5471713602793757E-3</v>
      </c>
      <c r="K867" s="8">
        <f>SUMPRODUCT(B867:I867,weights!$B$5:$I$5)</f>
        <v>-4.8716158754833041E-3</v>
      </c>
      <c r="L867" s="4">
        <f t="shared" si="26"/>
        <v>169.26037748130645</v>
      </c>
      <c r="M867" s="4">
        <f>L867/MAX(L$2:L867)-1</f>
        <v>-7.2680596646345075E-2</v>
      </c>
      <c r="N867" s="4">
        <f t="shared" si="27"/>
        <v>-9.6627015939134697E-3</v>
      </c>
    </row>
    <row r="868" spans="1:14">
      <c r="A868" s="3">
        <f>prices!A869</f>
        <v>44748</v>
      </c>
      <c r="B868" s="5">
        <f>prices!B869/prices!B868-1</f>
        <v>-8.7926247209770825E-3</v>
      </c>
      <c r="C868" s="5">
        <f>prices!C869/prices!C868-1</f>
        <v>1.3821391632071967E-2</v>
      </c>
      <c r="D868" s="5">
        <f>prices!D869/prices!D868-1</f>
        <v>1.3791703111333264E-2</v>
      </c>
      <c r="E868" s="5">
        <f>prices!E869/prices!E868-1</f>
        <v>1.063602514801909E-2</v>
      </c>
      <c r="F868" s="5">
        <f>prices!F869/prices!F868-1</f>
        <v>8.3554880364602457E-3</v>
      </c>
      <c r="G868" s="5">
        <f>prices!G869/prices!G868-1</f>
        <v>3.3698916045585836E-2</v>
      </c>
      <c r="H868" s="5">
        <f>prices!H869/prices!H868-1</f>
        <v>2.2823646794711827E-3</v>
      </c>
      <c r="I868" s="5">
        <f>prices!I869/prices!I868-1</f>
        <v>-5.5873809908019156E-3</v>
      </c>
      <c r="J868" s="5">
        <f>prices!J869/prices!J868-1</f>
        <v>1.1318177074603808E-2</v>
      </c>
      <c r="K868" s="8">
        <f>SUMPRODUCT(B868:I868,weights!$B$5:$I$5)</f>
        <v>8.5136566720860375E-3</v>
      </c>
      <c r="L868" s="4">
        <f t="shared" si="26"/>
        <v>170.70140222336997</v>
      </c>
      <c r="M868" s="4">
        <f>L868/MAX(L$2:L868)-1</f>
        <v>-6.478571762082852E-2</v>
      </c>
      <c r="N868" s="4">
        <f t="shared" si="27"/>
        <v>5.8566728521314282E-4</v>
      </c>
    </row>
    <row r="869" spans="1:14">
      <c r="A869" s="3">
        <f>prices!A870</f>
        <v>44749</v>
      </c>
      <c r="B869" s="5">
        <f>prices!B870/prices!B869-1</f>
        <v>-9.850142351034874E-3</v>
      </c>
      <c r="C869" s="5">
        <f>prices!C870/prices!C869-1</f>
        <v>8.3118462151228201E-3</v>
      </c>
      <c r="D869" s="5">
        <f>prices!D870/prices!D869-1</f>
        <v>1.7902537476697455E-2</v>
      </c>
      <c r="E869" s="5">
        <f>prices!E870/prices!E869-1</f>
        <v>4.72602636307351E-3</v>
      </c>
      <c r="F869" s="5">
        <f>prices!F870/prices!F869-1</f>
        <v>9.1650973006904835E-3</v>
      </c>
      <c r="G869" s="5">
        <f>prices!G870/prices!G869-1</f>
        <v>-2.7398490292221966E-3</v>
      </c>
      <c r="H869" s="5">
        <f>prices!H870/prices!H869-1</f>
        <v>1.4023866704826915E-2</v>
      </c>
      <c r="I869" s="5">
        <f>prices!I870/prices!I869-1</f>
        <v>3.5308356491341897E-2</v>
      </c>
      <c r="J869" s="5">
        <f>prices!J870/prices!J869-1</f>
        <v>8.9494552777396041E-3</v>
      </c>
      <c r="K869" s="8">
        <f>SUMPRODUCT(B869:I869,weights!$B$5:$I$5)</f>
        <v>1.051195137872046E-2</v>
      </c>
      <c r="L869" s="4">
        <f t="shared" si="26"/>
        <v>172.49580706382142</v>
      </c>
      <c r="M869" s="4">
        <f>L869/MAX(L$2:L869)-1</f>
        <v>-5.4954790555773791E-2</v>
      </c>
      <c r="N869" s="4">
        <f t="shared" si="27"/>
        <v>3.9387706760996011E-4</v>
      </c>
    </row>
    <row r="870" spans="1:14">
      <c r="A870" s="3">
        <f>prices!A871</f>
        <v>44750</v>
      </c>
      <c r="B870" s="5">
        <f>prices!B871/prices!B870-1</f>
        <v>1.3868214975822912E-3</v>
      </c>
      <c r="C870" s="5">
        <f>prices!C871/prices!C870-1</f>
        <v>-6.8122676257895698E-3</v>
      </c>
      <c r="D870" s="5">
        <f>prices!D871/prices!D870-1</f>
        <v>9.2327717991791403E-4</v>
      </c>
      <c r="E870" s="5">
        <f>prices!E871/prices!E870-1</f>
        <v>1.05121577349645E-2</v>
      </c>
      <c r="F870" s="5">
        <f>prices!F871/prices!F870-1</f>
        <v>3.7737413950402754E-3</v>
      </c>
      <c r="G870" s="5">
        <f>prices!G871/prices!G870-1</f>
        <v>-1.515680608365011E-2</v>
      </c>
      <c r="H870" s="5">
        <f>prices!H871/prices!H870-1</f>
        <v>9.7067124800589433E-3</v>
      </c>
      <c r="I870" s="5">
        <f>prices!I871/prices!I870-1</f>
        <v>4.7387979284086112E-2</v>
      </c>
      <c r="J870" s="5">
        <f>prices!J871/prices!J870-1</f>
        <v>5.4360964240776077E-3</v>
      </c>
      <c r="K870" s="8">
        <f>SUMPRODUCT(B870:I870,weights!$B$5:$I$5)</f>
        <v>8.7066830325527051E-3</v>
      </c>
      <c r="L870" s="4">
        <f t="shared" si="26"/>
        <v>173.99767338037046</v>
      </c>
      <c r="M870" s="4">
        <f>L870/MAX(L$2:L870)-1</f>
        <v>-4.6726581465710626E-2</v>
      </c>
      <c r="N870" s="4">
        <f t="shared" si="27"/>
        <v>2.2157131109805217E-2</v>
      </c>
    </row>
    <row r="871" spans="1:14">
      <c r="A871" s="3">
        <f>prices!A872</f>
        <v>44753</v>
      </c>
      <c r="B871" s="5">
        <f>prices!B872/prices!B871-1</f>
        <v>1.3590494040309764E-2</v>
      </c>
      <c r="C871" s="5">
        <f>prices!C872/prices!C871-1</f>
        <v>-4.6442987674047753E-2</v>
      </c>
      <c r="D871" s="5">
        <f>prices!D872/prices!D871-1</f>
        <v>6.4872221382126227E-3</v>
      </c>
      <c r="E871" s="5">
        <f>prices!E872/prices!E871-1</f>
        <v>-2.7274822840061441E-2</v>
      </c>
      <c r="F871" s="5">
        <f>prices!F872/prices!F871-1</f>
        <v>6.6515182813466911E-3</v>
      </c>
      <c r="G871" s="5">
        <f>prices!G872/prices!G871-1</f>
        <v>3.7397240980556745E-3</v>
      </c>
      <c r="H871" s="5">
        <f>prices!H872/prices!H871-1</f>
        <v>-5.2259938503418368E-4</v>
      </c>
      <c r="I871" s="5">
        <f>prices!I872/prices!I871-1</f>
        <v>-1.4484801247077184E-2</v>
      </c>
      <c r="J871" s="5">
        <f>prices!J872/prices!J871-1</f>
        <v>-2.8359000283595392E-4</v>
      </c>
      <c r="K871" s="8">
        <f>SUMPRODUCT(B871:I871,weights!$B$5:$I$5)</f>
        <v>-5.8257375203520636E-3</v>
      </c>
      <c r="L871" s="4">
        <f t="shared" si="26"/>
        <v>172.98400860610445</v>
      </c>
      <c r="M871" s="4">
        <f>L871/MAX(L$2:L871)-1</f>
        <v>-5.2280102187220234E-2</v>
      </c>
      <c r="N871" s="4">
        <f t="shared" si="27"/>
        <v>3.9516052103392374E-2</v>
      </c>
    </row>
    <row r="872" spans="1:14">
      <c r="A872" s="3">
        <f>prices!A873</f>
        <v>44754</v>
      </c>
      <c r="B872" s="5">
        <f>prices!B873/prices!B872-1</f>
        <v>-1.4300939125364565E-3</v>
      </c>
      <c r="C872" s="5">
        <f>prices!C873/prices!C872-1</f>
        <v>-9.3443924498479713E-3</v>
      </c>
      <c r="D872" s="5">
        <f>prices!D873/prices!D872-1</f>
        <v>-1.0216499646929944E-2</v>
      </c>
      <c r="E872" s="5">
        <f>prices!E873/prices!E872-1</f>
        <v>-2.3452967931812174E-2</v>
      </c>
      <c r="F872" s="5">
        <f>prices!F873/prices!F872-1</f>
        <v>-7.7977509644586718E-3</v>
      </c>
      <c r="G872" s="5">
        <f>prices!G873/prices!G872-1</f>
        <v>-1.0337930567607678E-2</v>
      </c>
      <c r="H872" s="5">
        <f>prices!H873/prices!H872-1</f>
        <v>-6.5906272039689684E-3</v>
      </c>
      <c r="I872" s="5">
        <f>prices!I873/prices!I872-1</f>
        <v>-5.5677878166678907E-3</v>
      </c>
      <c r="J872" s="5">
        <f>prices!J873/prices!J872-1</f>
        <v>-9.7249629995067588E-3</v>
      </c>
      <c r="K872" s="8">
        <f>SUMPRODUCT(B872:I872,weights!$B$5:$I$5)</f>
        <v>-8.5022053520266358E-3</v>
      </c>
      <c r="L872" s="4">
        <f t="shared" si="26"/>
        <v>171.51326304231861</v>
      </c>
      <c r="M872" s="4">
        <f>L872/MAX(L$2:L872)-1</f>
        <v>-6.0337811374626127E-2</v>
      </c>
      <c r="N872" s="4">
        <f t="shared" si="27"/>
        <v>3.3699306537198437E-2</v>
      </c>
    </row>
    <row r="873" spans="1:14">
      <c r="A873" s="3">
        <f>prices!A874</f>
        <v>44755</v>
      </c>
      <c r="B873" s="5">
        <f>prices!B874/prices!B873-1</f>
        <v>-1.7723897615529172E-2</v>
      </c>
      <c r="C873" s="5">
        <f>prices!C874/prices!C873-1</f>
        <v>-1.4894835004524154E-2</v>
      </c>
      <c r="D873" s="5">
        <f>prices!D874/prices!D873-1</f>
        <v>-2.4393205725648404E-2</v>
      </c>
      <c r="E873" s="5">
        <f>prices!E874/prices!E873-1</f>
        <v>4.0705456879615021E-3</v>
      </c>
      <c r="F873" s="5">
        <f>prices!F874/prices!F873-1</f>
        <v>4.5913302448710169E-3</v>
      </c>
      <c r="G873" s="5">
        <f>prices!G874/prices!G873-1</f>
        <v>2.4351840566336769E-3</v>
      </c>
      <c r="H873" s="5">
        <f>prices!H874/prices!H873-1</f>
        <v>1.0037211124167555E-2</v>
      </c>
      <c r="I873" s="5">
        <f>prices!I874/prices!I873-1</f>
        <v>-3.925635609396072E-3</v>
      </c>
      <c r="J873" s="5">
        <f>prices!J874/prices!J873-1</f>
        <v>-5.7073289202468347E-3</v>
      </c>
      <c r="K873" s="8">
        <f>SUMPRODUCT(B873:I873,weights!$B$5:$I$5)</f>
        <v>-3.4343230414539028E-3</v>
      </c>
      <c r="L873" s="4">
        <f t="shared" si="26"/>
        <v>170.92423109113744</v>
      </c>
      <c r="M873" s="4">
        <f>L873/MAX(L$2:L873)-1</f>
        <v>-6.3564914880205214E-2</v>
      </c>
      <c r="N873" s="4">
        <f t="shared" si="27"/>
        <v>3.1282084743263328E-2</v>
      </c>
    </row>
    <row r="874" spans="1:14">
      <c r="A874" s="3">
        <f>prices!A875</f>
        <v>44756</v>
      </c>
      <c r="B874" s="5">
        <f>prices!B875/prices!B874-1</f>
        <v>8.2464270126205719E-3</v>
      </c>
      <c r="C874" s="5">
        <f>prices!C875/prices!C874-1</f>
        <v>-1.0561162515183797E-2</v>
      </c>
      <c r="D874" s="5">
        <f>prices!D875/prices!D874-1</f>
        <v>-5.0099576798606771E-3</v>
      </c>
      <c r="E874" s="5">
        <f>prices!E875/prices!E874-1</f>
        <v>-1.0805585224570757E-2</v>
      </c>
      <c r="F874" s="5">
        <f>prices!F875/prices!F874-1</f>
        <v>-1.0870012764030212E-2</v>
      </c>
      <c r="G874" s="5">
        <f>prices!G875/prices!G874-1</f>
        <v>1.5111587535545645E-2</v>
      </c>
      <c r="H874" s="5">
        <f>prices!H875/prices!H874-1</f>
        <v>2.296524310436765E-2</v>
      </c>
      <c r="I874" s="5">
        <f>prices!I875/prices!I874-1</f>
        <v>-6.7069081153581234E-4</v>
      </c>
      <c r="J874" s="5">
        <f>prices!J875/prices!J874-1</f>
        <v>-1.7536552752143164E-3</v>
      </c>
      <c r="K874" s="8">
        <f>SUMPRODUCT(B874:I874,weights!$B$5:$I$5)</f>
        <v>4.1943881408516544E-3</v>
      </c>
      <c r="L874" s="4">
        <f t="shared" si="26"/>
        <v>171.64115365901031</v>
      </c>
      <c r="M874" s="4">
        <f>L874/MAX(L$2:L874)-1</f>
        <v>-5.9637142664501264E-2</v>
      </c>
      <c r="N874" s="4">
        <f t="shared" si="27"/>
        <v>4.9712703761373822E-2</v>
      </c>
    </row>
    <row r="875" spans="1:14">
      <c r="A875" s="3">
        <f>prices!A876</f>
        <v>44757</v>
      </c>
      <c r="B875" s="5">
        <f>prices!B876/prices!B875-1</f>
        <v>1.9434287240607251E-3</v>
      </c>
      <c r="C875" s="5">
        <f>prices!C876/prices!C875-1</f>
        <v>-1.3830210484436778E-3</v>
      </c>
      <c r="D875" s="5">
        <f>prices!D876/prices!D875-1</f>
        <v>8.146989835809304E-3</v>
      </c>
      <c r="E875" s="5">
        <f>prices!E876/prices!E875-1</f>
        <v>1.0561076914590295E-3</v>
      </c>
      <c r="F875" s="5">
        <f>prices!F876/prices!F875-1</f>
        <v>9.2827706781002384E-3</v>
      </c>
      <c r="G875" s="5">
        <f>prices!G876/prices!G875-1</f>
        <v>2.4545823433359759E-2</v>
      </c>
      <c r="H875" s="5">
        <f>prices!H876/prices!H875-1</f>
        <v>-1.7059387994455832E-3</v>
      </c>
      <c r="I875" s="5">
        <f>prices!I876/prices!I875-1</f>
        <v>2.3509108341323026E-2</v>
      </c>
      <c r="J875" s="5">
        <f>prices!J876/prices!J875-1</f>
        <v>6.9359701103921534E-3</v>
      </c>
      <c r="K875" s="8">
        <f>SUMPRODUCT(B875:I875,weights!$B$5:$I$5)</f>
        <v>1.0742396002137718E-2</v>
      </c>
      <c r="L875" s="4">
        <f t="shared" si="26"/>
        <v>173.48499090187917</v>
      </c>
      <c r="M875" s="4">
        <f>L875/MAX(L$2:L875)-1</f>
        <v>-4.9535392465301586E-2</v>
      </c>
      <c r="N875" s="4">
        <f t="shared" si="27"/>
        <v>7.3475336200828245E-2</v>
      </c>
    </row>
    <row r="876" spans="1:14">
      <c r="A876" s="3">
        <f>prices!A877</f>
        <v>44760</v>
      </c>
      <c r="B876" s="5">
        <f>prices!B877/prices!B876-1</f>
        <v>8.5124377194756295E-3</v>
      </c>
      <c r="C876" s="5">
        <f>prices!C877/prices!C876-1</f>
        <v>2.3008916714095884E-2</v>
      </c>
      <c r="D876" s="5">
        <f>prices!D877/prices!D876-1</f>
        <v>-1.0640442989871435E-2</v>
      </c>
      <c r="E876" s="5">
        <f>prices!E877/prices!E876-1</f>
        <v>4.1632878006534479E-2</v>
      </c>
      <c r="F876" s="5">
        <f>prices!F877/prices!F876-1</f>
        <v>5.9803678957353057E-3</v>
      </c>
      <c r="G876" s="5">
        <f>prices!G877/prices!G876-1</f>
        <v>-8.3445966499934299E-3</v>
      </c>
      <c r="H876" s="5">
        <f>prices!H877/prices!H876-1</f>
        <v>5.0078915827074244E-3</v>
      </c>
      <c r="I876" s="5">
        <f>prices!I877/prices!I876-1</f>
        <v>2.5404676258992787E-2</v>
      </c>
      <c r="J876" s="5">
        <f>prices!J877/prices!J876-1</f>
        <v>1.4287316501756964E-2</v>
      </c>
      <c r="K876" s="8">
        <f>SUMPRODUCT(B876:I876,weights!$B$5:$I$5)</f>
        <v>1.0479003126441698E-2</v>
      </c>
      <c r="L876" s="4">
        <f t="shared" si="26"/>
        <v>175.30294066393066</v>
      </c>
      <c r="M876" s="4">
        <f>L876/MAX(L$2:L876)-1</f>
        <v>-3.9575470871373364E-2</v>
      </c>
      <c r="N876" s="4">
        <f t="shared" si="27"/>
        <v>8.332091600962066E-2</v>
      </c>
    </row>
    <row r="877" spans="1:14">
      <c r="A877" s="3">
        <f>prices!A878</f>
        <v>44761</v>
      </c>
      <c r="B877" s="5">
        <f>prices!B878/prices!B877-1</f>
        <v>6.1344660371167592E-3</v>
      </c>
      <c r="C877" s="5">
        <f>prices!C878/prices!C877-1</f>
        <v>3.5087198735970215E-3</v>
      </c>
      <c r="D877" s="5">
        <f>prices!D878/prices!D877-1</f>
        <v>3.605863447520008E-4</v>
      </c>
      <c r="E877" s="5">
        <f>prices!E878/prices!E877-1</f>
        <v>-3.8623462808854425E-3</v>
      </c>
      <c r="F877" s="5">
        <f>prices!F878/prices!F877-1</f>
        <v>-2.3779262842851256E-3</v>
      </c>
      <c r="G877" s="5">
        <f>prices!G878/prices!G877-1</f>
        <v>1.2691393430792619E-3</v>
      </c>
      <c r="H877" s="5">
        <f>prices!H878/prices!H877-1</f>
        <v>-8.4898865259950274E-3</v>
      </c>
      <c r="I877" s="5">
        <f>prices!I878/prices!I877-1</f>
        <v>1.2424175984797614E-3</v>
      </c>
      <c r="J877" s="5">
        <f>prices!J878/prices!J877-1</f>
        <v>3.8117762693121726E-3</v>
      </c>
      <c r="K877" s="8">
        <f>SUMPRODUCT(B877:I877,weights!$B$5:$I$5)</f>
        <v>-1.9963969078295193E-4</v>
      </c>
      <c r="L877" s="4">
        <f t="shared" si="26"/>
        <v>175.26794323906316</v>
      </c>
      <c r="M877" s="4">
        <f>L877/MAX(L$2:L877)-1</f>
        <v>-3.9767209727389008E-2</v>
      </c>
      <c r="N877" s="4">
        <f t="shared" si="27"/>
        <v>6.3139518781583748E-2</v>
      </c>
    </row>
    <row r="878" spans="1:14">
      <c r="A878" s="3">
        <f>prices!A879</f>
        <v>44762</v>
      </c>
      <c r="B878" s="5">
        <f>prices!B879/prices!B878-1</f>
        <v>2.7033638035531604E-2</v>
      </c>
      <c r="C878" s="5">
        <f>prices!C879/prices!C878-1</f>
        <v>2.9453725606150227E-2</v>
      </c>
      <c r="D878" s="5">
        <f>prices!D879/prices!D878-1</f>
        <v>1.2615972918756269E-2</v>
      </c>
      <c r="E878" s="5">
        <f>prices!E879/prices!E878-1</f>
        <v>2.0987616850794977E-2</v>
      </c>
      <c r="F878" s="5">
        <f>prices!F879/prices!F878-1</f>
        <v>1.2205646652693858E-2</v>
      </c>
      <c r="G878" s="5">
        <f>prices!G879/prices!G878-1</f>
        <v>3.8085992644716349E-3</v>
      </c>
      <c r="H878" s="5">
        <f>prices!H879/prices!H878-1</f>
        <v>-8.9198523282124631E-3</v>
      </c>
      <c r="I878" s="5">
        <f>prices!I879/prices!I878-1</f>
        <v>5.8698296836983133E-3</v>
      </c>
      <c r="J878" s="5">
        <f>prices!J879/prices!J878-1</f>
        <v>1.1033900327712232E-2</v>
      </c>
      <c r="K878" s="8">
        <f>SUMPRODUCT(B878:I878,weights!$B$5:$I$5)</f>
        <v>1.0315374253606947E-2</v>
      </c>
      <c r="L878" s="4">
        <f t="shared" si="26"/>
        <v>177.07589766823401</v>
      </c>
      <c r="M878" s="4">
        <f>L878/MAX(L$2:L878)-1</f>
        <v>-2.9862049125141898E-2</v>
      </c>
      <c r="N878" s="4">
        <f t="shared" si="27"/>
        <v>8.5354360080483804E-2</v>
      </c>
    </row>
    <row r="879" spans="1:14">
      <c r="A879" s="3">
        <f>prices!A880</f>
        <v>44763</v>
      </c>
      <c r="B879" s="5">
        <f>prices!B880/prices!B879-1</f>
        <v>-6.6687249150974015E-3</v>
      </c>
      <c r="C879" s="5">
        <f>prices!C880/prices!C879-1</f>
        <v>3.9493194604511839E-3</v>
      </c>
      <c r="D879" s="5">
        <f>prices!D880/prices!D879-1</f>
        <v>-3.141782613405919E-3</v>
      </c>
      <c r="E879" s="5">
        <f>prices!E880/prices!E879-1</f>
        <v>1.1615808796206828E-2</v>
      </c>
      <c r="F879" s="5">
        <f>prices!F880/prices!F879-1</f>
        <v>4.5473000406008879E-3</v>
      </c>
      <c r="G879" s="5">
        <f>prices!G880/prices!G879-1</f>
        <v>5.4805702474096663E-3</v>
      </c>
      <c r="H879" s="5">
        <f>prices!H880/prices!H879-1</f>
        <v>2.4873529517788207E-3</v>
      </c>
      <c r="I879" s="5">
        <f>prices!I880/prices!I879-1</f>
        <v>2.7472560699059567E-2</v>
      </c>
      <c r="J879" s="5">
        <f>prices!J880/prices!J879-1</f>
        <v>5.1086959811390553E-3</v>
      </c>
      <c r="K879" s="8">
        <f>SUMPRODUCT(B879:I879,weights!$B$5:$I$5)</f>
        <v>7.4814090076035338E-3</v>
      </c>
      <c r="L879" s="4">
        <f t="shared" si="26"/>
        <v>178.40067488407863</v>
      </c>
      <c r="M879" s="4">
        <f>L879/MAX(L$2:L879)-1</f>
        <v>-2.2604050320848668E-2</v>
      </c>
      <c r="N879" s="4">
        <f t="shared" si="27"/>
        <v>7.342337482440886E-2</v>
      </c>
    </row>
    <row r="880" spans="1:14">
      <c r="A880" s="3">
        <f>prices!A881</f>
        <v>44764</v>
      </c>
      <c r="B880" s="5">
        <f>prices!B881/prices!B880-1</f>
        <v>6.7578967933292766E-3</v>
      </c>
      <c r="C880" s="5">
        <f>prices!C881/prices!C880-1</f>
        <v>-1.9811965139524546E-3</v>
      </c>
      <c r="D880" s="5">
        <f>prices!D881/prices!D880-1</f>
        <v>2.3319360347772156E-2</v>
      </c>
      <c r="E880" s="5">
        <f>prices!E881/prices!E880-1</f>
        <v>-1.735220869667442E-2</v>
      </c>
      <c r="F880" s="5">
        <f>prices!F881/prices!F880-1</f>
        <v>3.3142025705279465E-3</v>
      </c>
      <c r="G880" s="5">
        <f>prices!G881/prices!G880-1</f>
        <v>3.8591746461034138E-3</v>
      </c>
      <c r="H880" s="5">
        <f>prices!H881/prices!H880-1</f>
        <v>5.573668312796709E-3</v>
      </c>
      <c r="I880" s="5">
        <f>prices!I881/prices!I880-1</f>
        <v>1.4772700520282456E-3</v>
      </c>
      <c r="J880" s="5">
        <f>prices!J881/prices!J880-1</f>
        <v>6.8773430089881238E-3</v>
      </c>
      <c r="K880" s="8">
        <f>SUMPRODUCT(B880:I880,weights!$B$5:$I$5)</f>
        <v>3.1082139011942888E-3</v>
      </c>
      <c r="L880" s="4">
        <f t="shared" si="26"/>
        <v>178.95518234173574</v>
      </c>
      <c r="M880" s="4">
        <f>L880/MAX(L$2:L880)-1</f>
        <v>-1.9566094643085119E-2</v>
      </c>
      <c r="N880" s="4">
        <f t="shared" si="27"/>
        <v>7.2397125409874974E-2</v>
      </c>
    </row>
    <row r="881" spans="1:14">
      <c r="A881" s="3">
        <f>prices!A882</f>
        <v>44767</v>
      </c>
      <c r="B881" s="5">
        <f>prices!B882/prices!B881-1</f>
        <v>-3.3042251036429438E-2</v>
      </c>
      <c r="C881" s="5">
        <f>prices!C882/prices!C881-1</f>
        <v>-1.3401415390127402E-3</v>
      </c>
      <c r="D881" s="5">
        <f>prices!D882/prices!D881-1</f>
        <v>2.9584901080228487E-3</v>
      </c>
      <c r="E881" s="5">
        <f>prices!E882/prices!E881-1</f>
        <v>-1.7942717873188352E-3</v>
      </c>
      <c r="F881" s="5">
        <f>prices!F882/prices!F881-1</f>
        <v>1.8530454398968388E-3</v>
      </c>
      <c r="G881" s="5">
        <f>prices!G882/prices!G881-1</f>
        <v>-2.3706359878480021E-2</v>
      </c>
      <c r="H881" s="5">
        <f>prices!H882/prices!H881-1</f>
        <v>-7.0327679305781654E-3</v>
      </c>
      <c r="I881" s="5">
        <f>prices!I882/prices!I881-1</f>
        <v>8.3157517380803014E-3</v>
      </c>
      <c r="J881" s="5">
        <f>prices!J882/prices!J881-1</f>
        <v>-5.2902457915781076E-3</v>
      </c>
      <c r="K881" s="8">
        <f>SUMPRODUCT(B881:I881,weights!$B$5:$I$5)</f>
        <v>-8.1313263286123833E-3</v>
      </c>
      <c r="L881" s="4">
        <f t="shared" si="26"/>
        <v>177.50003935591874</v>
      </c>
      <c r="M881" s="4">
        <f>L881/MAX(L$2:L881)-1</f>
        <v>-2.7538322671178062E-2</v>
      </c>
      <c r="N881" s="4">
        <f t="shared" si="27"/>
        <v>5.0025401587546314E-2</v>
      </c>
    </row>
    <row r="882" spans="1:14">
      <c r="A882" s="3">
        <f>prices!A883</f>
        <v>44768</v>
      </c>
      <c r="B882" s="5">
        <f>prices!B883/prices!B882-1</f>
        <v>4.5610450266364566E-4</v>
      </c>
      <c r="C882" s="5">
        <f>prices!C883/prices!C882-1</f>
        <v>-1.6056634170670381E-2</v>
      </c>
      <c r="D882" s="5">
        <f>prices!D883/prices!D882-1</f>
        <v>-2.0421437971773759E-3</v>
      </c>
      <c r="E882" s="5">
        <f>prices!E883/prices!E882-1</f>
        <v>-3.4878931088459408E-2</v>
      </c>
      <c r="F882" s="5">
        <f>prices!F883/prices!F882-1</f>
        <v>4.4632086851628117E-3</v>
      </c>
      <c r="G882" s="5">
        <f>prices!G883/prices!G882-1</f>
        <v>-1.1104957210145261E-2</v>
      </c>
      <c r="H882" s="5">
        <f>prices!H883/prices!H882-1</f>
        <v>-8.0429276256555049E-4</v>
      </c>
      <c r="I882" s="5">
        <f>prices!I883/prices!I882-1</f>
        <v>-1.7508480305873819E-2</v>
      </c>
      <c r="J882" s="5">
        <f>prices!J883/prices!J882-1</f>
        <v>-8.8479345800013265E-3</v>
      </c>
      <c r="K882" s="8">
        <f>SUMPRODUCT(B882:I882,weights!$B$5:$I$5)</f>
        <v>-9.8154373097507942E-3</v>
      </c>
      <c r="L882" s="4">
        <f t="shared" si="26"/>
        <v>175.75779884714242</v>
      </c>
      <c r="M882" s="4">
        <f>L882/MAX(L$2:L882)-1</f>
        <v>-3.7083459301134214E-2</v>
      </c>
      <c r="N882" s="4">
        <f t="shared" si="27"/>
        <v>3.5674570813874373E-2</v>
      </c>
    </row>
    <row r="883" spans="1:14">
      <c r="A883" s="3">
        <f>prices!A884</f>
        <v>44769</v>
      </c>
      <c r="B883" s="5">
        <f>prices!B884/prices!B883-1</f>
        <v>-9.4826485766907886E-4</v>
      </c>
      <c r="C883" s="5">
        <f>prices!C884/prices!C883-1</f>
        <v>2.3411346845302772E-2</v>
      </c>
      <c r="D883" s="5">
        <f>prices!D884/prices!D883-1</f>
        <v>7.6396046807736262E-3</v>
      </c>
      <c r="E883" s="5">
        <f>prices!E884/prices!E883-1</f>
        <v>1.371234343716532E-2</v>
      </c>
      <c r="F883" s="5">
        <f>prices!F884/prices!F883-1</f>
        <v>5.6442896601416326E-3</v>
      </c>
      <c r="G883" s="5">
        <f>prices!G884/prices!G883-1</f>
        <v>1.5511254840742339E-2</v>
      </c>
      <c r="H883" s="5">
        <f>prices!H884/prices!H883-1</f>
        <v>3.0371473881493527E-2</v>
      </c>
      <c r="I883" s="5">
        <f>prices!I884/prices!I883-1</f>
        <v>2.5923948508038253E-2</v>
      </c>
      <c r="J883" s="5">
        <f>prices!J884/prices!J883-1</f>
        <v>9.5821061220529025E-3</v>
      </c>
      <c r="K883" s="8">
        <f>SUMPRODUCT(B883:I883,weights!$B$5:$I$5)</f>
        <v>1.6839500313072228E-2</v>
      </c>
      <c r="L883" s="4">
        <f t="shared" si="26"/>
        <v>178.71747235585374</v>
      </c>
      <c r="M883" s="4">
        <f>L883/MAX(L$2:L883)-1</f>
        <v>-2.0868425912573318E-2</v>
      </c>
      <c r="N883" s="4">
        <f t="shared" si="27"/>
        <v>4.9620670399014966E-2</v>
      </c>
    </row>
    <row r="884" spans="1:14">
      <c r="A884" s="3">
        <f>prices!A885</f>
        <v>44770</v>
      </c>
      <c r="B884" s="5">
        <f>prices!B885/prices!B884-1</f>
        <v>1.5661221137172499E-2</v>
      </c>
      <c r="C884" s="5">
        <f>prices!C885/prices!C884-1</f>
        <v>2.2469588021920783E-2</v>
      </c>
      <c r="D884" s="5">
        <f>prices!D885/prices!D884-1</f>
        <v>8.8603405740417251E-3</v>
      </c>
      <c r="E884" s="5">
        <f>prices!E885/prices!E884-1</f>
        <v>3.1509082975449632E-2</v>
      </c>
      <c r="F884" s="5">
        <f>prices!F885/prices!F884-1</f>
        <v>-2.3087333811002697E-3</v>
      </c>
      <c r="G884" s="5">
        <f>prices!G885/prices!G884-1</f>
        <v>7.2700928385169838E-3</v>
      </c>
      <c r="H884" s="5">
        <f>prices!H885/prices!H884-1</f>
        <v>9.4445221771377597E-4</v>
      </c>
      <c r="I884" s="5">
        <f>prices!I885/prices!I884-1</f>
        <v>2.5615820515785259E-3</v>
      </c>
      <c r="J884" s="5">
        <f>prices!J885/prices!J884-1</f>
        <v>1.7293802353110843E-2</v>
      </c>
      <c r="K884" s="8">
        <f>SUMPRODUCT(B884:I884,weights!$B$5:$I$5)</f>
        <v>9.162667834690677E-3</v>
      </c>
      <c r="L884" s="4">
        <f t="shared" si="26"/>
        <v>180.35500119130597</v>
      </c>
      <c r="M884" s="4">
        <f>L884/MAX(L$2:L884)-1</f>
        <v>-1.189696853275235E-2</v>
      </c>
      <c r="N884" s="4">
        <f t="shared" si="27"/>
        <v>6.0185142649154866E-2</v>
      </c>
    </row>
    <row r="885" spans="1:14">
      <c r="A885" s="3">
        <f>prices!A886</f>
        <v>44771</v>
      </c>
      <c r="B885" s="5">
        <f>prices!B886/prices!B885-1</f>
        <v>2.130546519777865E-2</v>
      </c>
      <c r="C885" s="5">
        <f>prices!C886/prices!C885-1</f>
        <v>1.2695503080654591E-2</v>
      </c>
      <c r="D885" s="5">
        <f>prices!D886/prices!D885-1</f>
        <v>1.2241854916871686E-2</v>
      </c>
      <c r="E885" s="5">
        <f>prices!E886/prices!E885-1</f>
        <v>2.1284648781030979E-2</v>
      </c>
      <c r="F885" s="5">
        <f>prices!F886/prices!F885-1</f>
        <v>-1.316629428662508E-3</v>
      </c>
      <c r="G885" s="5">
        <f>prices!G886/prices!G885-1</f>
        <v>6.0204869462059385E-3</v>
      </c>
      <c r="H885" s="5">
        <f>prices!H886/prices!H885-1</f>
        <v>5.4027607897955576E-2</v>
      </c>
      <c r="I885" s="5">
        <f>prices!I886/prices!I885-1</f>
        <v>3.7777636792535318E-3</v>
      </c>
      <c r="J885" s="5">
        <f>prices!J886/prices!J885-1</f>
        <v>1.3505930441357172E-2</v>
      </c>
      <c r="K885" s="8">
        <f>SUMPRODUCT(B885:I885,weights!$B$5:$I$5)</f>
        <v>1.6494043813662748E-2</v>
      </c>
      <c r="L885" s="4">
        <f t="shared" si="26"/>
        <v>183.32978448296856</v>
      </c>
      <c r="M885" s="4">
        <f>L885/MAX(L$2:L885)-1</f>
        <v>0</v>
      </c>
      <c r="N885" s="4">
        <f t="shared" si="27"/>
        <v>8.1220109220968117E-2</v>
      </c>
    </row>
    <row r="886" spans="1:14">
      <c r="A886" s="3">
        <f>prices!A887</f>
        <v>44774</v>
      </c>
      <c r="B886" s="5">
        <f>prices!B887/prices!B886-1</f>
        <v>2.6069665748700066E-2</v>
      </c>
      <c r="C886" s="5">
        <f>prices!C887/prices!C886-1</f>
        <v>-9.3945181438082059E-4</v>
      </c>
      <c r="D886" s="5">
        <f>prices!D887/prices!D886-1</f>
        <v>8.337506997024402E-3</v>
      </c>
      <c r="E886" s="5">
        <f>prices!E887/prices!E886-1</f>
        <v>8.720106385295967E-4</v>
      </c>
      <c r="F886" s="5">
        <f>prices!F887/prices!F886-1</f>
        <v>1.4661819344013338E-2</v>
      </c>
      <c r="G886" s="5">
        <f>prices!G887/prices!G886-1</f>
        <v>2.6198413295187573E-2</v>
      </c>
      <c r="H886" s="5">
        <f>prices!H887/prices!H886-1</f>
        <v>-2.5971729496148455E-2</v>
      </c>
      <c r="I886" s="5">
        <f>prices!I887/prices!I886-1</f>
        <v>3.6773578184075006E-3</v>
      </c>
      <c r="J886" s="5">
        <f>prices!J887/prices!J886-1</f>
        <v>1.0595486136406596E-2</v>
      </c>
      <c r="K886" s="8">
        <f>SUMPRODUCT(B886:I886,weights!$B$5:$I$5)</f>
        <v>7.055141622845167E-3</v>
      </c>
      <c r="L886" s="4">
        <f t="shared" si="26"/>
        <v>184.6232020761816</v>
      </c>
      <c r="M886" s="4">
        <f>L886/MAX(L$2:L886)-1</f>
        <v>0</v>
      </c>
      <c r="N886" s="4">
        <f t="shared" si="27"/>
        <v>8.5450661802143335E-2</v>
      </c>
    </row>
    <row r="887" spans="1:14">
      <c r="A887" s="3">
        <f>prices!A888</f>
        <v>44775</v>
      </c>
      <c r="B887" s="5">
        <f>prices!B888/prices!B887-1</f>
        <v>3.7986623220718219E-3</v>
      </c>
      <c r="C887" s="5">
        <f>prices!C888/prices!C887-1</f>
        <v>-2.1217820213417227E-3</v>
      </c>
      <c r="D887" s="5">
        <f>prices!D888/prices!D887-1</f>
        <v>-1.1000409045754611E-2</v>
      </c>
      <c r="E887" s="5">
        <f>prices!E888/prices!E887-1</f>
        <v>-4.8064007899341066E-3</v>
      </c>
      <c r="F887" s="5">
        <f>prices!F888/prices!F887-1</f>
        <v>7.9927553350658265E-3</v>
      </c>
      <c r="G887" s="5">
        <f>prices!G888/prices!G887-1</f>
        <v>1.8843039031759989E-2</v>
      </c>
      <c r="H887" s="5">
        <f>prices!H888/prices!H887-1</f>
        <v>-1.5771617895680157E-3</v>
      </c>
      <c r="I887" s="5">
        <f>prices!I888/prices!I887-1</f>
        <v>-1.1930523591980657E-2</v>
      </c>
      <c r="J887" s="5">
        <f>prices!J888/prices!J887-1</f>
        <v>3.1141778714594004E-4</v>
      </c>
      <c r="K887" s="8">
        <f>SUMPRODUCT(B887:I887,weights!$B$5:$I$5)</f>
        <v>8.1488804327588434E-4</v>
      </c>
      <c r="L887" s="4">
        <f t="shared" si="26"/>
        <v>184.77364931606479</v>
      </c>
      <c r="M887" s="4">
        <f>L887/MAX(L$2:L887)-1</f>
        <v>0</v>
      </c>
      <c r="N887" s="4">
        <f t="shared" si="27"/>
        <v>9.1653298105586867E-2</v>
      </c>
    </row>
    <row r="888" spans="1:14">
      <c r="A888" s="3">
        <f>prices!A889</f>
        <v>44776</v>
      </c>
      <c r="B888" s="5">
        <f>prices!B889/prices!B888-1</f>
        <v>8.3971878390267651E-3</v>
      </c>
      <c r="C888" s="5">
        <f>prices!C889/prices!C888-1</f>
        <v>1.449055249114628E-2</v>
      </c>
      <c r="D888" s="5">
        <f>prices!D889/prices!D888-1</f>
        <v>2.3486314421188315E-3</v>
      </c>
      <c r="E888" s="5">
        <f>prices!E889/prices!E888-1</f>
        <v>1.4576387419658499E-2</v>
      </c>
      <c r="F888" s="5">
        <f>prices!F889/prices!F888-1</f>
        <v>-5.8200851529236486E-3</v>
      </c>
      <c r="G888" s="5">
        <f>prices!G889/prices!G888-1</f>
        <v>-1.6855253724936792E-2</v>
      </c>
      <c r="H888" s="5">
        <f>prices!H889/prices!H888-1</f>
        <v>-2.2081050980748751E-2</v>
      </c>
      <c r="I888" s="5">
        <f>prices!I889/prices!I888-1</f>
        <v>-1.8135045250704529E-3</v>
      </c>
      <c r="J888" s="5">
        <f>prices!J889/prices!J888-1</f>
        <v>2.4617406870390823E-3</v>
      </c>
      <c r="K888" s="8">
        <f>SUMPRODUCT(B888:I888,weights!$B$5:$I$5)</f>
        <v>-3.6996510908933167E-3</v>
      </c>
      <c r="L888" s="4">
        <f t="shared" si="26"/>
        <v>184.09005128280427</v>
      </c>
      <c r="M888" s="4">
        <f>L888/MAX(L$2:L888)-1</f>
        <v>-3.6996510908933189E-3</v>
      </c>
      <c r="N888" s="4">
        <f t="shared" si="27"/>
        <v>7.8433152188841948E-2</v>
      </c>
    </row>
    <row r="889" spans="1:14">
      <c r="A889" s="3">
        <f>prices!A890</f>
        <v>44777</v>
      </c>
      <c r="B889" s="5">
        <f>prices!B890/prices!B889-1</f>
        <v>-1.321518729986626E-2</v>
      </c>
      <c r="C889" s="5">
        <f>prices!C890/prices!C889-1</f>
        <v>4.6273613152594262E-3</v>
      </c>
      <c r="D889" s="5">
        <f>prices!D890/prices!D889-1</f>
        <v>-1.19366913260055E-3</v>
      </c>
      <c r="E889" s="5">
        <f>prices!E890/prices!E889-1</f>
        <v>2.1586406747729603E-2</v>
      </c>
      <c r="F889" s="5">
        <f>prices!F890/prices!F889-1</f>
        <v>4.4004400440043057E-3</v>
      </c>
      <c r="G889" s="5">
        <f>prices!G890/prices!G889-1</f>
        <v>8.0931419620711154E-4</v>
      </c>
      <c r="H889" s="5">
        <f>prices!H890/prices!H889-1</f>
        <v>2.3974154861651886E-2</v>
      </c>
      <c r="I889" s="5">
        <f>prices!I890/prices!I889-1</f>
        <v>-5.421375543443463E-3</v>
      </c>
      <c r="J889" s="5">
        <f>prices!J890/prices!J889-1</f>
        <v>-3.5368915036970705E-4</v>
      </c>
      <c r="K889" s="8">
        <f>SUMPRODUCT(B889:I889,weights!$B$5:$I$5)</f>
        <v>3.538354323285281E-3</v>
      </c>
      <c r="L889" s="4">
        <f t="shared" si="26"/>
        <v>184.74142711163458</v>
      </c>
      <c r="M889" s="4">
        <f>L889/MAX(L$2:L889)-1</f>
        <v>-1.7438744404019157E-4</v>
      </c>
      <c r="N889" s="4">
        <f t="shared" si="27"/>
        <v>7.0990827291717462E-2</v>
      </c>
    </row>
    <row r="890" spans="1:14">
      <c r="A890" s="3">
        <f>prices!A891</f>
        <v>44778</v>
      </c>
      <c r="B890" s="5">
        <f>prices!B891/prices!B890-1</f>
        <v>-1.4739968751609545E-2</v>
      </c>
      <c r="C890" s="5">
        <f>prices!C891/prices!C890-1</f>
        <v>3.0108648531483873E-3</v>
      </c>
      <c r="D890" s="5">
        <f>prices!D891/prices!D890-1</f>
        <v>-3.3787272968706095E-3</v>
      </c>
      <c r="E890" s="5">
        <f>prices!E891/prices!E890-1</f>
        <v>1.0466597687071921E-2</v>
      </c>
      <c r="F890" s="5">
        <f>prices!F891/prices!F890-1</f>
        <v>4.3420434986700673E-3</v>
      </c>
      <c r="G890" s="5">
        <f>prices!G891/prices!G890-1</f>
        <v>-1.3996658622610125E-2</v>
      </c>
      <c r="H890" s="5">
        <f>prices!H891/prices!H890-1</f>
        <v>-2.7804889120910392E-3</v>
      </c>
      <c r="I890" s="5">
        <f>prices!I891/prices!I890-1</f>
        <v>4.1319661272154473E-3</v>
      </c>
      <c r="J890" s="5">
        <f>prices!J891/prices!J890-1</f>
        <v>8.9172707398454953E-4</v>
      </c>
      <c r="K890" s="8">
        <f>SUMPRODUCT(B890:I890,weights!$B$5:$I$5)</f>
        <v>-2.938964507781412E-3</v>
      </c>
      <c r="L890" s="4">
        <f t="shared" si="26"/>
        <v>184.19847861423659</v>
      </c>
      <c r="M890" s="4">
        <f>L890/MAX(L$2:L890)-1</f>
        <v>-3.112839433312975E-3</v>
      </c>
      <c r="N890" s="4">
        <f t="shared" si="27"/>
        <v>5.8626101347726056E-2</v>
      </c>
    </row>
    <row r="891" spans="1:14">
      <c r="A891" s="3">
        <f>prices!A892</f>
        <v>44781</v>
      </c>
      <c r="B891" s="5">
        <f>prices!B892/prices!B891-1</f>
        <v>1.3087157681952455E-2</v>
      </c>
      <c r="C891" s="5">
        <f>prices!C892/prices!C891-1</f>
        <v>2.7924755109689503E-3</v>
      </c>
      <c r="D891" s="5">
        <f>prices!D892/prices!D891-1</f>
        <v>2.4530704091904942E-2</v>
      </c>
      <c r="E891" s="5">
        <f>prices!E892/prices!E891-1</f>
        <v>1.6996614608730809E-3</v>
      </c>
      <c r="F891" s="5">
        <f>prices!F892/prices!F891-1</f>
        <v>7.4001947419668479E-3</v>
      </c>
      <c r="G891" s="5">
        <f>prices!G892/prices!G891-1</f>
        <v>9.1333119963854514E-3</v>
      </c>
      <c r="H891" s="5">
        <f>prices!H892/prices!H891-1</f>
        <v>-6.0544674458569148E-3</v>
      </c>
      <c r="I891" s="5">
        <f>prices!I892/prices!I891-1</f>
        <v>2.3608729766644521E-2</v>
      </c>
      <c r="J891" s="5">
        <f>prices!J892/prices!J891-1</f>
        <v>7.3343871245867831E-3</v>
      </c>
      <c r="K891" s="8">
        <f>SUMPRODUCT(B891:I891,weights!$B$5:$I$5)</f>
        <v>1.0010522440998598E-2</v>
      </c>
      <c r="L891" s="4">
        <f t="shared" si="26"/>
        <v>186.0424016180022</v>
      </c>
      <c r="M891" s="4">
        <f>L891/MAX(L$2:L891)-1</f>
        <v>0</v>
      </c>
      <c r="N891" s="4">
        <f t="shared" si="27"/>
        <v>7.548901841922584E-2</v>
      </c>
    </row>
    <row r="892" spans="1:14">
      <c r="A892" s="3">
        <f>prices!A893</f>
        <v>44783</v>
      </c>
      <c r="B892" s="5">
        <f>prices!B893/prices!B892-1</f>
        <v>5.9774148325895116E-3</v>
      </c>
      <c r="C892" s="5">
        <f>prices!C893/prices!C892-1</f>
        <v>-5.986935147147987E-3</v>
      </c>
      <c r="D892" s="5">
        <f>prices!D893/prices!D892-1</f>
        <v>2.9044144209233735E-3</v>
      </c>
      <c r="E892" s="5">
        <f>prices!E893/prices!E892-1</f>
        <v>-1.0465779335475101E-2</v>
      </c>
      <c r="F892" s="5">
        <f>prices!F893/prices!F892-1</f>
        <v>-6.2246278755072604E-3</v>
      </c>
      <c r="G892" s="5">
        <f>prices!G893/prices!G892-1</f>
        <v>-4.7352084494496349E-3</v>
      </c>
      <c r="H892" s="5">
        <f>prices!H893/prices!H892-1</f>
        <v>1.0213311654854174E-2</v>
      </c>
      <c r="I892" s="5">
        <f>prices!I893/prices!I892-1</f>
        <v>1.393391892889384E-2</v>
      </c>
      <c r="J892" s="5">
        <f>prices!J893/prices!J892-1</f>
        <v>5.5063879806693805E-4</v>
      </c>
      <c r="K892" s="8">
        <f>SUMPRODUCT(B892:I892,weights!$B$5:$I$5)</f>
        <v>2.4085836553851634E-3</v>
      </c>
      <c r="L892" s="4">
        <f t="shared" si="26"/>
        <v>186.4905003057479</v>
      </c>
      <c r="M892" s="4">
        <f>L892/MAX(L$2:L892)-1</f>
        <v>0</v>
      </c>
      <c r="N892" s="4">
        <f t="shared" si="27"/>
        <v>8.7324076271196871E-2</v>
      </c>
    </row>
    <row r="893" spans="1:14">
      <c r="A893" s="3">
        <f>prices!A894</f>
        <v>44784</v>
      </c>
      <c r="B893" s="5">
        <f>prices!B894/prices!B893-1</f>
        <v>3.3343022758749452E-3</v>
      </c>
      <c r="C893" s="5">
        <f>prices!C894/prices!C893-1</f>
        <v>2.0348778124809508E-2</v>
      </c>
      <c r="D893" s="5">
        <f>prices!D894/prices!D893-1</f>
        <v>1.3226522202691493E-2</v>
      </c>
      <c r="E893" s="5">
        <f>prices!E894/prices!E893-1</f>
        <v>1.0920820537326792E-2</v>
      </c>
      <c r="F893" s="5">
        <f>prices!F894/prices!F893-1</f>
        <v>-1.5911920323685158E-2</v>
      </c>
      <c r="G893" s="5">
        <f>prices!G894/prices!G893-1</f>
        <v>-7.4160249403377732E-3</v>
      </c>
      <c r="H893" s="5">
        <f>prices!H894/prices!H893-1</f>
        <v>1.4734384386085875E-3</v>
      </c>
      <c r="I893" s="5">
        <f>prices!I894/prices!I893-1</f>
        <v>6.4736155366773573E-3</v>
      </c>
      <c r="J893" s="5">
        <f>prices!J894/prices!J893-1</f>
        <v>7.0859293688247948E-3</v>
      </c>
      <c r="K893" s="8">
        <f>SUMPRODUCT(B893:I893,weights!$B$5:$I$5)</f>
        <v>2.8452810002057302E-3</v>
      </c>
      <c r="L893" s="4">
        <f t="shared" si="26"/>
        <v>187.0211181829867</v>
      </c>
      <c r="M893" s="4">
        <f>L893/MAX(L$2:L893)-1</f>
        <v>0</v>
      </c>
      <c r="N893" s="4">
        <f t="shared" si="27"/>
        <v>9.417557118198383E-2</v>
      </c>
    </row>
    <row r="894" spans="1:14">
      <c r="A894" s="3">
        <f>prices!A895</f>
        <v>44785</v>
      </c>
      <c r="B894" s="5">
        <f>prices!B895/prices!B894-1</f>
        <v>1.6164490950611787E-2</v>
      </c>
      <c r="C894" s="5">
        <f>prices!C895/prices!C894-1</f>
        <v>-6.1219950267090706E-3</v>
      </c>
      <c r="D894" s="5">
        <f>prices!D895/prices!D894-1</f>
        <v>-3.6971730845802853E-4</v>
      </c>
      <c r="E894" s="5">
        <f>prices!E895/prices!E894-1</f>
        <v>-1.5954007966576533E-2</v>
      </c>
      <c r="F894" s="5">
        <f>prices!F895/prices!F894-1</f>
        <v>7.5113658825856078E-3</v>
      </c>
      <c r="G894" s="5">
        <f>prices!G895/prices!G894-1</f>
        <v>-1.3008320084227809E-2</v>
      </c>
      <c r="H894" s="5">
        <f>prices!H895/prices!H894-1</f>
        <v>-8.2617503593296338E-3</v>
      </c>
      <c r="I894" s="5">
        <f>prices!I895/prices!I894-1</f>
        <v>-1.1089040600466338E-2</v>
      </c>
      <c r="J894" s="5">
        <f>prices!J895/prices!J894-1</f>
        <v>2.2169998301151406E-3</v>
      </c>
      <c r="K894" s="8">
        <f>SUMPRODUCT(B894:I894,weights!$B$5:$I$5)</f>
        <v>-5.1907301991264542E-3</v>
      </c>
      <c r="L894" s="4">
        <f t="shared" si="26"/>
        <v>186.05034201695989</v>
      </c>
      <c r="M894" s="4">
        <f>L894/MAX(L$2:L894)-1</f>
        <v>-5.1907301991264143E-3</v>
      </c>
      <c r="N894" s="4">
        <f t="shared" si="27"/>
        <v>8.3949496089821718E-2</v>
      </c>
    </row>
    <row r="895" spans="1:14">
      <c r="A895" s="3">
        <f>prices!A896</f>
        <v>44789</v>
      </c>
      <c r="B895" s="5">
        <f>prices!B896/prices!B895-1</f>
        <v>6.9516070874526825E-3</v>
      </c>
      <c r="C895" s="5">
        <f>prices!C896/prices!C895-1</f>
        <v>-2.6021746029094572E-3</v>
      </c>
      <c r="D895" s="5">
        <f>prices!D896/prices!D895-1</f>
        <v>1.1451250391191659E-2</v>
      </c>
      <c r="E895" s="5">
        <f>prices!E896/prices!E895-1</f>
        <v>1.4693831416543457E-3</v>
      </c>
      <c r="F895" s="5">
        <f>prices!F896/prices!F895-1</f>
        <v>6.4743967039435635E-3</v>
      </c>
      <c r="G895" s="5">
        <f>prices!G896/prices!G895-1</f>
        <v>3.5003336498422799E-2</v>
      </c>
      <c r="H895" s="5">
        <f>prices!H896/prices!H895-1</f>
        <v>1.2667039450411366E-3</v>
      </c>
      <c r="I895" s="5">
        <f>prices!I896/prices!I895-1</f>
        <v>1.3278269773933093E-3</v>
      </c>
      <c r="J895" s="5">
        <f>prices!J896/prices!J895-1</f>
        <v>7.1815415735541066E-3</v>
      </c>
      <c r="K895" s="8">
        <f>SUMPRODUCT(B895:I895,weights!$B$5:$I$5)</f>
        <v>9.4302844469742898E-3</v>
      </c>
      <c r="L895" s="4">
        <f t="shared" si="26"/>
        <v>187.80484966363667</v>
      </c>
      <c r="M895" s="4">
        <f>L895/MAX(L$2:L895)-1</f>
        <v>0</v>
      </c>
      <c r="N895" s="4">
        <f t="shared" si="27"/>
        <v>8.254234955608708E-2</v>
      </c>
    </row>
    <row r="896" spans="1:14">
      <c r="A896" s="3">
        <f>prices!A897</f>
        <v>44790</v>
      </c>
      <c r="B896" s="5">
        <f>prices!B897/prices!B896-1</f>
        <v>5.2214320214520882E-3</v>
      </c>
      <c r="C896" s="5">
        <f>prices!C897/prices!C896-1</f>
        <v>2.478347946655246E-3</v>
      </c>
      <c r="D896" s="5">
        <f>prices!D897/prices!D896-1</f>
        <v>5.1474621323996939E-3</v>
      </c>
      <c r="E896" s="5">
        <f>prices!E897/prices!E896-1</f>
        <v>6.1440139950903472E-3</v>
      </c>
      <c r="F896" s="5">
        <f>prices!F897/prices!F896-1</f>
        <v>6.4327485380115679E-3</v>
      </c>
      <c r="G896" s="5">
        <f>prices!G897/prices!G896-1</f>
        <v>-6.5917483558182166E-3</v>
      </c>
      <c r="H896" s="5">
        <f>prices!H897/prices!H896-1</f>
        <v>6.7813995896968127E-3</v>
      </c>
      <c r="I896" s="5">
        <f>prices!I897/prices!I896-1</f>
        <v>3.6747766477496224E-3</v>
      </c>
      <c r="J896" s="5">
        <f>prices!J897/prices!J896-1</f>
        <v>6.6759231988331447E-3</v>
      </c>
      <c r="K896" s="8">
        <f>SUMPRODUCT(B896:I896,weights!$B$5:$I$5)</f>
        <v>2.7889872333232849E-3</v>
      </c>
      <c r="L896" s="4">
        <f t="shared" si="26"/>
        <v>188.32863499170477</v>
      </c>
      <c r="M896" s="4">
        <f>L896/MAX(L$2:L896)-1</f>
        <v>0</v>
      </c>
      <c r="N896" s="4">
        <f t="shared" si="27"/>
        <v>7.4303912292865482E-2</v>
      </c>
    </row>
    <row r="897" spans="1:14">
      <c r="A897" s="3">
        <f>prices!A898</f>
        <v>44791</v>
      </c>
      <c r="B897" s="5">
        <f>prices!B898/prices!B897-1</f>
        <v>1.814280625305642E-3</v>
      </c>
      <c r="C897" s="5">
        <f>prices!C898/prices!C897-1</f>
        <v>-5.8364458817476983E-3</v>
      </c>
      <c r="D897" s="5">
        <f>prices!D898/prices!D897-1</f>
        <v>1.2033189214903928E-3</v>
      </c>
      <c r="E897" s="5">
        <f>prices!E898/prices!E897-1</f>
        <v>-1.4505556139797315E-2</v>
      </c>
      <c r="F897" s="5">
        <f>prices!F898/prices!F897-1</f>
        <v>9.9167150881269706E-3</v>
      </c>
      <c r="G897" s="5">
        <f>prices!G898/prices!G897-1</f>
        <v>3.7451833104418242E-4</v>
      </c>
      <c r="H897" s="5">
        <f>prices!H898/prices!H897-1</f>
        <v>-4.4036904964057655E-3</v>
      </c>
      <c r="I897" s="5">
        <f>prices!I898/prices!I897-1</f>
        <v>2.0937835901110757E-2</v>
      </c>
      <c r="J897" s="5">
        <f>prices!J898/prices!J897-1</f>
        <v>6.826699360520383E-4</v>
      </c>
      <c r="K897" s="8">
        <f>SUMPRODUCT(B897:I897,weights!$B$5:$I$5)</f>
        <v>2.9408933855032153E-3</v>
      </c>
      <c r="L897" s="4">
        <f t="shared" si="26"/>
        <v>188.88248942865275</v>
      </c>
      <c r="M897" s="4">
        <f>L897/MAX(L$2:L897)-1</f>
        <v>0</v>
      </c>
      <c r="N897" s="4">
        <f t="shared" si="27"/>
        <v>7.7678472959653133E-2</v>
      </c>
    </row>
    <row r="898" spans="1:14">
      <c r="A898" s="3">
        <f>prices!A899</f>
        <v>44792</v>
      </c>
      <c r="B898" s="5">
        <f>prices!B899/prices!B898-1</f>
        <v>-1.7828790685366469E-2</v>
      </c>
      <c r="C898" s="5">
        <f>prices!C899/prices!C898-1</f>
        <v>1.3307390642485206E-3</v>
      </c>
      <c r="D898" s="5">
        <f>prices!D899/prices!D898-1</f>
        <v>-1.2340157920480599E-2</v>
      </c>
      <c r="E898" s="5">
        <f>prices!E899/prices!E898-1</f>
        <v>8.9353044121622816E-3</v>
      </c>
      <c r="F898" s="5">
        <f>prices!F899/prices!F898-1</f>
        <v>-1.1545395266771452E-2</v>
      </c>
      <c r="G898" s="5">
        <f>prices!G899/prices!G898-1</f>
        <v>-1.8859588439854913E-2</v>
      </c>
      <c r="H898" s="5">
        <f>prices!H899/prices!H898-1</f>
        <v>-1.3565142246378503E-2</v>
      </c>
      <c r="I898" s="5">
        <f>prices!I899/prices!I898-1</f>
        <v>2.1906735978592273E-2</v>
      </c>
      <c r="J898" s="5">
        <f>prices!J899/prices!J898-1</f>
        <v>-1.1029432239022086E-2</v>
      </c>
      <c r="K898" s="8">
        <f>SUMPRODUCT(B898:I898,weights!$B$5:$I$5)</f>
        <v>-4.6745356914734961E-3</v>
      </c>
      <c r="L898" s="4">
        <f t="shared" si="26"/>
        <v>187.99955149032414</v>
      </c>
      <c r="M898" s="4">
        <f>L898/MAX(L$2:L898)-1</f>
        <v>-4.6745356914735803E-3</v>
      </c>
      <c r="N898" s="4">
        <f t="shared" si="27"/>
        <v>6.1689106004457317E-2</v>
      </c>
    </row>
    <row r="899" spans="1:14">
      <c r="A899" s="3">
        <f>prices!A900</f>
        <v>44795</v>
      </c>
      <c r="B899" s="5">
        <f>prices!B900/prices!B899-1</f>
        <v>-2.770013134408722E-3</v>
      </c>
      <c r="C899" s="5">
        <f>prices!C900/prices!C899-1</f>
        <v>-9.2155382162932842E-3</v>
      </c>
      <c r="D899" s="5">
        <f>prices!D900/prices!D899-1</f>
        <v>-1.5211116142177961E-2</v>
      </c>
      <c r="E899" s="5">
        <f>prices!E900/prices!E899-1</f>
        <v>-1.3432330668020409E-2</v>
      </c>
      <c r="F899" s="5">
        <f>prices!F900/prices!F899-1</f>
        <v>7.6833527357393905E-3</v>
      </c>
      <c r="G899" s="5">
        <f>prices!G900/prices!G899-1</f>
        <v>-1.719455083235355E-2</v>
      </c>
      <c r="H899" s="5">
        <f>prices!H900/prices!H899-1</f>
        <v>-2.3077011745991527E-2</v>
      </c>
      <c r="I899" s="5">
        <f>prices!I900/prices!I899-1</f>
        <v>-2.8616809491358031E-2</v>
      </c>
      <c r="J899" s="5">
        <f>prices!J900/prices!J899-1</f>
        <v>-1.5077329384039717E-2</v>
      </c>
      <c r="K899" s="8">
        <f>SUMPRODUCT(B899:I899,weights!$B$5:$I$5)</f>
        <v>-1.5248890507408235E-2</v>
      </c>
      <c r="L899" s="4">
        <f t="shared" si="26"/>
        <v>185.13276691420634</v>
      </c>
      <c r="M899" s="4">
        <f>L899/MAX(L$2:L899)-1</f>
        <v>-1.9852144715949427E-2</v>
      </c>
      <c r="N899" s="4">
        <f t="shared" si="27"/>
        <v>3.7735799119045454E-2</v>
      </c>
    </row>
    <row r="900" spans="1:14">
      <c r="A900" s="3">
        <f>prices!A901</f>
        <v>44796</v>
      </c>
      <c r="B900" s="5">
        <f>prices!B901/prices!B900-1</f>
        <v>1.5416698327465506E-2</v>
      </c>
      <c r="C900" s="5">
        <f>prices!C901/prices!C900-1</f>
        <v>-2.0851610106053298E-2</v>
      </c>
      <c r="D900" s="5">
        <f>prices!D901/prices!D900-1</f>
        <v>-3.0892136155293848E-3</v>
      </c>
      <c r="E900" s="5">
        <f>prices!E901/prices!E900-1</f>
        <v>-2.109822251763549E-2</v>
      </c>
      <c r="F900" s="5">
        <f>prices!F901/prices!F900-1</f>
        <v>4.7751078250153345E-3</v>
      </c>
      <c r="G900" s="5">
        <f>prices!G901/prices!G900-1</f>
        <v>1.0721494353491012E-2</v>
      </c>
      <c r="H900" s="5">
        <f>prices!H901/prices!H900-1</f>
        <v>8.9084494578235418E-3</v>
      </c>
      <c r="I900" s="5">
        <f>prices!I901/prices!I900-1</f>
        <v>-1.9168517229569693E-3</v>
      </c>
      <c r="J900" s="5">
        <f>prices!J901/prices!J900-1</f>
        <v>4.9626372872439983E-3</v>
      </c>
      <c r="K900" s="8">
        <f>SUMPRODUCT(B900:I900,weights!$B$5:$I$5)</f>
        <v>1.5632588697560919E-3</v>
      </c>
      <c r="L900" s="4">
        <f t="shared" ref="L900:L963" si="28">L899*(1+K900)</f>
        <v>185.42217735416745</v>
      </c>
      <c r="M900" s="4">
        <f>L900/MAX(L$2:L900)-1</f>
        <v>-1.8319919887504366E-2</v>
      </c>
      <c r="N900" s="4">
        <f t="shared" si="27"/>
        <v>3.6137511793775445E-2</v>
      </c>
    </row>
    <row r="901" spans="1:14">
      <c r="A901" s="3">
        <f>prices!A902</f>
        <v>44797</v>
      </c>
      <c r="B901" s="5">
        <f>prices!B902/prices!B901-1</f>
        <v>-2.660702259102532E-3</v>
      </c>
      <c r="C901" s="5">
        <f>prices!C902/prices!C901-1</f>
        <v>-8.907784538853547E-3</v>
      </c>
      <c r="D901" s="5">
        <f>prices!D902/prices!D901-1</f>
        <v>4.8139286846731189E-3</v>
      </c>
      <c r="E901" s="5">
        <f>prices!E902/prices!E901-1</f>
        <v>-3.1759938670464782E-3</v>
      </c>
      <c r="F901" s="5">
        <f>prices!F902/prices!F901-1</f>
        <v>-5.7105626245592678E-3</v>
      </c>
      <c r="G901" s="5">
        <f>prices!G902/prices!G901-1</f>
        <v>-1.8920279533412021E-3</v>
      </c>
      <c r="H901" s="5">
        <f>prices!H902/prices!H901-1</f>
        <v>-8.3269010361844975E-3</v>
      </c>
      <c r="I901" s="5">
        <f>prices!I902/prices!I901-1</f>
        <v>8.6839090320403045E-3</v>
      </c>
      <c r="J901" s="5">
        <f>prices!J902/prices!J901-1</f>
        <v>1.5616555255297815E-3</v>
      </c>
      <c r="K901" s="8">
        <f>SUMPRODUCT(B901:I901,weights!$B$5:$I$5)</f>
        <v>-1.4224675807829857E-3</v>
      </c>
      <c r="L901" s="4">
        <f t="shared" si="28"/>
        <v>185.15842031812295</v>
      </c>
      <c r="M901" s="4">
        <f>L901/MAX(L$2:L901)-1</f>
        <v>-1.9716327976164738E-2</v>
      </c>
      <c r="N901" s="4">
        <f t="shared" si="27"/>
        <v>4.314579867133328E-2</v>
      </c>
    </row>
    <row r="902" spans="1:14">
      <c r="A902" s="3">
        <f>prices!A903</f>
        <v>44798</v>
      </c>
      <c r="B902" s="5">
        <f>prices!B903/prices!B902-1</f>
        <v>-2.9179067770469524E-3</v>
      </c>
      <c r="C902" s="5">
        <f>prices!C903/prices!C902-1</f>
        <v>-1.1410201816417609E-2</v>
      </c>
      <c r="D902" s="5">
        <f>prices!D903/prices!D902-1</f>
        <v>-5.4363417293017413E-3</v>
      </c>
      <c r="E902" s="5">
        <f>prices!E903/prices!E902-1</f>
        <v>-1.259063941990779E-2</v>
      </c>
      <c r="F902" s="5">
        <f>prices!F903/prices!F902-1</f>
        <v>-5.5506302278071074E-3</v>
      </c>
      <c r="G902" s="5">
        <f>prices!G903/prices!G902-1</f>
        <v>3.6645359927713894E-3</v>
      </c>
      <c r="H902" s="5">
        <f>prices!H903/prices!H902-1</f>
        <v>-4.198410264877328E-3</v>
      </c>
      <c r="I902" s="5">
        <f>prices!I903/prices!I902-1</f>
        <v>-8.1592116237215739E-3</v>
      </c>
      <c r="J902" s="5">
        <f>prices!J903/prices!J902-1</f>
        <v>-4.6861820113093255E-3</v>
      </c>
      <c r="K902" s="8">
        <f>SUMPRODUCT(B902:I902,weights!$B$5:$I$5)</f>
        <v>-4.8367994788085069E-3</v>
      </c>
      <c r="L902" s="4">
        <f t="shared" si="28"/>
        <v>184.26284616723123</v>
      </c>
      <c r="M902" s="4">
        <f>L902/MAX(L$2:L902)-1</f>
        <v>-2.4457763530094212E-2</v>
      </c>
      <c r="N902" s="4">
        <f t="shared" si="27"/>
        <v>4.8390725053889083E-2</v>
      </c>
    </row>
    <row r="903" spans="1:14">
      <c r="A903" s="3">
        <f>prices!A904</f>
        <v>44799</v>
      </c>
      <c r="B903" s="5">
        <f>prices!B904/prices!B903-1</f>
        <v>-5.3344927633175443E-3</v>
      </c>
      <c r="C903" s="5">
        <f>prices!C904/prices!C903-1</f>
        <v>1.2428105878987683E-3</v>
      </c>
      <c r="D903" s="5">
        <f>prices!D904/prices!D903-1</f>
        <v>1.7306777045456023E-4</v>
      </c>
      <c r="E903" s="5">
        <f>prices!E904/prices!E903-1</f>
        <v>2.2401732796286655E-3</v>
      </c>
      <c r="F903" s="5">
        <f>prices!F904/prices!F903-1</f>
        <v>1.744253653242378E-3</v>
      </c>
      <c r="G903" s="5">
        <f>prices!G904/prices!G903-1</f>
        <v>-1.7517451955024743E-3</v>
      </c>
      <c r="H903" s="5">
        <f>prices!H904/prices!H903-1</f>
        <v>3.2449844856581311E-3</v>
      </c>
      <c r="I903" s="5">
        <f>prices!I904/prices!I903-1</f>
        <v>1.464364547662389E-2</v>
      </c>
      <c r="J903" s="5">
        <f>prices!J904/prices!J903-1</f>
        <v>2.0801885581069879E-3</v>
      </c>
      <c r="K903" s="8">
        <f>SUMPRODUCT(B903:I903,weights!$B$5:$I$5)</f>
        <v>2.8123016867403535E-3</v>
      </c>
      <c r="L903" s="4">
        <f t="shared" si="28"/>
        <v>184.78104888031089</v>
      </c>
      <c r="M903" s="4">
        <f>L903/MAX(L$2:L903)-1</f>
        <v>-2.1714244452983644E-2</v>
      </c>
      <c r="N903" s="4">
        <f t="shared" si="27"/>
        <v>3.3928280455889803E-2</v>
      </c>
    </row>
    <row r="904" spans="1:14">
      <c r="A904" s="3">
        <f>prices!A905</f>
        <v>44802</v>
      </c>
      <c r="B904" s="5">
        <f>prices!B905/prices!B904-1</f>
        <v>-7.775657568446781E-3</v>
      </c>
      <c r="C904" s="5">
        <f>prices!C905/prices!C904-1</f>
        <v>-2.7822738476837361E-2</v>
      </c>
      <c r="D904" s="5">
        <f>prices!D905/prices!D904-1</f>
        <v>-1.7548919234596005E-2</v>
      </c>
      <c r="E904" s="5">
        <f>prices!E905/prices!E904-1</f>
        <v>-3.9300437411648126E-2</v>
      </c>
      <c r="F904" s="5">
        <f>prices!F905/prices!F904-1</f>
        <v>2.0894598359388894E-3</v>
      </c>
      <c r="G904" s="5">
        <f>prices!G905/prices!G904-1</f>
        <v>1.3026937846475573E-2</v>
      </c>
      <c r="H904" s="5">
        <f>prices!H905/prices!H904-1</f>
        <v>-1.0152044574558428E-3</v>
      </c>
      <c r="I904" s="5">
        <f>prices!I905/prices!I904-1</f>
        <v>-1.2540347204047841E-2</v>
      </c>
      <c r="J904" s="5">
        <f>prices!J905/prices!J904-1</f>
        <v>-1.400998923622776E-2</v>
      </c>
      <c r="K904" s="8">
        <f>SUMPRODUCT(B904:I904,weights!$B$5:$I$5)</f>
        <v>-7.984684375128644E-3</v>
      </c>
      <c r="L904" s="4">
        <f t="shared" si="28"/>
        <v>183.30563052649637</v>
      </c>
      <c r="M904" s="4">
        <f>L904/MAX(L$2:L904)-1</f>
        <v>-2.952554743971092E-2</v>
      </c>
      <c r="N904" s="4">
        <f t="shared" si="27"/>
        <v>1.6360119296390474E-2</v>
      </c>
    </row>
    <row r="905" spans="1:14">
      <c r="A905" s="3">
        <f>prices!A906</f>
        <v>44803</v>
      </c>
      <c r="B905" s="5">
        <f>prices!B906/prices!B905-1</f>
        <v>1.5512216611881291E-2</v>
      </c>
      <c r="C905" s="5">
        <f>prices!C906/prices!C905-1</f>
        <v>2.508968374012932E-2</v>
      </c>
      <c r="D905" s="5">
        <f>prices!D906/prices!D905-1</f>
        <v>3.2451711383784332E-2</v>
      </c>
      <c r="E905" s="5">
        <f>prices!E906/prices!E905-1</f>
        <v>2.1347734644037608E-2</v>
      </c>
      <c r="F905" s="5">
        <f>prices!F906/prices!F905-1</f>
        <v>2.2163873658197497E-2</v>
      </c>
      <c r="G905" s="5">
        <f>prices!G906/prices!G905-1</f>
        <v>2.8078753342918983E-2</v>
      </c>
      <c r="H905" s="5">
        <f>prices!H906/prices!H905-1</f>
        <v>1.5692576749462228E-2</v>
      </c>
      <c r="I905" s="5">
        <f>prices!I906/prices!I905-1</f>
        <v>2.1788104335534575E-2</v>
      </c>
      <c r="J905" s="5">
        <f>prices!J906/prices!J905-1</f>
        <v>2.5784241808131325E-2</v>
      </c>
      <c r="K905" s="8">
        <f>SUMPRODUCT(B905:I905,weights!$B$5:$I$5)</f>
        <v>2.2369408869898352E-2</v>
      </c>
      <c r="L905" s="4">
        <f t="shared" si="28"/>
        <v>187.40606912389808</v>
      </c>
      <c r="M905" s="4">
        <f>L905/MAX(L$2:L905)-1</f>
        <v>-7.816607612599058E-3</v>
      </c>
      <c r="N905" s="4">
        <f t="shared" si="27"/>
        <v>2.2234710265031765E-2</v>
      </c>
    </row>
    <row r="906" spans="1:14">
      <c r="A906" s="3">
        <f>prices!A907</f>
        <v>44805</v>
      </c>
      <c r="B906" s="5">
        <f>prices!B907/prices!B906-1</f>
        <v>-2.9399250836343649E-2</v>
      </c>
      <c r="C906" s="5">
        <f>prices!C907/prices!C906-1</f>
        <v>-2.4740983977806774E-2</v>
      </c>
      <c r="D906" s="5">
        <f>prices!D907/prices!D906-1</f>
        <v>-9.3825967047181935E-3</v>
      </c>
      <c r="E906" s="5">
        <f>prices!E907/prices!E906-1</f>
        <v>-1.9257169580762401E-2</v>
      </c>
      <c r="F906" s="5">
        <f>prices!F907/prices!F906-1</f>
        <v>-9.0284073738291504E-3</v>
      </c>
      <c r="G906" s="5">
        <f>prices!G907/prices!G906-1</f>
        <v>-6.3583371419211332E-3</v>
      </c>
      <c r="H906" s="5">
        <f>prices!H907/prices!H906-1</f>
        <v>-2.3745259092072479E-2</v>
      </c>
      <c r="I906" s="5">
        <f>prices!I907/prices!I906-1</f>
        <v>-4.9661179979898495E-3</v>
      </c>
      <c r="J906" s="5">
        <f>prices!J907/prices!J906-1</f>
        <v>-1.2190795808393329E-2</v>
      </c>
      <c r="K906" s="8">
        <f>SUMPRODUCT(B906:I906,weights!$B$5:$I$5)</f>
        <v>-1.4794516134183731E-2</v>
      </c>
      <c r="L906" s="4">
        <f t="shared" si="28"/>
        <v>184.63348701060062</v>
      </c>
      <c r="M906" s="4">
        <f>L906/MAX(L$2:L906)-1</f>
        <v>-2.2495480819343605E-2</v>
      </c>
      <c r="N906" s="4">
        <f t="shared" si="27"/>
        <v>5.5707702517171498E-5</v>
      </c>
    </row>
    <row r="907" spans="1:14">
      <c r="A907" s="3">
        <f>prices!A908</f>
        <v>44806</v>
      </c>
      <c r="B907" s="5">
        <f>prices!B908/prices!B907-1</f>
        <v>-1.167238252408842E-2</v>
      </c>
      <c r="C907" s="5">
        <f>prices!C908/prices!C907-1</f>
        <v>-4.1361894810165722E-4</v>
      </c>
      <c r="D907" s="5">
        <f>prices!D908/prices!D907-1</f>
        <v>9.069643959071616E-3</v>
      </c>
      <c r="E907" s="5">
        <f>prices!E908/prices!E907-1</f>
        <v>-7.6526099630059852E-3</v>
      </c>
      <c r="F907" s="5">
        <f>prices!F908/prices!F907-1</f>
        <v>1.7458925780505563E-2</v>
      </c>
      <c r="G907" s="5">
        <f>prices!G908/prices!G907-1</f>
        <v>-1.1624529093600344E-2</v>
      </c>
      <c r="H907" s="5">
        <f>prices!H908/prices!H907-1</f>
        <v>-2.633680121077786E-3</v>
      </c>
      <c r="I907" s="5">
        <f>prices!I908/prices!I907-1</f>
        <v>1.4402476443913459E-2</v>
      </c>
      <c r="J907" s="5">
        <f>prices!J908/prices!J907-1</f>
        <v>-1.9096153407660577E-4</v>
      </c>
      <c r="K907" s="8">
        <f>SUMPRODUCT(B907:I907,weights!$B$5:$I$5)</f>
        <v>1.4381054160349542E-4</v>
      </c>
      <c r="L907" s="4">
        <f t="shared" si="28"/>
        <v>184.66003925236575</v>
      </c>
      <c r="M907" s="4">
        <f>L907/MAX(L$2:L907)-1</f>
        <v>-2.2354905365020383E-2</v>
      </c>
      <c r="N907" s="4">
        <f t="shared" si="27"/>
        <v>-6.1486074513095179E-4</v>
      </c>
    </row>
    <row r="908" spans="1:14">
      <c r="A908" s="3">
        <f>prices!A909</f>
        <v>44809</v>
      </c>
      <c r="B908" s="5">
        <f>prices!B909/prices!B908-1</f>
        <v>1.5532460755750765E-2</v>
      </c>
      <c r="C908" s="5">
        <f>prices!C909/prices!C908-1</f>
        <v>9.5825075680022742E-4</v>
      </c>
      <c r="D908" s="5">
        <f>prices!D909/prices!D908-1</f>
        <v>6.4282158856574512E-3</v>
      </c>
      <c r="E908" s="5">
        <f>prices!E909/prices!E908-1</f>
        <v>5.7120270333113066E-3</v>
      </c>
      <c r="F908" s="5">
        <f>prices!F909/prices!F908-1</f>
        <v>1.7646397662133273E-2</v>
      </c>
      <c r="G908" s="5">
        <f>prices!G909/prices!G908-1</f>
        <v>3.4138410435367028E-3</v>
      </c>
      <c r="H908" s="5">
        <f>prices!H909/prices!H908-1</f>
        <v>1.7301534196817014E-2</v>
      </c>
      <c r="I908" s="5">
        <f>prices!I909/prices!I908-1</f>
        <v>1.4353247281663206E-2</v>
      </c>
      <c r="J908" s="5">
        <f>prices!J909/prices!J908-1</f>
        <v>7.2037606652430863E-3</v>
      </c>
      <c r="K908" s="8">
        <f>SUMPRODUCT(B908:I908,weights!$B$5:$I$5)</f>
        <v>1.0599450661173954E-2</v>
      </c>
      <c r="L908" s="4">
        <f t="shared" si="28"/>
        <v>186.61733422751163</v>
      </c>
      <c r="M908" s="4">
        <f>L908/MAX(L$2:L908)-1</f>
        <v>-1.1992404420298253E-2</v>
      </c>
      <c r="N908" s="4">
        <f t="shared" si="27"/>
        <v>1.3728514534578906E-2</v>
      </c>
    </row>
    <row r="909" spans="1:14">
      <c r="A909" s="3">
        <f>prices!A910</f>
        <v>44810</v>
      </c>
      <c r="B909" s="5">
        <f>prices!B910/prices!B909-1</f>
        <v>1.0524873470296514E-2</v>
      </c>
      <c r="C909" s="5">
        <f>prices!C910/prices!C909-1</f>
        <v>-2.0270809309340665E-3</v>
      </c>
      <c r="D909" s="5">
        <f>prices!D910/prices!D909-1</f>
        <v>-3.8153376573826225E-3</v>
      </c>
      <c r="E909" s="5">
        <f>prices!E910/prices!E909-1</f>
        <v>-4.2462026926013419E-3</v>
      </c>
      <c r="F909" s="5">
        <f>prices!F910/prices!F909-1</f>
        <v>-5.1910757676165709E-3</v>
      </c>
      <c r="G909" s="5">
        <f>prices!G910/prices!G909-1</f>
        <v>-6.84862242958717E-3</v>
      </c>
      <c r="H909" s="5">
        <f>prices!H910/prices!H909-1</f>
        <v>3.5705896171014384E-3</v>
      </c>
      <c r="I909" s="5">
        <f>prices!I910/prices!I909-1</f>
        <v>-3.0770367555471578E-3</v>
      </c>
      <c r="J909" s="5">
        <f>prices!J910/prices!J909-1</f>
        <v>-5.773868152022521E-4</v>
      </c>
      <c r="K909" s="8">
        <f>SUMPRODUCT(B909:I909,weights!$B$5:$I$5)</f>
        <v>-1.314732325182472E-3</v>
      </c>
      <c r="L909" s="4">
        <f t="shared" si="28"/>
        <v>186.37198238576335</v>
      </c>
      <c r="M909" s="4">
        <f>L909/MAX(L$2:L909)-1</f>
        <v>-1.32913699437327E-2</v>
      </c>
      <c r="N909" s="4">
        <f t="shared" si="27"/>
        <v>8.8261485234899517E-3</v>
      </c>
    </row>
    <row r="910" spans="1:14">
      <c r="A910" s="3">
        <f>prices!A911</f>
        <v>44811</v>
      </c>
      <c r="B910" s="5">
        <f>prices!B911/prices!B910-1</f>
        <v>-5.8135593220338677E-3</v>
      </c>
      <c r="C910" s="5">
        <f>prices!C911/prices!C910-1</f>
        <v>7.2091189540961498E-3</v>
      </c>
      <c r="D910" s="5">
        <f>prices!D911/prices!D910-1</f>
        <v>-4.7377902605785227E-3</v>
      </c>
      <c r="E910" s="5">
        <f>prices!E911/prices!E910-1</f>
        <v>1.7568027737362435E-3</v>
      </c>
      <c r="F910" s="5">
        <f>prices!F911/prices!F910-1</f>
        <v>-3.1827097442728158E-3</v>
      </c>
      <c r="G910" s="5">
        <f>prices!G911/prices!G910-1</f>
        <v>-1.168385362353952E-2</v>
      </c>
      <c r="H910" s="5">
        <f>prices!H911/prices!H910-1</f>
        <v>6.7529610036982657E-3</v>
      </c>
      <c r="I910" s="5">
        <f>prices!I911/prices!I910-1</f>
        <v>-2.1388675649204325E-3</v>
      </c>
      <c r="J910" s="5">
        <f>prices!J911/prices!J910-1</f>
        <v>-1.7671447019640407E-3</v>
      </c>
      <c r="K910" s="8">
        <f>SUMPRODUCT(B910:I910,weights!$B$5:$I$5)</f>
        <v>-2.2505023277046869E-3</v>
      </c>
      <c r="L910" s="4">
        <f t="shared" si="28"/>
        <v>185.95255180558524</v>
      </c>
      <c r="M910" s="4">
        <f>L910/MAX(L$2:L910)-1</f>
        <v>-1.5511960012440595E-2</v>
      </c>
      <c r="N910" s="4">
        <f t="shared" si="27"/>
        <v>9.5227344142303494E-3</v>
      </c>
    </row>
    <row r="911" spans="1:14">
      <c r="A911" s="3">
        <f>prices!A912</f>
        <v>44812</v>
      </c>
      <c r="B911" s="5">
        <f>prices!B912/prices!B911-1</f>
        <v>1.4064817498335991E-3</v>
      </c>
      <c r="C911" s="5">
        <f>prices!C912/prices!C911-1</f>
        <v>6.3674506026529798E-3</v>
      </c>
      <c r="D911" s="5">
        <f>prices!D912/prices!D911-1</f>
        <v>1.0318829012442521E-2</v>
      </c>
      <c r="E911" s="5">
        <f>prices!E912/prices!E911-1</f>
        <v>1.2515547864244692E-2</v>
      </c>
      <c r="F911" s="5">
        <f>prices!F912/prices!F911-1</f>
        <v>1.1620568034156342E-2</v>
      </c>
      <c r="G911" s="5">
        <f>prices!G912/prices!G911-1</f>
        <v>6.548687657201846E-4</v>
      </c>
      <c r="H911" s="5">
        <f>prices!H912/prices!H911-1</f>
        <v>6.1612861975568478E-4</v>
      </c>
      <c r="I911" s="5">
        <f>prices!I912/prices!I911-1</f>
        <v>8.3244464959333353E-3</v>
      </c>
      <c r="J911" s="5">
        <f>prices!J912/prices!J911-1</f>
        <v>9.8925353487209211E-3</v>
      </c>
      <c r="K911" s="8">
        <f>SUMPRODUCT(B911:I911,weights!$B$5:$I$5)</f>
        <v>5.3977615932935931E-3</v>
      </c>
      <c r="L911" s="4">
        <f t="shared" si="28"/>
        <v>186.95627934789638</v>
      </c>
      <c r="M911" s="4">
        <f>L911/MAX(L$2:L911)-1</f>
        <v>-1.0197928281138857E-2</v>
      </c>
      <c r="N911" s="4">
        <f t="shared" si="27"/>
        <v>4.9122013151099431E-3</v>
      </c>
    </row>
    <row r="912" spans="1:14">
      <c r="A912" s="3">
        <f>prices!A913</f>
        <v>44813</v>
      </c>
      <c r="B912" s="5">
        <f>prices!B913/prices!B912-1</f>
        <v>-6.2223886822325714E-3</v>
      </c>
      <c r="C912" s="5">
        <f>prices!C913/prices!C912-1</f>
        <v>1.5142172959176525E-2</v>
      </c>
      <c r="D912" s="5">
        <f>prices!D913/prices!D912-1</f>
        <v>6.7713403021718577E-4</v>
      </c>
      <c r="E912" s="5">
        <f>prices!E913/prices!E912-1</f>
        <v>2.4225730396233658E-2</v>
      </c>
      <c r="F912" s="5">
        <f>prices!F913/prices!F912-1</f>
        <v>1.8349970640048063E-3</v>
      </c>
      <c r="G912" s="5">
        <f>prices!G913/prices!G912-1</f>
        <v>1.7672252090835894E-2</v>
      </c>
      <c r="H912" s="5">
        <f>prices!H913/prices!H912-1</f>
        <v>-4.8098148105119032E-3</v>
      </c>
      <c r="I912" s="5">
        <f>prices!I913/prices!I912-1</f>
        <v>-1.2486187845303864E-2</v>
      </c>
      <c r="J912" s="5">
        <f>prices!J913/prices!J912-1</f>
        <v>1.9439567385348688E-3</v>
      </c>
      <c r="K912" s="8">
        <f>SUMPRODUCT(B912:I912,weights!$B$5:$I$5)</f>
        <v>3.0443911289870875E-3</v>
      </c>
      <c r="L912" s="4">
        <f t="shared" si="28"/>
        <v>187.52544738625153</v>
      </c>
      <c r="M912" s="4">
        <f>L912/MAX(L$2:L912)-1</f>
        <v>-7.1845836345449943E-3</v>
      </c>
      <c r="N912" s="4">
        <f t="shared" si="27"/>
        <v>5.5495967827146053E-3</v>
      </c>
    </row>
    <row r="913" spans="1:14">
      <c r="A913" s="3">
        <f>prices!A914</f>
        <v>44816</v>
      </c>
      <c r="B913" s="5">
        <f>prices!B914/prices!B913-1</f>
        <v>1.1186487134683176E-2</v>
      </c>
      <c r="C913" s="5">
        <f>prices!C914/prices!C913-1</f>
        <v>7.8642559502790643E-3</v>
      </c>
      <c r="D913" s="5">
        <f>prices!D914/prices!D913-1</f>
        <v>-3.3692817368012884E-3</v>
      </c>
      <c r="E913" s="5">
        <f>prices!E914/prices!E913-1</f>
        <v>1.6240296795148934E-2</v>
      </c>
      <c r="F913" s="5">
        <f>prices!F914/prices!F913-1</f>
        <v>1.2088797714118193E-3</v>
      </c>
      <c r="G913" s="5">
        <f>prices!G914/prices!G913-1</f>
        <v>-2.0513297593989233E-3</v>
      </c>
      <c r="H913" s="5">
        <f>prices!H914/prices!H913-1</f>
        <v>-2.5799673126313261E-3</v>
      </c>
      <c r="I913" s="5">
        <f>prices!I914/prices!I913-1</f>
        <v>6.2341149954443509E-3</v>
      </c>
      <c r="J913" s="5">
        <f>prices!J914/prices!J913-1</f>
        <v>5.775695536733183E-3</v>
      </c>
      <c r="K913" s="8">
        <f>SUMPRODUCT(B913:I913,weights!$B$5:$I$5)</f>
        <v>3.7815867906901943E-3</v>
      </c>
      <c r="L913" s="4">
        <f t="shared" si="28"/>
        <v>188.23459114100567</v>
      </c>
      <c r="M913" s="4">
        <f>L913/MAX(L$2:L913)-1</f>
        <v>-3.4301659704236709E-3</v>
      </c>
      <c r="N913" s="4">
        <f t="shared" si="27"/>
        <v>6.4884274557255317E-3</v>
      </c>
    </row>
    <row r="914" spans="1:14">
      <c r="A914" s="3">
        <f>prices!A915</f>
        <v>44817</v>
      </c>
      <c r="B914" s="5">
        <f>prices!B915/prices!B914-1</f>
        <v>8.3521100513326285E-3</v>
      </c>
      <c r="C914" s="5">
        <f>prices!C915/prices!C914-1</f>
        <v>-4.1940106584632542E-3</v>
      </c>
      <c r="D914" s="5">
        <f>prices!D915/prices!D914-1</f>
        <v>1.3084191467692685E-2</v>
      </c>
      <c r="E914" s="5">
        <f>prices!E915/prices!E914-1</f>
        <v>5.6958963156275022E-3</v>
      </c>
      <c r="F914" s="5">
        <f>prices!F915/prices!F914-1</f>
        <v>1.0574073396509398E-2</v>
      </c>
      <c r="G914" s="5">
        <f>prices!G915/prices!G914-1</f>
        <v>-1.2934560446353771E-4</v>
      </c>
      <c r="H914" s="5">
        <f>prices!H915/prices!H914-1</f>
        <v>2.7622046138180423E-3</v>
      </c>
      <c r="I914" s="5">
        <f>prices!I915/prices!I914-1</f>
        <v>1.5012152695038861E-2</v>
      </c>
      <c r="J914" s="5">
        <f>prices!J915/prices!J914-1</f>
        <v>7.4541364324403059E-3</v>
      </c>
      <c r="K914" s="8">
        <f>SUMPRODUCT(B914:I914,weights!$B$5:$I$5)</f>
        <v>6.3834598191651578E-3</v>
      </c>
      <c r="L914" s="4">
        <f t="shared" si="28"/>
        <v>189.43617909013128</v>
      </c>
      <c r="M914" s="4">
        <f>L914/MAX(L$2:L914)-1</f>
        <v>0</v>
      </c>
      <c r="N914" s="4">
        <f t="shared" si="27"/>
        <v>1.8198499591377981E-2</v>
      </c>
    </row>
    <row r="915" spans="1:14">
      <c r="A915" s="3">
        <f>prices!A916</f>
        <v>44818</v>
      </c>
      <c r="B915" s="5">
        <f>prices!B916/prices!B915-1</f>
        <v>-1.1979166666666652E-2</v>
      </c>
      <c r="C915" s="5">
        <f>prices!C916/prices!C915-1</f>
        <v>-3.3735618028922332E-2</v>
      </c>
      <c r="D915" s="5">
        <f>prices!D916/prices!D915-1</f>
        <v>1.0276315605758146E-2</v>
      </c>
      <c r="E915" s="5">
        <f>prices!E916/prices!E915-1</f>
        <v>-4.501753030446598E-2</v>
      </c>
      <c r="F915" s="5">
        <f>prices!F916/prices!F915-1</f>
        <v>2.8602461984070793E-3</v>
      </c>
      <c r="G915" s="5">
        <f>prices!G916/prices!G915-1</f>
        <v>4.5603137328027454E-3</v>
      </c>
      <c r="H915" s="5">
        <f>prices!H916/prices!H915-1</f>
        <v>-7.1899620659469088E-3</v>
      </c>
      <c r="I915" s="5">
        <f>prices!I916/prices!I915-1</f>
        <v>-1.8807191076887775E-2</v>
      </c>
      <c r="J915" s="5">
        <f>prices!J916/prices!J915-1</f>
        <v>-3.6690545958644183E-3</v>
      </c>
      <c r="K915" s="8">
        <f>SUMPRODUCT(B915:I915,weights!$B$5:$I$5)</f>
        <v>-1.1201724646802936E-2</v>
      </c>
      <c r="L915" s="4">
        <f t="shared" si="28"/>
        <v>187.31416717382118</v>
      </c>
      <c r="M915" s="4">
        <f>L915/MAX(L$2:L915)-1</f>
        <v>-1.1201724646802913E-2</v>
      </c>
      <c r="N915" s="4">
        <f t="shared" si="27"/>
        <v>-2.6127253406624806E-3</v>
      </c>
    </row>
    <row r="916" spans="1:14">
      <c r="A916" s="3">
        <f>prices!A917</f>
        <v>44819</v>
      </c>
      <c r="B916" s="5">
        <f>prices!B917/prices!B916-1</f>
        <v>-9.9137857738025303E-3</v>
      </c>
      <c r="C916" s="5">
        <f>prices!C917/prices!C916-1</f>
        <v>-5.1452542039602811E-3</v>
      </c>
      <c r="D916" s="5">
        <f>prices!D917/prices!D916-1</f>
        <v>-5.1964564589467299E-3</v>
      </c>
      <c r="E916" s="5">
        <f>prices!E917/prices!E916-1</f>
        <v>-2.8874556348509883E-2</v>
      </c>
      <c r="F916" s="5">
        <f>prices!F917/prices!F916-1</f>
        <v>-3.7546481822449129E-3</v>
      </c>
      <c r="G916" s="5">
        <f>prices!G917/prices!G916-1</f>
        <v>2.7048567928275702E-2</v>
      </c>
      <c r="H916" s="5">
        <f>prices!H917/prices!H916-1</f>
        <v>-1.0698456365581532E-2</v>
      </c>
      <c r="I916" s="5">
        <f>prices!I917/prices!I916-1</f>
        <v>1.8396720492139806E-3</v>
      </c>
      <c r="J916" s="5">
        <f>prices!J917/prices!J916-1</f>
        <v>-7.0179823647850137E-3</v>
      </c>
      <c r="K916" s="8">
        <f>SUMPRODUCT(B916:I916,weights!$B$5:$I$5)</f>
        <v>-8.54898067727116E-4</v>
      </c>
      <c r="L916" s="4">
        <f t="shared" si="28"/>
        <v>187.15403265424638</v>
      </c>
      <c r="M916" s="4">
        <f>L916/MAX(L$2:L916)-1</f>
        <v>-1.2047046381774229E-2</v>
      </c>
      <c r="N916" s="4">
        <f t="shared" si="27"/>
        <v>-6.2369821642371814E-3</v>
      </c>
    </row>
    <row r="917" spans="1:14">
      <c r="A917" s="3">
        <f>prices!A918</f>
        <v>44820</v>
      </c>
      <c r="B917" s="5">
        <f>prices!B918/prices!B917-1</f>
        <v>-2.4775006870019212E-2</v>
      </c>
      <c r="C917" s="5">
        <f>prices!C918/prices!C917-1</f>
        <v>-3.0811576485401337E-2</v>
      </c>
      <c r="D917" s="5">
        <f>prices!D918/prices!D917-1</f>
        <v>-1.8379850238257167E-2</v>
      </c>
      <c r="E917" s="5">
        <f>prices!E918/prices!E917-1</f>
        <v>-3.8905306841046317E-2</v>
      </c>
      <c r="F917" s="5">
        <f>prices!F918/prices!F917-1</f>
        <v>-8.371081717702511E-3</v>
      </c>
      <c r="G917" s="5">
        <f>prices!G918/prices!G917-1</f>
        <v>-2.1823529876886516E-3</v>
      </c>
      <c r="H917" s="5">
        <f>prices!H918/prices!H917-1</f>
        <v>-7.142093191838228E-3</v>
      </c>
      <c r="I917" s="5">
        <f>prices!I918/prices!I917-1</f>
        <v>-1.9153712657159594E-2</v>
      </c>
      <c r="J917" s="5">
        <f>prices!J918/prices!J917-1</f>
        <v>-1.9384809871681674E-2</v>
      </c>
      <c r="K917" s="8">
        <f>SUMPRODUCT(B917:I917,weights!$B$5:$I$5)</f>
        <v>-1.6497073438893377E-2</v>
      </c>
      <c r="L917" s="4">
        <f t="shared" si="28"/>
        <v>184.06653883316423</v>
      </c>
      <c r="M917" s="4">
        <f>L917/MAX(L$2:L917)-1</f>
        <v>-2.8345378811785671E-2</v>
      </c>
      <c r="N917" s="4">
        <f t="shared" si="27"/>
        <v>-2.5497072862901149E-2</v>
      </c>
    </row>
    <row r="918" spans="1:14">
      <c r="A918" s="3">
        <f>prices!A919</f>
        <v>44823</v>
      </c>
      <c r="B918" s="5">
        <f>prices!B919/prices!B918-1</f>
        <v>1.2944356876798402E-3</v>
      </c>
      <c r="C918" s="5">
        <f>prices!C919/prices!C918-1</f>
        <v>6.680740659614548E-3</v>
      </c>
      <c r="D918" s="5">
        <f>prices!D919/prices!D918-1</f>
        <v>6.5951484616038059E-3</v>
      </c>
      <c r="E918" s="5">
        <f>prices!E919/prices!E918-1</f>
        <v>9.6171145385257617E-3</v>
      </c>
      <c r="F918" s="5">
        <f>prices!F919/prices!F918-1</f>
        <v>1.2973249524923292E-2</v>
      </c>
      <c r="G918" s="5">
        <f>prices!G919/prices!G918-1</f>
        <v>9.9235751134034711E-3</v>
      </c>
      <c r="H918" s="5">
        <f>prices!H919/prices!H918-1</f>
        <v>7.8278354957628249E-3</v>
      </c>
      <c r="I918" s="5">
        <f>prices!I919/prices!I918-1</f>
        <v>-4.8427067213523411E-3</v>
      </c>
      <c r="J918" s="5">
        <f>prices!J919/prices!J918-1</f>
        <v>5.2136661941664109E-3</v>
      </c>
      <c r="K918" s="8">
        <f>SUMPRODUCT(B918:I918,weights!$B$5:$I$5)</f>
        <v>5.2971357610200904E-3</v>
      </c>
      <c r="L918" s="4">
        <f t="shared" si="28"/>
        <v>185.04156427842457</v>
      </c>
      <c r="M918" s="4">
        <f>L918/MAX(L$2:L918)-1</f>
        <v>-2.3198392370529231E-2</v>
      </c>
      <c r="N918" s="4">
        <f t="shared" si="27"/>
        <v>-1.5734012067852188E-2</v>
      </c>
    </row>
    <row r="919" spans="1:14">
      <c r="A919" s="3">
        <f>prices!A920</f>
        <v>44824</v>
      </c>
      <c r="B919" s="5">
        <f>prices!B920/prices!B919-1</f>
        <v>1.58297423269671E-4</v>
      </c>
      <c r="C919" s="5">
        <f>prices!C920/prices!C919-1</f>
        <v>3.7965186074429003E-3</v>
      </c>
      <c r="D919" s="5">
        <f>prices!D920/prices!D919-1</f>
        <v>1.2049378550137657E-2</v>
      </c>
      <c r="E919" s="5">
        <f>prices!E920/prices!E919-1</f>
        <v>-1.2554876962205253E-3</v>
      </c>
      <c r="F919" s="5">
        <f>prices!F920/prices!F919-1</f>
        <v>1.1905191384971037E-3</v>
      </c>
      <c r="G919" s="5">
        <f>prices!G920/prices!G919-1</f>
        <v>2.1555468621268226E-3</v>
      </c>
      <c r="H919" s="5">
        <f>prices!H920/prices!H919-1</f>
        <v>4.2409919004299246E-2</v>
      </c>
      <c r="I919" s="5">
        <f>prices!I920/prices!I919-1</f>
        <v>1.1510501905730219E-2</v>
      </c>
      <c r="J919" s="5">
        <f>prices!J920/prices!J919-1</f>
        <v>1.1008809885230342E-2</v>
      </c>
      <c r="K919" s="8">
        <f>SUMPRODUCT(B919:I919,weights!$B$5:$I$5)</f>
        <v>1.0325590565668742E-2</v>
      </c>
      <c r="L919" s="4">
        <f t="shared" si="28"/>
        <v>186.95222770879445</v>
      </c>
      <c r="M919" s="4">
        <f>L919/MAX(L$2:L919)-1</f>
        <v>-1.311233890626029E-2</v>
      </c>
      <c r="N919" s="4">
        <f t="shared" ref="N919:N982" si="29">L919/L899-1</f>
        <v>9.8278701545646552E-3</v>
      </c>
    </row>
    <row r="920" spans="1:14">
      <c r="A920" s="3">
        <f>prices!A921</f>
        <v>44825</v>
      </c>
      <c r="B920" s="5">
        <f>prices!B921/prices!B920-1</f>
        <v>2.7609735509286359E-3</v>
      </c>
      <c r="C920" s="5">
        <f>prices!C921/prices!C920-1</f>
        <v>-1.2860089994468749E-2</v>
      </c>
      <c r="D920" s="5">
        <f>prices!D921/prices!D920-1</f>
        <v>-1.5559661577358996E-3</v>
      </c>
      <c r="E920" s="5">
        <f>prices!E921/prices!E920-1</f>
        <v>-8.1425431660219205E-3</v>
      </c>
      <c r="F920" s="5">
        <f>prices!F921/prices!F920-1</f>
        <v>1.4737676563851387E-2</v>
      </c>
      <c r="G920" s="5">
        <f>prices!G921/prices!G920-1</f>
        <v>-5.693257572368049E-3</v>
      </c>
      <c r="H920" s="5">
        <f>prices!H921/prices!H920-1</f>
        <v>-7.2915361215862839E-3</v>
      </c>
      <c r="I920" s="5">
        <f>prices!I921/prices!I920-1</f>
        <v>-1.9168333010814997E-2</v>
      </c>
      <c r="J920" s="5">
        <f>prices!J921/prices!J920-1</f>
        <v>-5.4949835122430901E-3</v>
      </c>
      <c r="K920" s="8">
        <f>SUMPRODUCT(B920:I920,weights!$B$5:$I$5)</f>
        <v>-6.3335046404613838E-3</v>
      </c>
      <c r="L920" s="4">
        <f t="shared" si="28"/>
        <v>185.76816490705622</v>
      </c>
      <c r="M920" s="4">
        <f>L920/MAX(L$2:L920)-1</f>
        <v>-1.9362796487411571E-2</v>
      </c>
      <c r="N920" s="4">
        <f t="shared" si="29"/>
        <v>1.8659448283142588E-3</v>
      </c>
    </row>
    <row r="921" spans="1:14">
      <c r="A921" s="3">
        <f>prices!A922</f>
        <v>44826</v>
      </c>
      <c r="B921" s="5">
        <f>prices!B922/prices!B921-1</f>
        <v>-9.4263516949895099E-3</v>
      </c>
      <c r="C921" s="5">
        <f>prices!C922/prices!C921-1</f>
        <v>2.0671560702834046E-3</v>
      </c>
      <c r="D921" s="5">
        <f>prices!D922/prices!D921-1</f>
        <v>-2.1302647873213898E-2</v>
      </c>
      <c r="E921" s="5">
        <f>prices!E922/prices!E921-1</f>
        <v>-6.7457624346887179E-3</v>
      </c>
      <c r="F921" s="5">
        <f>prices!F922/prices!F921-1</f>
        <v>1.2037924789602528E-2</v>
      </c>
      <c r="G921" s="5">
        <f>prices!G922/prices!G921-1</f>
        <v>1.664660554586872E-2</v>
      </c>
      <c r="H921" s="5">
        <f>prices!H922/prices!H921-1</f>
        <v>2.9839440854784183E-3</v>
      </c>
      <c r="I921" s="5">
        <f>prices!I922/prices!I921-1</f>
        <v>-3.9294130542006922E-3</v>
      </c>
      <c r="J921" s="5">
        <f>prices!J922/prices!J921-1</f>
        <v>-4.9976436857833706E-3</v>
      </c>
      <c r="K921" s="8">
        <f>SUMPRODUCT(B921:I921,weights!$B$5:$I$5)</f>
        <v>7.4427976244036955E-4</v>
      </c>
      <c r="L921" s="4">
        <f t="shared" si="28"/>
        <v>185.90642839270222</v>
      </c>
      <c r="M921" s="4">
        <f>L921/MAX(L$2:L921)-1</f>
        <v>-1.8632928062541021E-2</v>
      </c>
      <c r="N921" s="4">
        <f t="shared" si="29"/>
        <v>4.0398274801336509E-3</v>
      </c>
    </row>
    <row r="922" spans="1:14">
      <c r="A922" s="3">
        <f>prices!A923</f>
        <v>44827</v>
      </c>
      <c r="B922" s="5">
        <f>prices!B923/prices!B922-1</f>
        <v>-1.8739986013614707E-2</v>
      </c>
      <c r="C922" s="5">
        <f>prices!C923/prices!C922-1</f>
        <v>-8.4291419352644503E-3</v>
      </c>
      <c r="D922" s="5">
        <f>prices!D923/prices!D922-1</f>
        <v>-2.681338678950218E-2</v>
      </c>
      <c r="E922" s="5">
        <f>prices!E923/prices!E922-1</f>
        <v>-1.8275515748226168E-3</v>
      </c>
      <c r="F922" s="5">
        <f>prices!F923/prices!F922-1</f>
        <v>3.8947368421053952E-3</v>
      </c>
      <c r="G922" s="5">
        <f>prices!G923/prices!G922-1</f>
        <v>-6.210802126256354E-3</v>
      </c>
      <c r="H922" s="5">
        <f>prices!H923/prices!H922-1</f>
        <v>1.4417630702687978E-2</v>
      </c>
      <c r="I922" s="5">
        <f>prices!I923/prices!I922-1</f>
        <v>-1.6604952875605927E-2</v>
      </c>
      <c r="J922" s="5">
        <f>prices!J923/prices!J922-1</f>
        <v>-1.7155611521401326E-2</v>
      </c>
      <c r="K922" s="8">
        <f>SUMPRODUCT(B922:I922,weights!$B$5:$I$5)</f>
        <v>-7.251821564871367E-3</v>
      </c>
      <c r="L922" s="4">
        <f t="shared" si="28"/>
        <v>184.5582681462358</v>
      </c>
      <c r="M922" s="4">
        <f>L922/MAX(L$2:L922)-1</f>
        <v>-2.5749626957871752E-2</v>
      </c>
      <c r="N922" s="4">
        <f t="shared" si="29"/>
        <v>1.6032639522807202E-3</v>
      </c>
    </row>
    <row r="923" spans="1:14">
      <c r="A923" s="3">
        <f>prices!A924</f>
        <v>44830</v>
      </c>
      <c r="B923" s="5">
        <f>prices!B924/prices!B923-1</f>
        <v>-2.5475868290482651E-2</v>
      </c>
      <c r="C923" s="5">
        <f>prices!C924/prices!C923-1</f>
        <v>4.1418044092880191E-3</v>
      </c>
      <c r="D923" s="5">
        <f>prices!D924/prices!D923-1</f>
        <v>-1.3483901127797626E-2</v>
      </c>
      <c r="E923" s="5">
        <f>prices!E924/prices!E923-1</f>
        <v>1.0836934648500662E-2</v>
      </c>
      <c r="F923" s="5">
        <f>prices!F924/prices!F923-1</f>
        <v>-3.9844814931320194E-2</v>
      </c>
      <c r="G923" s="5">
        <f>prices!G924/prices!G923-1</f>
        <v>-5.4423889504361944E-2</v>
      </c>
      <c r="H923" s="5">
        <f>prices!H924/prices!H923-1</f>
        <v>-2.2142510687737538E-2</v>
      </c>
      <c r="I923" s="5">
        <f>prices!I924/prices!I923-1</f>
        <v>-2.9093350490949632E-3</v>
      </c>
      <c r="J923" s="5">
        <f>prices!J924/prices!J923-1</f>
        <v>-1.7951388989083661E-2</v>
      </c>
      <c r="K923" s="8">
        <f>SUMPRODUCT(B923:I923,weights!$B$5:$I$5)</f>
        <v>-2.0786505743525228E-2</v>
      </c>
      <c r="L923" s="4">
        <f t="shared" si="28"/>
        <v>180.72194664539899</v>
      </c>
      <c r="M923" s="4">
        <f>L923/MAX(L$2:L923)-1</f>
        <v>-4.6000887932743706E-2</v>
      </c>
      <c r="N923" s="4">
        <f t="shared" si="29"/>
        <v>-2.1967091644452763E-2</v>
      </c>
    </row>
    <row r="924" spans="1:14">
      <c r="A924" s="3">
        <f>prices!A925</f>
        <v>44831</v>
      </c>
      <c r="B924" s="5">
        <f>prices!B925/prices!B924-1</f>
        <v>7.9517893840370668E-3</v>
      </c>
      <c r="C924" s="5">
        <f>prices!C925/prices!C924-1</f>
        <v>7.6954309327486037E-3</v>
      </c>
      <c r="D924" s="5">
        <f>prices!D925/prices!D924-1</f>
        <v>-8.9739223148572744E-3</v>
      </c>
      <c r="E924" s="5">
        <f>prices!E925/prices!E924-1</f>
        <v>9.6356248878155526E-3</v>
      </c>
      <c r="F924" s="5">
        <f>prices!F925/prices!F924-1</f>
        <v>6.7707764551709904E-3</v>
      </c>
      <c r="G924" s="5">
        <f>prices!G925/prices!G924-1</f>
        <v>-6.8931004233120374E-3</v>
      </c>
      <c r="H924" s="5">
        <f>prices!H925/prices!H924-1</f>
        <v>-3.9450917060790403E-3</v>
      </c>
      <c r="I924" s="5">
        <f>prices!I925/prices!I924-1</f>
        <v>-5.532643155738981E-3</v>
      </c>
      <c r="J924" s="5">
        <f>prices!J925/prices!J924-1</f>
        <v>-5.230279202880217E-4</v>
      </c>
      <c r="K924" s="8">
        <f>SUMPRODUCT(B924:I924,weights!$B$5:$I$5)</f>
        <v>-6.2144651745346267E-4</v>
      </c>
      <c r="L924" s="4">
        <f t="shared" si="28"/>
        <v>180.60963762102881</v>
      </c>
      <c r="M924" s="4">
        <f>L924/MAX(L$2:L924)-1</f>
        <v>-4.6593747358591453E-2</v>
      </c>
      <c r="N924" s="4">
        <f t="shared" si="29"/>
        <v>-1.4707638263614986E-2</v>
      </c>
    </row>
    <row r="925" spans="1:14">
      <c r="A925" s="3">
        <f>prices!A926</f>
        <v>44832</v>
      </c>
      <c r="B925" s="5">
        <f>prices!B926/prices!B925-1</f>
        <v>-2.66244202599073E-2</v>
      </c>
      <c r="C925" s="5">
        <f>prices!C926/prices!C925-1</f>
        <v>6.0325123041411466E-3</v>
      </c>
      <c r="D925" s="5">
        <f>prices!D926/prices!D925-1</f>
        <v>-1.7183927797618126E-2</v>
      </c>
      <c r="E925" s="5">
        <f>prices!E926/prices!E925-1</f>
        <v>8.2426240636124248E-4</v>
      </c>
      <c r="F925" s="5">
        <f>prices!F926/prices!F925-1</f>
        <v>-2.9540441841125253E-2</v>
      </c>
      <c r="G925" s="5">
        <f>prices!G926/prices!G925-1</f>
        <v>-5.3900813492041566E-3</v>
      </c>
      <c r="H925" s="5">
        <f>prices!H926/prices!H925-1</f>
        <v>2.3081020984851985E-2</v>
      </c>
      <c r="I925" s="5">
        <f>prices!I926/prices!I925-1</f>
        <v>-3.1258992602790636E-3</v>
      </c>
      <c r="J925" s="5">
        <f>prices!J926/prices!J925-1</f>
        <v>-8.7491327304586308E-3</v>
      </c>
      <c r="K925" s="8">
        <f>SUMPRODUCT(B925:I925,weights!$B$5:$I$5)</f>
        <v>-4.719346214497302E-3</v>
      </c>
      <c r="L925" s="4">
        <f t="shared" si="28"/>
        <v>179.75727821142027</v>
      </c>
      <c r="M925" s="4">
        <f>L925/MAX(L$2:L925)-1</f>
        <v>-5.109320154787278E-2</v>
      </c>
      <c r="N925" s="4">
        <f t="shared" si="29"/>
        <v>-4.0813997904310284E-2</v>
      </c>
    </row>
    <row r="926" spans="1:14">
      <c r="A926" s="3">
        <f>prices!A927</f>
        <v>44833</v>
      </c>
      <c r="B926" s="5">
        <f>prices!B927/prices!B926-1</f>
        <v>-3.0664427377200543E-3</v>
      </c>
      <c r="C926" s="5">
        <f>prices!C927/prices!C926-1</f>
        <v>-1.2632737317667453E-2</v>
      </c>
      <c r="D926" s="5">
        <f>prices!D927/prices!D926-1</f>
        <v>-5.1844981983487637E-3</v>
      </c>
      <c r="E926" s="5">
        <f>prices!E927/prices!E926-1</f>
        <v>2.834096359276117E-3</v>
      </c>
      <c r="F926" s="5">
        <f>prices!F927/prices!F926-1</f>
        <v>2.4925484351713934E-2</v>
      </c>
      <c r="G926" s="5">
        <f>prices!G927/prices!G926-1</f>
        <v>-1.1676630645343855E-2</v>
      </c>
      <c r="H926" s="5">
        <f>prices!H927/prices!H926-1</f>
        <v>1.3991238496281477E-2</v>
      </c>
      <c r="I926" s="5">
        <f>prices!I927/prices!I926-1</f>
        <v>-1.0867411914532332E-2</v>
      </c>
      <c r="J926" s="5">
        <f>prices!J927/prices!J926-1</f>
        <v>-2.4023347134399797E-3</v>
      </c>
      <c r="K926" s="8">
        <f>SUMPRODUCT(B926:I926,weights!$B$5:$I$5)</f>
        <v>-1.8605785509562538E-3</v>
      </c>
      <c r="L926" s="4">
        <f t="shared" si="28"/>
        <v>179.42282567520184</v>
      </c>
      <c r="M926" s="4">
        <f>L926/MAX(L$2:L926)-1</f>
        <v>-5.2858717183929316E-2</v>
      </c>
      <c r="N926" s="4">
        <f t="shared" si="29"/>
        <v>-2.8221648303157543E-2</v>
      </c>
    </row>
    <row r="927" spans="1:14">
      <c r="A927" s="3">
        <f>prices!A928</f>
        <v>44834</v>
      </c>
      <c r="B927" s="5">
        <f>prices!B928/prices!B927-1</f>
        <v>2.2553259954003924E-2</v>
      </c>
      <c r="C927" s="5">
        <f>prices!C928/prices!C927-1</f>
        <v>2.4186088828908048E-3</v>
      </c>
      <c r="D927" s="5">
        <f>prices!D928/prices!D927-1</f>
        <v>2.8212495415087302E-2</v>
      </c>
      <c r="E927" s="5">
        <f>prices!E928/prices!E927-1</f>
        <v>1.0579710144927645E-2</v>
      </c>
      <c r="F927" s="5">
        <f>prices!F928/prices!F927-1</f>
        <v>-2.5809734995818623E-3</v>
      </c>
      <c r="G927" s="5">
        <f>prices!G928/prices!G927-1</f>
        <v>2.3571273490459177E-2</v>
      </c>
      <c r="H927" s="5">
        <f>prices!H928/prices!H927-1</f>
        <v>1.929066613081476E-2</v>
      </c>
      <c r="I927" s="5">
        <f>prices!I928/prices!I927-1</f>
        <v>1.7733398186031923E-2</v>
      </c>
      <c r="J927" s="5">
        <f>prices!J928/prices!J927-1</f>
        <v>1.6425755584756896E-2</v>
      </c>
      <c r="K927" s="8">
        <f>SUMPRODUCT(B927:I927,weights!$B$5:$I$5)</f>
        <v>1.6846338113976195E-2</v>
      </c>
      <c r="L927" s="4">
        <f t="shared" si="28"/>
        <v>182.44544326189131</v>
      </c>
      <c r="M927" s="4">
        <f>L927/MAX(L$2:L927)-1</f>
        <v>-3.6902854891904591E-2</v>
      </c>
      <c r="N927" s="4">
        <f t="shared" si="29"/>
        <v>-1.1992827465220346E-2</v>
      </c>
    </row>
    <row r="928" spans="1:14">
      <c r="A928" s="3">
        <f>prices!A929</f>
        <v>44837</v>
      </c>
      <c r="B928" s="5">
        <f>prices!B929/prices!B928-1</f>
        <v>-3.4708081892562692E-3</v>
      </c>
      <c r="C928" s="5">
        <f>prices!C929/prices!C928-1</f>
        <v>-6.5235642485989009E-3</v>
      </c>
      <c r="D928" s="5">
        <f>prices!D929/prices!D928-1</f>
        <v>-5.7373881506584956E-3</v>
      </c>
      <c r="E928" s="5">
        <f>prices!E929/prices!E928-1</f>
        <v>-1.39347005114967E-2</v>
      </c>
      <c r="F928" s="5">
        <f>prices!F929/prices!F928-1</f>
        <v>-2.3471098476565366E-2</v>
      </c>
      <c r="G928" s="5">
        <f>prices!G929/prices!G928-1</f>
        <v>-3.1847674174701468E-2</v>
      </c>
      <c r="H928" s="5">
        <f>prices!H929/prices!H928-1</f>
        <v>-4.3699687859372061E-3</v>
      </c>
      <c r="I928" s="5">
        <f>prices!I929/prices!I928-1</f>
        <v>-1.5366536597433811E-2</v>
      </c>
      <c r="J928" s="5">
        <f>prices!J929/prices!J928-1</f>
        <v>-1.2109264172080247E-2</v>
      </c>
      <c r="K928" s="8">
        <f>SUMPRODUCT(B928:I928,weights!$B$5:$I$5)</f>
        <v>-1.446143499369968E-2</v>
      </c>
      <c r="L928" s="4">
        <f t="shared" si="28"/>
        <v>179.80702034426275</v>
      </c>
      <c r="M928" s="4">
        <f>L928/MAX(L$2:L928)-1</f>
        <v>-5.0830621648503049E-2</v>
      </c>
      <c r="N928" s="4">
        <f t="shared" si="29"/>
        <v>-3.6493468902230708E-2</v>
      </c>
    </row>
    <row r="929" spans="1:14">
      <c r="A929" s="3">
        <f>prices!A930</f>
        <v>44838</v>
      </c>
      <c r="B929" s="5">
        <f>prices!B930/prices!B929-1</f>
        <v>1.8445420687477343E-2</v>
      </c>
      <c r="C929" s="5">
        <f>prices!C930/prices!C929-1</f>
        <v>3.5576568037426481E-2</v>
      </c>
      <c r="D929" s="5">
        <f>prices!D930/prices!D929-1</f>
        <v>2.8164802965975122E-2</v>
      </c>
      <c r="E929" s="5">
        <f>prices!E930/prices!E929-1</f>
        <v>2.5572657859653347E-2</v>
      </c>
      <c r="F929" s="5">
        <f>prices!F930/prices!F929-1</f>
        <v>2.6050608345151938E-2</v>
      </c>
      <c r="G929" s="5">
        <f>prices!G930/prices!G929-1</f>
        <v>1.6789682269199746E-2</v>
      </c>
      <c r="H929" s="5">
        <f>prices!H930/prices!H929-1</f>
        <v>4.4001496050993794E-5</v>
      </c>
      <c r="I929" s="5">
        <f>prices!I930/prices!I929-1</f>
        <v>2.8717286904483164E-2</v>
      </c>
      <c r="J929" s="5">
        <f>prices!J930/prices!J929-1</f>
        <v>2.2913601009039386E-2</v>
      </c>
      <c r="K929" s="8">
        <f>SUMPRODUCT(B929:I929,weights!$B$5:$I$5)</f>
        <v>2.0838073825292024E-2</v>
      </c>
      <c r="L929" s="4">
        <f t="shared" si="28"/>
        <v>183.55385230850229</v>
      </c>
      <c r="M929" s="4">
        <f>L929/MAX(L$2:L929)-1</f>
        <v>-3.1051760069708001E-2</v>
      </c>
      <c r="N929" s="4">
        <f t="shared" si="29"/>
        <v>-1.5120996413655829E-2</v>
      </c>
    </row>
    <row r="930" spans="1:14">
      <c r="A930" s="3">
        <f>prices!A931</f>
        <v>44840</v>
      </c>
      <c r="B930" s="5">
        <f>prices!B931/prices!B930-1</f>
        <v>3.6842825224567832E-3</v>
      </c>
      <c r="C930" s="5">
        <f>prices!C931/prices!C930-1</f>
        <v>3.4957194896469979E-3</v>
      </c>
      <c r="D930" s="5">
        <f>prices!D931/prices!D930-1</f>
        <v>-1.1006746539490408E-2</v>
      </c>
      <c r="E930" s="5">
        <f>prices!E931/prices!E930-1</f>
        <v>1.8017805089419525E-2</v>
      </c>
      <c r="F930" s="5">
        <f>prices!F931/prices!F930-1</f>
        <v>1.1421504437654439E-2</v>
      </c>
      <c r="G930" s="5">
        <f>prices!G931/prices!G930-1</f>
        <v>1.4388833690459624E-3</v>
      </c>
      <c r="H930" s="5">
        <f>prices!H931/prices!H930-1</f>
        <v>9.8999010009899191E-3</v>
      </c>
      <c r="I930" s="5">
        <f>prices!I931/prices!I930-1</f>
        <v>2.2120455176241949E-2</v>
      </c>
      <c r="J930" s="5">
        <f>prices!J931/prices!J930-1</f>
        <v>3.3286442865991805E-3</v>
      </c>
      <c r="K930" s="8">
        <f>SUMPRODUCT(B930:I930,weights!$B$5:$I$5)</f>
        <v>8.5701556291133893E-3</v>
      </c>
      <c r="L930" s="4">
        <f t="shared" si="28"/>
        <v>185.12693738910943</v>
      </c>
      <c r="M930" s="4">
        <f>L930/MAX(L$2:L930)-1</f>
        <v>-2.2747722856949926E-2</v>
      </c>
      <c r="N930" s="4">
        <f t="shared" si="29"/>
        <v>-4.439919799213099E-3</v>
      </c>
    </row>
    <row r="931" spans="1:14">
      <c r="A931" s="3">
        <f>prices!A932</f>
        <v>44841</v>
      </c>
      <c r="B931" s="5">
        <f>prices!B932/prices!B931-1</f>
        <v>4.2340926230477471E-3</v>
      </c>
      <c r="C931" s="5">
        <f>prices!C932/prices!C931-1</f>
        <v>-1.194514245525613E-2</v>
      </c>
      <c r="D931" s="5">
        <f>prices!D932/prices!D931-1</f>
        <v>-4.3223217042297479E-3</v>
      </c>
      <c r="E931" s="5">
        <f>prices!E932/prices!E931-1</f>
        <v>-2.7163608503525394E-3</v>
      </c>
      <c r="F931" s="5">
        <f>prices!F932/prices!F931-1</f>
        <v>-7.5882902970582089E-3</v>
      </c>
      <c r="G931" s="5">
        <f>prices!G932/prices!G931-1</f>
        <v>8.7440172513544301E-3</v>
      </c>
      <c r="H931" s="5">
        <f>prices!H932/prices!H931-1</f>
        <v>1.3179392223068298E-3</v>
      </c>
      <c r="I931" s="5">
        <f>prices!I932/prices!I931-1</f>
        <v>6.0662014282999444E-3</v>
      </c>
      <c r="J931" s="5">
        <f>prices!J932/prices!J931-1</f>
        <v>-9.8951061055385647E-4</v>
      </c>
      <c r="K931" s="8">
        <f>SUMPRODUCT(B931:I931,weights!$B$5:$I$5)</f>
        <v>1.3976857814984337E-3</v>
      </c>
      <c r="L931" s="4">
        <f t="shared" si="28"/>
        <v>185.38568667727051</v>
      </c>
      <c r="M931" s="4">
        <f>L931/MAX(L$2:L931)-1</f>
        <v>-2.1381831244250304E-2</v>
      </c>
      <c r="N931" s="4">
        <f t="shared" si="29"/>
        <v>-8.4008554091047349E-3</v>
      </c>
    </row>
    <row r="932" spans="1:14">
      <c r="A932" s="3">
        <f>prices!A933</f>
        <v>44844</v>
      </c>
      <c r="B932" s="5">
        <f>prices!B933/prices!B932-1</f>
        <v>-1.0911558470934168E-2</v>
      </c>
      <c r="C932" s="5">
        <f>prices!C933/prices!C932-1</f>
        <v>1.7505940972132317E-2</v>
      </c>
      <c r="D932" s="5">
        <f>prices!D933/prices!D932-1</f>
        <v>-1.1044665928386932E-2</v>
      </c>
      <c r="E932" s="5">
        <f>prices!E933/prices!E932-1</f>
        <v>7.8919187372927802E-3</v>
      </c>
      <c r="F932" s="5">
        <f>prices!F933/prices!F932-1</f>
        <v>-1.8699039681101537E-2</v>
      </c>
      <c r="G932" s="5">
        <f>prices!G933/prices!G932-1</f>
        <v>9.4882371691944467E-3</v>
      </c>
      <c r="H932" s="5">
        <f>prices!H933/prices!H932-1</f>
        <v>-9.5288857947808392E-3</v>
      </c>
      <c r="I932" s="5">
        <f>prices!I933/prices!I932-1</f>
        <v>-7.7462051691749023E-3</v>
      </c>
      <c r="J932" s="5">
        <f>prices!J933/prices!J932-1</f>
        <v>-4.2536233767359599E-3</v>
      </c>
      <c r="K932" s="8">
        <f>SUMPRODUCT(B932:I932,weights!$B$5:$I$5)</f>
        <v>-2.6867705385720808E-3</v>
      </c>
      <c r="L932" s="4">
        <f t="shared" si="28"/>
        <v>184.88759787603308</v>
      </c>
      <c r="M932" s="4">
        <f>L932/MAX(L$2:L932)-1</f>
        <v>-2.401115370857454E-2</v>
      </c>
      <c r="N932" s="4">
        <f t="shared" si="29"/>
        <v>-1.4066621607814023E-2</v>
      </c>
    </row>
    <row r="933" spans="1:14">
      <c r="A933" s="3">
        <f>prices!A934</f>
        <v>44845</v>
      </c>
      <c r="B933" s="5">
        <f>prices!B934/prices!B933-1</f>
        <v>-1.9914196068386958E-2</v>
      </c>
      <c r="C933" s="5">
        <f>prices!C934/prices!C933-1</f>
        <v>-1.5714551171577607E-2</v>
      </c>
      <c r="D933" s="5">
        <f>prices!D934/prices!D933-1</f>
        <v>-1.013780850142576E-2</v>
      </c>
      <c r="E933" s="5">
        <f>prices!E934/prices!E933-1</f>
        <v>-2.6562367669363929E-2</v>
      </c>
      <c r="F933" s="5">
        <f>prices!F934/prices!F933-1</f>
        <v>-4.7269101517782852E-3</v>
      </c>
      <c r="G933" s="5">
        <f>prices!G934/prices!G933-1</f>
        <v>-2.0112830939060466E-2</v>
      </c>
      <c r="H933" s="5">
        <f>prices!H934/prices!H933-1</f>
        <v>-1.3727966613584774E-3</v>
      </c>
      <c r="I933" s="5">
        <f>prices!I934/prices!I933-1</f>
        <v>-1.6075771011386464E-2</v>
      </c>
      <c r="J933" s="5">
        <f>prices!J934/prices!J933-1</f>
        <v>-1.4932428513427354E-2</v>
      </c>
      <c r="K933" s="8">
        <f>SUMPRODUCT(B933:I933,weights!$B$5:$I$5)</f>
        <v>-1.459816086722383E-2</v>
      </c>
      <c r="L933" s="4">
        <f t="shared" si="28"/>
        <v>182.18857897988414</v>
      </c>
      <c r="M933" s="4">
        <f>L933/MAX(L$2:L933)-1</f>
        <v>-3.8258795891353059E-2</v>
      </c>
      <c r="N933" s="4">
        <f t="shared" si="29"/>
        <v>-3.2119559558489885E-2</v>
      </c>
    </row>
    <row r="934" spans="1:14">
      <c r="A934" s="3">
        <f>prices!A935</f>
        <v>44846</v>
      </c>
      <c r="B934" s="5">
        <f>prices!B935/prices!B934-1</f>
        <v>7.3547255044705828E-3</v>
      </c>
      <c r="C934" s="5">
        <f>prices!C935/prices!C934-1</f>
        <v>1.0164873808977459E-2</v>
      </c>
      <c r="D934" s="5">
        <f>prices!D935/prices!D934-1</f>
        <v>6.5311170774380312E-3</v>
      </c>
      <c r="E934" s="5">
        <f>prices!E935/prices!E934-1</f>
        <v>3.4405574494000835E-3</v>
      </c>
      <c r="F934" s="5">
        <f>prices!F935/prices!F934-1</f>
        <v>1.1650773626210587E-2</v>
      </c>
      <c r="G934" s="5">
        <f>prices!G935/prices!G934-1</f>
        <v>2.8151804111375966E-4</v>
      </c>
      <c r="H934" s="5">
        <f>prices!H935/prices!H934-1</f>
        <v>1.1426371934455171E-2</v>
      </c>
      <c r="I934" s="5">
        <f>prices!I935/prices!I934-1</f>
        <v>1.7189901693003495E-2</v>
      </c>
      <c r="J934" s="5">
        <f>prices!J935/prices!J934-1</f>
        <v>8.2462147195374591E-3</v>
      </c>
      <c r="K934" s="8">
        <f>SUMPRODUCT(B934:I934,weights!$B$5:$I$5)</f>
        <v>8.744309075585795E-3</v>
      </c>
      <c r="L934" s="4">
        <f t="shared" si="28"/>
        <v>183.78169222452604</v>
      </c>
      <c r="M934" s="4">
        <f>L934/MAX(L$2:L934)-1</f>
        <v>-2.9849033551900939E-2</v>
      </c>
      <c r="N934" s="4">
        <f t="shared" si="29"/>
        <v>-2.9849033551900939E-2</v>
      </c>
    </row>
    <row r="935" spans="1:14">
      <c r="A935" s="3">
        <f>prices!A936</f>
        <v>44847</v>
      </c>
      <c r="B935" s="5">
        <f>prices!B936/prices!B935-1</f>
        <v>3.1779857314926385E-3</v>
      </c>
      <c r="C935" s="5">
        <f>prices!C936/prices!C935-1</f>
        <v>8.2450200079153824E-4</v>
      </c>
      <c r="D935" s="5">
        <f>prices!D936/prices!D935-1</f>
        <v>-1.1478922839459837E-2</v>
      </c>
      <c r="E935" s="5">
        <f>prices!E936/prices!E935-1</f>
        <v>-6.1560046662674228E-3</v>
      </c>
      <c r="F935" s="5">
        <f>prices!F936/prices!F935-1</f>
        <v>-4.4012470199890075E-3</v>
      </c>
      <c r="G935" s="5">
        <f>prices!G936/prices!G935-1</f>
        <v>-4.2646961957856222E-3</v>
      </c>
      <c r="H935" s="5">
        <f>prices!H936/prices!H935-1</f>
        <v>1.3450184301231793E-2</v>
      </c>
      <c r="I935" s="5">
        <f>prices!I936/prices!I935-1</f>
        <v>-1.836158959836065E-2</v>
      </c>
      <c r="J935" s="5">
        <f>prices!J936/prices!J935-1</f>
        <v>-6.380083627274602E-3</v>
      </c>
      <c r="K935" s="8">
        <f>SUMPRODUCT(B935:I935,weights!$B$5:$I$5)</f>
        <v>-3.6837331186843044E-3</v>
      </c>
      <c r="L935" s="4">
        <f t="shared" si="28"/>
        <v>183.1046895182707</v>
      </c>
      <c r="M935" s="4">
        <f>L935/MAX(L$2:L935)-1</f>
        <v>-3.3422810797129388E-2</v>
      </c>
      <c r="N935" s="4">
        <f t="shared" si="29"/>
        <v>-2.2472820497577262E-2</v>
      </c>
    </row>
    <row r="936" spans="1:14">
      <c r="A936" s="3">
        <f>prices!A937</f>
        <v>44848</v>
      </c>
      <c r="B936" s="5">
        <f>prices!B937/prices!B936-1</f>
        <v>-5.0705161951732913E-3</v>
      </c>
      <c r="C936" s="5">
        <f>prices!C937/prices!C936-1</f>
        <v>-1.3400850185084634E-3</v>
      </c>
      <c r="D936" s="5">
        <f>prices!D937/prices!D936-1</f>
        <v>3.2562722655953946E-2</v>
      </c>
      <c r="E936" s="5">
        <f>prices!E937/prices!E936-1</f>
        <v>3.8275159215462429E-2</v>
      </c>
      <c r="F936" s="5">
        <f>prices!F937/prices!F936-1</f>
        <v>1.049917111806975E-2</v>
      </c>
      <c r="G936" s="5">
        <f>prices!G937/prices!G936-1</f>
        <v>-3.7284979926247575E-3</v>
      </c>
      <c r="H936" s="5">
        <f>prices!H937/prices!H936-1</f>
        <v>8.1539815033366825E-3</v>
      </c>
      <c r="I936" s="5">
        <f>prices!I937/prices!I936-1</f>
        <v>1.889331258686644E-2</v>
      </c>
      <c r="J936" s="5">
        <f>prices!J937/prices!J936-1</f>
        <v>1.0070910731235783E-2</v>
      </c>
      <c r="K936" s="8">
        <f>SUMPRODUCT(B936:I936,weights!$B$5:$I$5)</f>
        <v>1.0007112432288743E-2</v>
      </c>
      <c r="L936" s="4">
        <f t="shared" si="28"/>
        <v>184.93703873315934</v>
      </c>
      <c r="M936" s="4">
        <f>L936/MAX(L$2:L936)-1</f>
        <v>-2.3750164190290746E-2</v>
      </c>
      <c r="N936" s="4">
        <f t="shared" si="29"/>
        <v>-1.1845825011864819E-2</v>
      </c>
    </row>
    <row r="937" spans="1:14">
      <c r="A937" s="3">
        <f>prices!A938</f>
        <v>44851</v>
      </c>
      <c r="B937" s="5">
        <f>prices!B938/prices!B937-1</f>
        <v>1.6050276632876503E-2</v>
      </c>
      <c r="C937" s="5">
        <f>prices!C938/prices!C937-1</f>
        <v>6.6654201084506148E-3</v>
      </c>
      <c r="D937" s="5">
        <f>prices!D938/prices!D937-1</f>
        <v>5.2559716940965284E-3</v>
      </c>
      <c r="E937" s="5">
        <f>prices!E938/prices!E937-1</f>
        <v>1.0648293141246379E-2</v>
      </c>
      <c r="F937" s="5">
        <f>prices!F938/prices!F937-1</f>
        <v>4.7393364928915993E-4</v>
      </c>
      <c r="G937" s="5">
        <f>prices!G938/prices!G937-1</f>
        <v>1.2358541361334741E-2</v>
      </c>
      <c r="H937" s="5">
        <f>prices!H938/prices!H937-1</f>
        <v>3.7886043888215593E-3</v>
      </c>
      <c r="I937" s="5">
        <f>prices!I938/prices!I937-1</f>
        <v>-1.4858291894241926E-2</v>
      </c>
      <c r="J937" s="5">
        <f>prices!J938/prices!J937-1</f>
        <v>7.337495708641395E-3</v>
      </c>
      <c r="K937" s="8">
        <f>SUMPRODUCT(B937:I937,weights!$B$5:$I$5)</f>
        <v>4.0078113870065032E-3</v>
      </c>
      <c r="L937" s="4">
        <f t="shared" si="28"/>
        <v>185.67823150287336</v>
      </c>
      <c r="M937" s="4">
        <f>L937/MAX(L$2:L937)-1</f>
        <v>-1.983753898176932E-2</v>
      </c>
      <c r="N937" s="4">
        <f t="shared" si="29"/>
        <v>8.756032899439381E-3</v>
      </c>
    </row>
    <row r="938" spans="1:14">
      <c r="A938" s="3">
        <f>prices!A939</f>
        <v>44852</v>
      </c>
      <c r="B938" s="5">
        <f>prices!B939/prices!B938-1</f>
        <v>1.7642275679972119E-2</v>
      </c>
      <c r="C938" s="5">
        <f>prices!C939/prices!C938-1</f>
        <v>1.0591144666732166E-2</v>
      </c>
      <c r="D938" s="5">
        <f>prices!D939/prices!D938-1</f>
        <v>-1.8694045654366054E-3</v>
      </c>
      <c r="E938" s="5">
        <f>prices!E939/prices!E938-1</f>
        <v>9.2285366609476949E-3</v>
      </c>
      <c r="F938" s="5">
        <f>prices!F939/prices!F938-1</f>
        <v>2.4195605436723389E-2</v>
      </c>
      <c r="G938" s="5">
        <f>prices!G939/prices!G938-1</f>
        <v>9.5770065981295449E-3</v>
      </c>
      <c r="H938" s="5">
        <f>prices!H939/prices!H938-1</f>
        <v>-1.6751129110917917E-3</v>
      </c>
      <c r="I938" s="5">
        <f>prices!I939/prices!I938-1</f>
        <v>1.853578344026352E-2</v>
      </c>
      <c r="J938" s="5">
        <f>prices!J939/prices!J938-1</f>
        <v>1.0117376587067906E-2</v>
      </c>
      <c r="K938" s="8">
        <f>SUMPRODUCT(B938:I938,weights!$B$5:$I$5)</f>
        <v>1.1102035439790128E-2</v>
      </c>
      <c r="L938" s="4">
        <f t="shared" si="28"/>
        <v>187.73963780941583</v>
      </c>
      <c r="M938" s="4">
        <f>L938/MAX(L$2:L938)-1</f>
        <v>-8.9557406027930275E-3</v>
      </c>
      <c r="N938" s="4">
        <f t="shared" si="29"/>
        <v>1.4580905330715765E-2</v>
      </c>
    </row>
    <row r="939" spans="1:14">
      <c r="A939" s="3">
        <f>prices!A940</f>
        <v>44853</v>
      </c>
      <c r="B939" s="5">
        <f>prices!B940/prices!B939-1</f>
        <v>1.7399267399267559E-2</v>
      </c>
      <c r="C939" s="5">
        <f>prices!C940/prices!C939-1</f>
        <v>-7.2690709500247142E-3</v>
      </c>
      <c r="D939" s="5">
        <f>prices!D940/prices!D939-1</f>
        <v>1.0257085583015302E-2</v>
      </c>
      <c r="E939" s="5">
        <f>prices!E940/prices!E939-1</f>
        <v>-1.2132286861182728E-2</v>
      </c>
      <c r="F939" s="5">
        <f>prices!F940/prices!F939-1</f>
        <v>1.7789162841996609E-2</v>
      </c>
      <c r="G939" s="5">
        <f>prices!G940/prices!G939-1</f>
        <v>-9.99170802809346E-3</v>
      </c>
      <c r="H939" s="5">
        <f>prices!H940/prices!H939-1</f>
        <v>-1.4867677668748414E-3</v>
      </c>
      <c r="I939" s="5">
        <f>prices!I940/prices!I939-1</f>
        <v>-6.8840010615769387E-3</v>
      </c>
      <c r="J939" s="5">
        <f>prices!J940/prices!J939-1</f>
        <v>1.4467931800570266E-3</v>
      </c>
      <c r="K939" s="8">
        <f>SUMPRODUCT(B939:I939,weights!$B$5:$I$5)</f>
        <v>-7.242408509500793E-4</v>
      </c>
      <c r="L939" s="4">
        <f t="shared" si="28"/>
        <v>187.60366909437167</v>
      </c>
      <c r="M939" s="4">
        <f>L939/MAX(L$2:L939)-1</f>
        <v>-9.6734953405480661E-3</v>
      </c>
      <c r="N939" s="4">
        <f t="shared" si="29"/>
        <v>3.4845339558720045E-3</v>
      </c>
    </row>
    <row r="940" spans="1:14">
      <c r="A940" s="3">
        <f>prices!A941</f>
        <v>44854</v>
      </c>
      <c r="B940" s="5">
        <f>prices!B941/prices!B940-1</f>
        <v>2.6826212032968755E-3</v>
      </c>
      <c r="C940" s="5">
        <f>prices!C941/prices!C940-1</f>
        <v>1.1355550715167473E-2</v>
      </c>
      <c r="D940" s="5">
        <f>prices!D941/prices!D940-1</f>
        <v>-6.7638027924222799E-3</v>
      </c>
      <c r="E940" s="5">
        <f>prices!E941/prices!E940-1</f>
        <v>1.039360766594899E-2</v>
      </c>
      <c r="F940" s="5">
        <f>prices!F941/prices!F940-1</f>
        <v>9.6829447338062646E-3</v>
      </c>
      <c r="G940" s="5">
        <f>prices!G941/prices!G940-1</f>
        <v>-1.3696946702411728E-3</v>
      </c>
      <c r="H940" s="5">
        <f>prices!H941/prices!H940-1</f>
        <v>3.5310133582915348E-3</v>
      </c>
      <c r="I940" s="5">
        <f>prices!I941/prices!I940-1</f>
        <v>-3.9267015706800912E-4</v>
      </c>
      <c r="J940" s="5">
        <f>prices!J941/prices!J940-1</f>
        <v>2.9522191608730708E-3</v>
      </c>
      <c r="K940" s="8">
        <f>SUMPRODUCT(B940:I940,weights!$B$5:$I$5)</f>
        <v>2.7150202838083924E-3</v>
      </c>
      <c r="L940" s="4">
        <f t="shared" si="28"/>
        <v>188.11301686127976</v>
      </c>
      <c r="M940" s="4">
        <f>L940/MAX(L$2:L940)-1</f>
        <v>-6.9847387928045901E-3</v>
      </c>
      <c r="N940" s="4">
        <f t="shared" si="29"/>
        <v>1.2622463894159219E-2</v>
      </c>
    </row>
    <row r="941" spans="1:14">
      <c r="A941" s="3">
        <f>prices!A942</f>
        <v>44855</v>
      </c>
      <c r="B941" s="5">
        <f>prices!B942/prices!B941-1</f>
        <v>-1.1599457870557828E-2</v>
      </c>
      <c r="C941" s="5">
        <f>prices!C942/prices!C941-1</f>
        <v>-6.3032147831205698E-3</v>
      </c>
      <c r="D941" s="5">
        <f>prices!D942/prices!D941-1</f>
        <v>-7.0285955932746225E-3</v>
      </c>
      <c r="E941" s="5">
        <f>prices!E942/prices!E941-1</f>
        <v>-2.6260701235747419E-4</v>
      </c>
      <c r="F941" s="5">
        <f>prices!F942/prices!F941-1</f>
        <v>-1.1736601578728689E-2</v>
      </c>
      <c r="G941" s="5">
        <f>prices!G942/prices!G941-1</f>
        <v>-4.7192635559356599E-4</v>
      </c>
      <c r="H941" s="5">
        <f>prices!H942/prices!H941-1</f>
        <v>-2.702530840645978E-3</v>
      </c>
      <c r="I941" s="5">
        <f>prices!I942/prices!I941-1</f>
        <v>-1.4387193924315866E-2</v>
      </c>
      <c r="J941" s="5">
        <f>prices!J942/prices!J941-1</f>
        <v>7.0314479373934091E-4</v>
      </c>
      <c r="K941" s="8">
        <f>SUMPRODUCT(B941:I941,weights!$B$5:$I$5)</f>
        <v>-6.8894928406836968E-3</v>
      </c>
      <c r="L941" s="4">
        <f t="shared" si="28"/>
        <v>186.81701357837454</v>
      </c>
      <c r="M941" s="4">
        <f>L941/MAX(L$2:L941)-1</f>
        <v>-1.3826110325581342E-2</v>
      </c>
      <c r="N941" s="4">
        <f t="shared" si="29"/>
        <v>4.8980833720759787E-3</v>
      </c>
    </row>
    <row r="942" spans="1:14">
      <c r="A942" s="3">
        <f>prices!A943</f>
        <v>44858</v>
      </c>
      <c r="B942" s="5">
        <f>prices!B943/prices!B942-1</f>
        <v>3.3390319478576735E-3</v>
      </c>
      <c r="C942" s="5">
        <f>prices!C943/prices!C942-1</f>
        <v>7.7483816899779345E-3</v>
      </c>
      <c r="D942" s="5">
        <f>prices!D943/prices!D942-1</f>
        <v>1.5595858726778822E-2</v>
      </c>
      <c r="E942" s="5">
        <f>prices!E943/prices!E942-1</f>
        <v>1.1565248716639998E-2</v>
      </c>
      <c r="F942" s="5">
        <f>prices!F943/prices!F942-1</f>
        <v>6.0956384655805884E-3</v>
      </c>
      <c r="G942" s="5">
        <f>prices!G943/prices!G942-1</f>
        <v>7.1420033468803101E-3</v>
      </c>
      <c r="H942" s="5">
        <f>prices!H943/prices!H942-1</f>
        <v>9.5110572682544081E-3</v>
      </c>
      <c r="I942" s="5">
        <f>prices!I943/prices!I942-1</f>
        <v>1.7580860332907067E-2</v>
      </c>
      <c r="J942" s="5">
        <f>prices!J943/prices!J942-1</f>
        <v>8.7874012164108617E-3</v>
      </c>
      <c r="K942" s="8">
        <f>SUMPRODUCT(B942:I942,weights!$B$5:$I$5)</f>
        <v>1.0040838943567838E-2</v>
      </c>
      <c r="L942" s="4">
        <f t="shared" si="28"/>
        <v>188.69281312363333</v>
      </c>
      <c r="M942" s="4">
        <f>L942/MAX(L$2:L942)-1</f>
        <v>-3.9240971290086524E-3</v>
      </c>
      <c r="N942" s="4">
        <f t="shared" si="29"/>
        <v>2.2402382829695311E-2</v>
      </c>
    </row>
    <row r="943" spans="1:14">
      <c r="A943" s="3">
        <f>prices!A944</f>
        <v>44859</v>
      </c>
      <c r="B943" s="5">
        <f>prices!B944/prices!B943-1</f>
        <v>-1.5441548414578787E-2</v>
      </c>
      <c r="C943" s="5">
        <f>prices!C944/prices!C943-1</f>
        <v>1.2545837112010183E-4</v>
      </c>
      <c r="D943" s="5">
        <f>prices!D944/prices!D943-1</f>
        <v>-6.9407290657490517E-3</v>
      </c>
      <c r="E943" s="5">
        <f>prices!E944/prices!E943-1</f>
        <v>5.5644174054976236E-3</v>
      </c>
      <c r="F943" s="5">
        <f>prices!F944/prices!F943-1</f>
        <v>-4.0391378529893718E-3</v>
      </c>
      <c r="G943" s="5">
        <f>prices!G944/prices!G943-1</f>
        <v>2.7328131026911562E-2</v>
      </c>
      <c r="H943" s="5">
        <f>prices!H944/prices!H943-1</f>
        <v>4.61072045138744E-3</v>
      </c>
      <c r="I943" s="5">
        <f>prices!I944/prices!I943-1</f>
        <v>2.0606330952471774E-2</v>
      </c>
      <c r="J943" s="5">
        <f>prices!J944/prices!J943-1</f>
        <v>-4.1960999957701972E-3</v>
      </c>
      <c r="K943" s="8">
        <f>SUMPRODUCT(B943:I943,weights!$B$5:$I$5)</f>
        <v>7.7301269434631786E-3</v>
      </c>
      <c r="L943" s="4">
        <f t="shared" si="28"/>
        <v>190.15143252239818</v>
      </c>
      <c r="M943" s="4">
        <f>L943/MAX(L$2:L943)-1</f>
        <v>0</v>
      </c>
      <c r="N943" s="4">
        <f t="shared" si="29"/>
        <v>5.2176761328833754E-2</v>
      </c>
    </row>
    <row r="944" spans="1:14">
      <c r="A944" s="3">
        <f>prices!A945</f>
        <v>44861</v>
      </c>
      <c r="B944" s="5">
        <f>prices!B945/prices!B944-1</f>
        <v>3.9299460083104254E-3</v>
      </c>
      <c r="C944" s="5">
        <f>prices!C945/prices!C944-1</f>
        <v>-1.4873912233166475E-3</v>
      </c>
      <c r="D944" s="5">
        <f>prices!D945/prices!D944-1</f>
        <v>2.4025510724114962E-3</v>
      </c>
      <c r="E944" s="5">
        <f>prices!E945/prices!E944-1</f>
        <v>9.3702733611245037E-3</v>
      </c>
      <c r="F944" s="5">
        <f>prices!F945/prices!F944-1</f>
        <v>-1.4334160752367264E-3</v>
      </c>
      <c r="G944" s="5">
        <f>prices!G945/prices!G944-1</f>
        <v>4.1035072741366641E-3</v>
      </c>
      <c r="H944" s="5">
        <f>prices!H945/prices!H944-1</f>
        <v>2.0275792694427697E-2</v>
      </c>
      <c r="I944" s="5">
        <f>prices!I945/prices!I944-1</f>
        <v>7.669962423047183E-3</v>
      </c>
      <c r="J944" s="5">
        <f>prices!J945/prices!J944-1</f>
        <v>4.5649298977423758E-3</v>
      </c>
      <c r="K944" s="8">
        <f>SUMPRODUCT(B944:I944,weights!$B$5:$I$5)</f>
        <v>6.5894416881650021E-3</v>
      </c>
      <c r="L944" s="4">
        <f t="shared" si="28"/>
        <v>191.40442429892559</v>
      </c>
      <c r="M944" s="4">
        <f>L944/MAX(L$2:L944)-1</f>
        <v>0</v>
      </c>
      <c r="N944" s="4">
        <f t="shared" si="29"/>
        <v>5.9768608254158417E-2</v>
      </c>
    </row>
    <row r="945" spans="1:14">
      <c r="A945" s="3">
        <f>prices!A946</f>
        <v>44862</v>
      </c>
      <c r="B945" s="5">
        <f>prices!B946/prices!B945-1</f>
        <v>3.059822767308007E-2</v>
      </c>
      <c r="C945" s="5">
        <f>prices!C946/prices!C945-1</f>
        <v>1.8521376755673558E-3</v>
      </c>
      <c r="D945" s="5">
        <f>prices!D946/prices!D945-1</f>
        <v>2.9633072833445961E-3</v>
      </c>
      <c r="E945" s="5">
        <f>prices!E946/prices!E945-1</f>
        <v>-7.0172873798471924E-3</v>
      </c>
      <c r="F945" s="5">
        <f>prices!F946/prices!F945-1</f>
        <v>0</v>
      </c>
      <c r="G945" s="5">
        <f>prices!G946/prices!G945-1</f>
        <v>4.9834724150983778E-2</v>
      </c>
      <c r="H945" s="5">
        <f>prices!H946/prices!H945-1</f>
        <v>-2.1403115981472598E-2</v>
      </c>
      <c r="I945" s="5">
        <f>prices!I946/prices!I945-1</f>
        <v>5.6015741534165553E-3</v>
      </c>
      <c r="J945" s="5">
        <f>prices!J946/prices!J945-1</f>
        <v>2.8105170280121605E-3</v>
      </c>
      <c r="K945" s="8">
        <f>SUMPRODUCT(B945:I945,weights!$B$5:$I$5)</f>
        <v>1.1244955322837966E-2</v>
      </c>
      <c r="L945" s="4">
        <f t="shared" si="28"/>
        <v>193.55675849876053</v>
      </c>
      <c r="M945" s="4">
        <f>L945/MAX(L$2:L945)-1</f>
        <v>0</v>
      </c>
      <c r="N945" s="4">
        <f t="shared" si="29"/>
        <v>7.6767296571491839E-2</v>
      </c>
    </row>
    <row r="946" spans="1:14">
      <c r="A946" s="3">
        <f>prices!A947</f>
        <v>44865</v>
      </c>
      <c r="B946" s="5">
        <f>prices!B947/prices!B946-1</f>
        <v>9.286765922970508E-3</v>
      </c>
      <c r="C946" s="5">
        <f>prices!C947/prices!C946-1</f>
        <v>9.4549519370290547E-3</v>
      </c>
      <c r="D946" s="5">
        <f>prices!D947/prices!D946-1</f>
        <v>2.6055093705645627E-2</v>
      </c>
      <c r="E946" s="5">
        <f>prices!E947/prices!E946-1</f>
        <v>1.6121314733703818E-2</v>
      </c>
      <c r="F946" s="5">
        <f>prices!F947/prices!F946-1</f>
        <v>8.3677613612491708E-3</v>
      </c>
      <c r="G946" s="5">
        <f>prices!G947/prices!G946-1</f>
        <v>3.6921883202352124E-3</v>
      </c>
      <c r="H946" s="5">
        <f>prices!H947/prices!H946-1</f>
        <v>2.7171118224274426E-2</v>
      </c>
      <c r="I946" s="5">
        <f>prices!I947/prices!I946-1</f>
        <v>2.4327636721318324E-2</v>
      </c>
      <c r="J946" s="5">
        <f>prices!J947/prices!J946-1</f>
        <v>1.2672318798210069E-2</v>
      </c>
      <c r="K946" s="8">
        <f>SUMPRODUCT(B946:I946,weights!$B$5:$I$5)</f>
        <v>1.5623687103710388E-2</v>
      </c>
      <c r="L946" s="4">
        <f t="shared" si="28"/>
        <v>196.58082873035357</v>
      </c>
      <c r="M946" s="4">
        <f>L946/MAX(L$2:L946)-1</f>
        <v>0</v>
      </c>
      <c r="N946" s="4">
        <f t="shared" si="29"/>
        <v>9.5628875482163034E-2</v>
      </c>
    </row>
    <row r="947" spans="1:14">
      <c r="A947" s="3">
        <f>prices!A948</f>
        <v>44866</v>
      </c>
      <c r="B947" s="5">
        <f>prices!B948/prices!B947-1</f>
        <v>-7.7512019542006483E-3</v>
      </c>
      <c r="C947" s="5">
        <f>prices!C948/prices!C947-1</f>
        <v>2.0841023311280793E-2</v>
      </c>
      <c r="D947" s="5">
        <f>prices!D948/prices!D947-1</f>
        <v>1.1052297268685063E-2</v>
      </c>
      <c r="E947" s="5">
        <f>prices!E948/prices!E947-1</f>
        <v>2.2986923606331811E-2</v>
      </c>
      <c r="F947" s="5">
        <f>prices!F948/prices!F947-1</f>
        <v>2.2915870976703001E-3</v>
      </c>
      <c r="G947" s="5">
        <f>prices!G948/prices!G947-1</f>
        <v>-7.6618521219956603E-3</v>
      </c>
      <c r="H947" s="5">
        <f>prices!H948/prices!H947-1</f>
        <v>1.9371845433925339E-2</v>
      </c>
      <c r="I947" s="5">
        <f>prices!I948/prices!I947-1</f>
        <v>6.6756359827047085E-4</v>
      </c>
      <c r="J947" s="5">
        <f>prices!J948/prices!J947-1</f>
        <v>7.3949878415739967E-3</v>
      </c>
      <c r="K947" s="8">
        <f>SUMPRODUCT(B947:I947,weights!$B$5:$I$5)</f>
        <v>5.3687091677357976E-3</v>
      </c>
      <c r="L947" s="4">
        <f t="shared" si="28"/>
        <v>197.63621402775934</v>
      </c>
      <c r="M947" s="4">
        <f>L947/MAX(L$2:L947)-1</f>
        <v>0</v>
      </c>
      <c r="N947" s="4">
        <f t="shared" si="29"/>
        <v>8.3261990512212725E-2</v>
      </c>
    </row>
    <row r="948" spans="1:14">
      <c r="A948" s="3">
        <f>prices!A949</f>
        <v>44867</v>
      </c>
      <c r="B948" s="5">
        <f>prices!B949/prices!B948-1</f>
        <v>6.2459223174287093E-3</v>
      </c>
      <c r="C948" s="5">
        <f>prices!C949/prices!C948-1</f>
        <v>-5.5245737490612346E-3</v>
      </c>
      <c r="D948" s="5">
        <f>prices!D949/prices!D948-1</f>
        <v>6.2824593734300826E-4</v>
      </c>
      <c r="E948" s="5">
        <f>prices!E949/prices!E948-1</f>
        <v>-1.2520537080051963E-2</v>
      </c>
      <c r="F948" s="5">
        <f>prices!F949/prices!F948-1</f>
        <v>1.4757335365642499E-2</v>
      </c>
      <c r="G948" s="5">
        <f>prices!G949/prices!G948-1</f>
        <v>-2.3818824210321443E-2</v>
      </c>
      <c r="H948" s="5">
        <f>prices!H949/prices!H948-1</f>
        <v>1.4804049313420942E-2</v>
      </c>
      <c r="I948" s="5">
        <f>prices!I949/prices!I948-1</f>
        <v>-5.5062914383069428E-3</v>
      </c>
      <c r="J948" s="5">
        <f>prices!J949/prices!J948-1</f>
        <v>-3.4471546507656159E-3</v>
      </c>
      <c r="K948" s="8">
        <f>SUMPRODUCT(B948:I948,weights!$B$5:$I$5)</f>
        <v>-2.9522631399637855E-3</v>
      </c>
      <c r="L948" s="4">
        <f t="shared" si="28"/>
        <v>197.05273991796318</v>
      </c>
      <c r="M948" s="4">
        <f>L948/MAX(L$2:L948)-1</f>
        <v>-2.9522631399638843E-3</v>
      </c>
      <c r="N948" s="4">
        <f t="shared" si="29"/>
        <v>9.5912381733935348E-2</v>
      </c>
    </row>
    <row r="949" spans="1:14">
      <c r="A949" s="3">
        <f>prices!A950</f>
        <v>44868</v>
      </c>
      <c r="B949" s="5">
        <f>prices!B950/prices!B949-1</f>
        <v>3.7346658252142007E-3</v>
      </c>
      <c r="C949" s="5">
        <f>prices!C950/prices!C949-1</f>
        <v>-1.0778401244602942E-2</v>
      </c>
      <c r="D949" s="5">
        <f>prices!D950/prices!D949-1</f>
        <v>-4.3949604453559221E-3</v>
      </c>
      <c r="E949" s="5">
        <f>prices!E950/prices!E949-1</f>
        <v>-1.4515203671830235E-2</v>
      </c>
      <c r="F949" s="5">
        <f>prices!F950/prices!F949-1</f>
        <v>-2.6968900419895858E-3</v>
      </c>
      <c r="G949" s="5">
        <f>prices!G950/prices!G949-1</f>
        <v>1.050529096950914E-3</v>
      </c>
      <c r="H949" s="5">
        <f>prices!H950/prices!H949-1</f>
        <v>-7.3582427133643824E-3</v>
      </c>
      <c r="I949" s="5">
        <f>prices!I950/prices!I949-1</f>
        <v>-2.2859206893882655E-3</v>
      </c>
      <c r="J949" s="5">
        <f>prices!J950/prices!J949-1</f>
        <v>-1.6673256704555772E-3</v>
      </c>
      <c r="K949" s="8">
        <f>SUMPRODUCT(B949:I949,weights!$B$5:$I$5)</f>
        <v>-3.6093539095320894E-3</v>
      </c>
      <c r="L949" s="4">
        <f t="shared" si="28"/>
        <v>196.34150684075627</v>
      </c>
      <c r="M949" s="4">
        <f>L949/MAX(L$2:L949)-1</f>
        <v>-6.5509612869897316E-3</v>
      </c>
      <c r="N949" s="4">
        <f t="shared" si="29"/>
        <v>6.9667045237282954E-2</v>
      </c>
    </row>
    <row r="950" spans="1:14">
      <c r="A950" s="3">
        <f>prices!A951</f>
        <v>44869</v>
      </c>
      <c r="B950" s="5">
        <f>prices!B951/prices!B950-1</f>
        <v>1.4710822100684862E-2</v>
      </c>
      <c r="C950" s="5">
        <f>prices!C951/prices!C950-1</f>
        <v>3.3185840707963266E-3</v>
      </c>
      <c r="D950" s="5">
        <f>prices!D951/prices!D950-1</f>
        <v>-6.8948120743295149E-3</v>
      </c>
      <c r="E950" s="5">
        <f>prices!E951/prices!E950-1</f>
        <v>-1.0944868137626074E-2</v>
      </c>
      <c r="F950" s="5">
        <f>prices!F951/prices!F950-1</f>
        <v>-2.7384130896135339E-4</v>
      </c>
      <c r="G950" s="5">
        <f>prices!G951/prices!G950-1</f>
        <v>-1.0392926954502224E-3</v>
      </c>
      <c r="H950" s="5">
        <f>prices!H951/prices!H950-1</f>
        <v>-4.1193210085371801E-3</v>
      </c>
      <c r="I950" s="5">
        <f>prices!I951/prices!I950-1</f>
        <v>3.1858992924822527E-3</v>
      </c>
      <c r="J950" s="5">
        <f>prices!J951/prices!J950-1</f>
        <v>3.5701030870729511E-3</v>
      </c>
      <c r="K950" s="8">
        <f>SUMPRODUCT(B950:I950,weights!$B$5:$I$5)</f>
        <v>5.048449546547828E-4</v>
      </c>
      <c r="L950" s="4">
        <f t="shared" si="28"/>
        <v>196.44062885987412</v>
      </c>
      <c r="M950" s="4">
        <f>L950/MAX(L$2:L950)-1</f>
        <v>-6.0494235520889283E-3</v>
      </c>
      <c r="N950" s="4">
        <f t="shared" si="29"/>
        <v>6.1113156358142406E-2</v>
      </c>
    </row>
    <row r="951" spans="1:14">
      <c r="A951" s="3">
        <f>prices!A952</f>
        <v>44872</v>
      </c>
      <c r="B951" s="5">
        <f>prices!B952/prices!B951-1</f>
        <v>5.3474574113212547E-3</v>
      </c>
      <c r="C951" s="5">
        <f>prices!C952/prices!C951-1</f>
        <v>5.0688468461488334E-3</v>
      </c>
      <c r="D951" s="5">
        <f>prices!D952/prices!D951-1</f>
        <v>7.7752377726978406E-3</v>
      </c>
      <c r="E951" s="5">
        <f>prices!E952/prices!E951-1</f>
        <v>-4.3263288009888212E-3</v>
      </c>
      <c r="F951" s="5">
        <f>prices!F952/prices!F951-1</f>
        <v>-2.7391631856465981E-4</v>
      </c>
      <c r="G951" s="5">
        <f>prices!G952/prices!G951-1</f>
        <v>1.1246859434546064E-2</v>
      </c>
      <c r="H951" s="5">
        <f>prices!H952/prices!H951-1</f>
        <v>-1.1110223003756747E-2</v>
      </c>
      <c r="I951" s="5">
        <f>prices!I952/prices!I951-1</f>
        <v>1.2630949434959682E-3</v>
      </c>
      <c r="J951" s="5">
        <f>prices!J952/prices!J951-1</f>
        <v>4.7275647659812403E-3</v>
      </c>
      <c r="K951" s="8">
        <f>SUMPRODUCT(B951:I951,weights!$B$5:$I$5)</f>
        <v>2.0733289413981458E-3</v>
      </c>
      <c r="L951" s="4">
        <f t="shared" si="28"/>
        <v>196.84791490095574</v>
      </c>
      <c r="M951" s="4">
        <f>L951/MAX(L$2:L951)-1</f>
        <v>-3.9886370556201367E-3</v>
      </c>
      <c r="N951" s="4">
        <f t="shared" si="29"/>
        <v>6.1829089554466421E-2</v>
      </c>
    </row>
    <row r="952" spans="1:14">
      <c r="A952" s="3">
        <f>prices!A953</f>
        <v>44874</v>
      </c>
      <c r="B952" s="5">
        <f>prices!B953/prices!B952-1</f>
        <v>-9.9625980429407512E-4</v>
      </c>
      <c r="C952" s="5">
        <f>prices!C953/prices!C952-1</f>
        <v>-5.4603441628992E-3</v>
      </c>
      <c r="D952" s="5">
        <f>prices!D953/prices!D952-1</f>
        <v>-2.9404763571683201E-4</v>
      </c>
      <c r="E952" s="5">
        <f>prices!E953/prices!E952-1</f>
        <v>2.4903195294256886E-3</v>
      </c>
      <c r="F952" s="5">
        <f>prices!F953/prices!F952-1</f>
        <v>2.0343859168436174E-2</v>
      </c>
      <c r="G952" s="5">
        <f>prices!G953/prices!G952-1</f>
        <v>-8.5503238556376981E-3</v>
      </c>
      <c r="H952" s="5">
        <f>prices!H953/prices!H952-1</f>
        <v>-1.4387326220497876E-2</v>
      </c>
      <c r="I952" s="5">
        <f>prices!I953/prices!I952-1</f>
        <v>-7.012918805641255E-3</v>
      </c>
      <c r="J952" s="5">
        <f>prices!J953/prices!J952-1</f>
        <v>-2.5160964247258333E-3</v>
      </c>
      <c r="K952" s="8">
        <f>SUMPRODUCT(B952:I952,weights!$B$5:$I$5)</f>
        <v>-3.9294191451214339E-3</v>
      </c>
      <c r="L952" s="4">
        <f t="shared" si="28"/>
        <v>196.0744169354667</v>
      </c>
      <c r="M952" s="4">
        <f>L952/MAX(L$2:L952)-1</f>
        <v>-7.9023831739322148E-3</v>
      </c>
      <c r="N952" s="4">
        <f t="shared" si="29"/>
        <v>6.0506054424128264E-2</v>
      </c>
    </row>
    <row r="953" spans="1:14">
      <c r="A953" s="3">
        <f>prices!A954</f>
        <v>44875</v>
      </c>
      <c r="B953" s="5">
        <f>prices!B954/prices!B953-1</f>
        <v>-1.2102260722586022E-2</v>
      </c>
      <c r="C953" s="5">
        <f>prices!C954/prices!C953-1</f>
        <v>-3.2314675161748685E-3</v>
      </c>
      <c r="D953" s="5">
        <f>prices!D954/prices!D953-1</f>
        <v>1.0868956244047379E-2</v>
      </c>
      <c r="E953" s="5">
        <f>prices!E954/prices!E953-1</f>
        <v>-6.1255629842031922E-3</v>
      </c>
      <c r="F953" s="5">
        <f>prices!F954/prices!F953-1</f>
        <v>-1.3023630504833461E-2</v>
      </c>
      <c r="G953" s="5">
        <f>prices!G954/prices!G953-1</f>
        <v>-1.6884994513697626E-2</v>
      </c>
      <c r="H953" s="5">
        <f>prices!H954/prices!H953-1</f>
        <v>-2.8702640642939148E-3</v>
      </c>
      <c r="I953" s="5">
        <f>prices!I954/prices!I953-1</f>
        <v>-1.2901151666312227E-2</v>
      </c>
      <c r="J953" s="5">
        <f>prices!J954/prices!J953-1</f>
        <v>-7.0936828771271943E-3</v>
      </c>
      <c r="K953" s="8">
        <f>SUMPRODUCT(B953:I953,weights!$B$5:$I$5)</f>
        <v>-8.8806511035430559E-3</v>
      </c>
      <c r="L953" s="4">
        <f t="shared" si="28"/>
        <v>194.3331484483322</v>
      </c>
      <c r="M953" s="4">
        <f>L953/MAX(L$2:L953)-1</f>
        <v>-1.6712855969621021E-2</v>
      </c>
      <c r="N953" s="4">
        <f t="shared" si="29"/>
        <v>6.6659334720366559E-2</v>
      </c>
    </row>
    <row r="954" spans="1:14">
      <c r="A954" s="3">
        <f>prices!A955</f>
        <v>44876</v>
      </c>
      <c r="B954" s="5">
        <f>prices!B955/prices!B954-1</f>
        <v>2.3055272770824642E-2</v>
      </c>
      <c r="C954" s="5">
        <f>prices!C955/prices!C954-1</f>
        <v>3.440632126000942E-2</v>
      </c>
      <c r="D954" s="5">
        <f>prices!D955/prices!D954-1</f>
        <v>5.6670176799866967E-2</v>
      </c>
      <c r="E954" s="5">
        <f>prices!E955/prices!E954-1</f>
        <v>4.5375658236297634E-2</v>
      </c>
      <c r="F954" s="5">
        <f>prices!F955/prices!F954-1</f>
        <v>9.8626037273819023E-4</v>
      </c>
      <c r="G954" s="5">
        <f>prices!G955/prices!G954-1</f>
        <v>-1.0669331903131463E-3</v>
      </c>
      <c r="H954" s="5">
        <f>prices!H955/prices!H954-1</f>
        <v>2.8785261945882823E-3</v>
      </c>
      <c r="I954" s="5">
        <f>prices!I955/prices!I954-1</f>
        <v>1.6915051769514022E-2</v>
      </c>
      <c r="J954" s="5">
        <f>prices!J955/prices!J954-1</f>
        <v>1.7833172474234882E-2</v>
      </c>
      <c r="K954" s="8">
        <f>SUMPRODUCT(B954:I954,weights!$B$5:$I$5)</f>
        <v>1.7655921240949977E-2</v>
      </c>
      <c r="L954" s="4">
        <f t="shared" si="28"/>
        <v>197.7642792118418</v>
      </c>
      <c r="M954" s="4">
        <f>L954/MAX(L$2:L954)-1</f>
        <v>0</v>
      </c>
      <c r="N954" s="4">
        <f t="shared" si="29"/>
        <v>7.6082589174514936E-2</v>
      </c>
    </row>
    <row r="955" spans="1:14">
      <c r="A955" s="3">
        <f>prices!A956</f>
        <v>44879</v>
      </c>
      <c r="B955" s="5">
        <f>prices!B956/prices!B955-1</f>
        <v>-4.8416229053084292E-3</v>
      </c>
      <c r="C955" s="5">
        <f>prices!C956/prices!C955-1</f>
        <v>5.8956823098770261E-3</v>
      </c>
      <c r="D955" s="5">
        <f>prices!D956/prices!D955-1</f>
        <v>2.4258477354384134E-3</v>
      </c>
      <c r="E955" s="5">
        <f>prices!E956/prices!E955-1</f>
        <v>9.6844226239465314E-3</v>
      </c>
      <c r="F955" s="5">
        <f>prices!F956/prices!F955-1</f>
        <v>-2.5685455101416732E-2</v>
      </c>
      <c r="G955" s="5">
        <f>prices!G956/prices!G955-1</f>
        <v>7.1307879698145893E-3</v>
      </c>
      <c r="H955" s="5">
        <f>prices!H956/prices!H955-1</f>
        <v>3.3008036739379243E-3</v>
      </c>
      <c r="I955" s="5">
        <f>prices!I956/prices!I955-1</f>
        <v>-5.6203282313012082E-3</v>
      </c>
      <c r="J955" s="5">
        <f>prices!J956/prices!J955-1</f>
        <v>-1.1199093173185348E-3</v>
      </c>
      <c r="K955" s="8">
        <f>SUMPRODUCT(B955:I955,weights!$B$5:$I$5)</f>
        <v>-4.6839341967170732E-4</v>
      </c>
      <c r="L955" s="4">
        <f t="shared" si="28"/>
        <v>197.67164772481283</v>
      </c>
      <c r="M955" s="4">
        <f>L955/MAX(L$2:L955)-1</f>
        <v>-4.6839341967186421E-4</v>
      </c>
      <c r="N955" s="4">
        <f t="shared" si="29"/>
        <v>7.955535297794003E-2</v>
      </c>
    </row>
    <row r="956" spans="1:14">
      <c r="A956" s="3">
        <f>prices!A957</f>
        <v>44880</v>
      </c>
      <c r="B956" s="5">
        <f>prices!B957/prices!B956-1</f>
        <v>-4.4870556008368423E-3</v>
      </c>
      <c r="C956" s="5">
        <f>prices!C957/prices!C956-1</f>
        <v>-8.6982521949496849E-4</v>
      </c>
      <c r="D956" s="5">
        <f>prices!D957/prices!D956-1</f>
        <v>2.4461391552317302E-3</v>
      </c>
      <c r="E956" s="5">
        <f>prices!E957/prices!E956-1</f>
        <v>5.4879034241426261E-3</v>
      </c>
      <c r="F956" s="5">
        <f>prices!F957/prices!F956-1</f>
        <v>-5.6142553265682293E-3</v>
      </c>
      <c r="G956" s="5">
        <f>prices!G957/prices!G956-1</f>
        <v>1.0764238177241037E-3</v>
      </c>
      <c r="H956" s="5">
        <f>prices!H957/prices!H956-1</f>
        <v>-8.3781188058118516E-4</v>
      </c>
      <c r="I956" s="5">
        <f>prices!I957/prices!I956-1</f>
        <v>-1.6260162601626771E-3</v>
      </c>
      <c r="J956" s="5">
        <f>prices!J957/prices!J956-1</f>
        <v>4.0509243472828249E-3</v>
      </c>
      <c r="K956" s="8">
        <f>SUMPRODUCT(B956:I956,weights!$B$5:$I$5)</f>
        <v>-7.0734364333911574E-4</v>
      </c>
      <c r="L956" s="4">
        <f t="shared" si="28"/>
        <v>197.5318259413263</v>
      </c>
      <c r="M956" s="4">
        <f>L956/MAX(L$2:L956)-1</f>
        <v>-1.17540574790298E-3</v>
      </c>
      <c r="N956" s="4">
        <f t="shared" si="29"/>
        <v>6.8103108465685125E-2</v>
      </c>
    </row>
    <row r="957" spans="1:14">
      <c r="A957" s="3">
        <f>prices!A958</f>
        <v>44881</v>
      </c>
      <c r="B957" s="5">
        <f>prices!B958/prices!B957-1</f>
        <v>-5.7396075121333157E-3</v>
      </c>
      <c r="C957" s="5">
        <f>prices!C958/prices!C957-1</f>
        <v>6.8286312811165484E-3</v>
      </c>
      <c r="D957" s="5">
        <f>prices!D958/prices!D957-1</f>
        <v>8.5862671921077549E-3</v>
      </c>
      <c r="E957" s="5">
        <f>prices!E958/prices!E957-1</f>
        <v>5.5208464366081067E-3</v>
      </c>
      <c r="F957" s="5">
        <f>prices!F958/prices!F957-1</f>
        <v>-3.3314630382944577E-3</v>
      </c>
      <c r="G957" s="5">
        <f>prices!G958/prices!G957-1</f>
        <v>-2.9737303454477892E-3</v>
      </c>
      <c r="H957" s="5">
        <f>prices!H958/prices!H957-1</f>
        <v>2.556446335078455E-3</v>
      </c>
      <c r="I957" s="5">
        <f>prices!I958/prices!I957-1</f>
        <v>3.5331092401993391E-3</v>
      </c>
      <c r="J957" s="5">
        <f>prices!J958/prices!J957-1</f>
        <v>3.3961115880765114E-4</v>
      </c>
      <c r="K957" s="8">
        <f>SUMPRODUCT(B957:I957,weights!$B$5:$I$5)</f>
        <v>1.200209116062769E-3</v>
      </c>
      <c r="L957" s="4">
        <f t="shared" si="28"/>
        <v>197.7689054395336</v>
      </c>
      <c r="M957" s="4">
        <f>L957/MAX(L$2:L957)-1</f>
        <v>0</v>
      </c>
      <c r="N957" s="4">
        <f t="shared" si="29"/>
        <v>6.511627043622048E-2</v>
      </c>
    </row>
    <row r="958" spans="1:14">
      <c r="A958" s="3">
        <f>prices!A959</f>
        <v>44882</v>
      </c>
      <c r="B958" s="5">
        <f>prices!B959/prices!B958-1</f>
        <v>2.5892440256376492E-3</v>
      </c>
      <c r="C958" s="5">
        <f>prices!C959/prices!C958-1</f>
        <v>-1.8948605706873289E-3</v>
      </c>
      <c r="D958" s="5">
        <f>prices!D959/prices!D958-1</f>
        <v>-9.0436267660300995E-3</v>
      </c>
      <c r="E958" s="5">
        <f>prices!E959/prices!E958-1</f>
        <v>-9.6119095938393961E-3</v>
      </c>
      <c r="F958" s="5">
        <f>prices!F959/prices!F958-1</f>
        <v>-1.1611132613208452E-3</v>
      </c>
      <c r="G958" s="5">
        <f>prices!G959/prices!G958-1</f>
        <v>-1.6256820177361631E-2</v>
      </c>
      <c r="H958" s="5">
        <f>prices!H959/prices!H958-1</f>
        <v>-5.201852267395557E-3</v>
      </c>
      <c r="I958" s="5">
        <f>prices!I959/prices!I958-1</f>
        <v>1.2952333545921624E-2</v>
      </c>
      <c r="J958" s="5">
        <f>prices!J959/prices!J958-1</f>
        <v>-3.5714964706010655E-3</v>
      </c>
      <c r="K958" s="8">
        <f>SUMPRODUCT(B958:I958,weights!$B$5:$I$5)</f>
        <v>-2.8140480377507903E-3</v>
      </c>
      <c r="L958" s="4">
        <f t="shared" si="28"/>
        <v>197.21237423925336</v>
      </c>
      <c r="M958" s="4">
        <f>L958/MAX(L$2:L958)-1</f>
        <v>-2.8140480377507604E-3</v>
      </c>
      <c r="N958" s="4">
        <f t="shared" si="29"/>
        <v>5.0456773755224837E-2</v>
      </c>
    </row>
    <row r="959" spans="1:14">
      <c r="A959" s="3">
        <f>prices!A960</f>
        <v>44883</v>
      </c>
      <c r="B959" s="5">
        <f>prices!B960/prices!B959-1</f>
        <v>-5.4191363251487878E-4</v>
      </c>
      <c r="C959" s="5">
        <f>prices!C960/prices!C959-1</f>
        <v>-1.6581895953678982E-3</v>
      </c>
      <c r="D959" s="5">
        <f>prices!D960/prices!D959-1</f>
        <v>-2.6242607026751852E-3</v>
      </c>
      <c r="E959" s="5">
        <f>prices!E960/prices!E959-1</f>
        <v>3.7824295969852706E-3</v>
      </c>
      <c r="F959" s="5">
        <f>prices!F960/prices!F959-1</f>
        <v>-7.7145272650415153E-3</v>
      </c>
      <c r="G959" s="5">
        <f>prices!G960/prices!G959-1</f>
        <v>-1.5401392422941029E-2</v>
      </c>
      <c r="H959" s="5">
        <f>prices!H960/prices!H959-1</f>
        <v>-3.7013493007422849E-3</v>
      </c>
      <c r="I959" s="5">
        <f>prices!I960/prices!I959-1</f>
        <v>-2.5133216283866888E-3</v>
      </c>
      <c r="J959" s="5">
        <f>prices!J960/prices!J959-1</f>
        <v>-1.9761337556354341E-3</v>
      </c>
      <c r="K959" s="8">
        <f>SUMPRODUCT(B959:I959,weights!$B$5:$I$5)</f>
        <v>-4.7811908779183693E-3</v>
      </c>
      <c r="L959" s="4">
        <f t="shared" si="28"/>
        <v>196.26946423452802</v>
      </c>
      <c r="M959" s="4">
        <f>L959/MAX(L$2:L959)-1</f>
        <v>-7.5817844148610147E-3</v>
      </c>
      <c r="N959" s="4">
        <f t="shared" si="29"/>
        <v>4.6192034420164507E-2</v>
      </c>
    </row>
    <row r="960" spans="1:14">
      <c r="A960" s="3">
        <f>prices!A961</f>
        <v>44886</v>
      </c>
      <c r="B960" s="5">
        <f>prices!B961/prices!B960-1</f>
        <v>-1.7994510149445975E-2</v>
      </c>
      <c r="C960" s="5">
        <f>prices!C961/prices!C960-1</f>
        <v>-1.792802351082845E-2</v>
      </c>
      <c r="D960" s="5">
        <f>prices!D961/prices!D960-1</f>
        <v>-1.0249764373232662E-2</v>
      </c>
      <c r="E960" s="5">
        <f>prices!E961/prices!E960-1</f>
        <v>-1.5813758389261801E-2</v>
      </c>
      <c r="F960" s="5">
        <f>prices!F961/prices!F960-1</f>
        <v>-1.1289005644502859E-2</v>
      </c>
      <c r="G960" s="5">
        <f>prices!G961/prices!G960-1</f>
        <v>1.938827579557767E-3</v>
      </c>
      <c r="H960" s="5">
        <f>prices!H961/prices!H960-1</f>
        <v>-6.380504471498738E-3</v>
      </c>
      <c r="I960" s="5">
        <f>prices!I961/prices!I960-1</f>
        <v>-6.4248619578380906E-3</v>
      </c>
      <c r="J960" s="5">
        <f>prices!J961/prices!J960-1</f>
        <v>-8.0676657025888776E-3</v>
      </c>
      <c r="K960" s="8">
        <f>SUMPRODUCT(B960:I960,weights!$B$5:$I$5)</f>
        <v>-8.761823920504919E-3</v>
      </c>
      <c r="L960" s="4">
        <f t="shared" si="28"/>
        <v>194.54978574793324</v>
      </c>
      <c r="M960" s="4">
        <f>L960/MAX(L$2:L960)-1</f>
        <v>-1.6277178075319698E-2</v>
      </c>
      <c r="N960" s="4">
        <f t="shared" si="29"/>
        <v>3.4217562367840459E-2</v>
      </c>
    </row>
    <row r="961" spans="1:14">
      <c r="A961" s="3">
        <f>prices!A962</f>
        <v>44887</v>
      </c>
      <c r="B961" s="5">
        <f>prices!B962/prices!B961-1</f>
        <v>5.5473117537443439E-3</v>
      </c>
      <c r="C961" s="5">
        <f>prices!C962/prices!C961-1</f>
        <v>9.5780812083223754E-3</v>
      </c>
      <c r="D961" s="5">
        <f>prices!D962/prices!D961-1</f>
        <v>-1.468079196921046E-3</v>
      </c>
      <c r="E961" s="5">
        <f>prices!E962/prices!E961-1</f>
        <v>1.0740314537782902E-2</v>
      </c>
      <c r="F961" s="5">
        <f>prices!F962/prices!F961-1</f>
        <v>9.0481490790275121E-3</v>
      </c>
      <c r="G961" s="5">
        <f>prices!G962/prices!G961-1</f>
        <v>9.646041895741142E-4</v>
      </c>
      <c r="H961" s="5">
        <f>prices!H962/prices!H961-1</f>
        <v>6.9186233182463308E-3</v>
      </c>
      <c r="I961" s="5">
        <f>prices!I962/prices!I961-1</f>
        <v>9.1263118750515293E-3</v>
      </c>
      <c r="J961" s="5">
        <f>prices!J962/prices!J961-1</f>
        <v>4.6393299541023225E-3</v>
      </c>
      <c r="K961" s="8">
        <f>SUMPRODUCT(B961:I961,weights!$B$5:$I$5)</f>
        <v>6.1335303310069119E-3</v>
      </c>
      <c r="L961" s="4">
        <f t="shared" si="28"/>
        <v>195.74306275970906</v>
      </c>
      <c r="M961" s="4">
        <f>L961/MAX(L$2:L961)-1</f>
        <v>-1.0243484309741091E-2</v>
      </c>
      <c r="N961" s="4">
        <f t="shared" si="29"/>
        <v>4.7779637466422775E-2</v>
      </c>
    </row>
    <row r="962" spans="1:14">
      <c r="A962" s="3">
        <f>prices!A963</f>
        <v>44888</v>
      </c>
      <c r="B962" s="5">
        <f>prices!B963/prices!B962-1</f>
        <v>-3.1229891467546844E-3</v>
      </c>
      <c r="C962" s="5">
        <f>prices!C963/prices!C962-1</f>
        <v>-2.006844467844271E-3</v>
      </c>
      <c r="D962" s="5">
        <f>prices!D963/prices!D962-1</f>
        <v>2.596095260801734E-3</v>
      </c>
      <c r="E962" s="5">
        <f>prices!E963/prices!E962-1</f>
        <v>-1.1947431302270495E-3</v>
      </c>
      <c r="F962" s="5">
        <f>prices!F963/prices!F962-1</f>
        <v>-1.3165854179266745E-3</v>
      </c>
      <c r="G962" s="5">
        <f>prices!G963/prices!G962-1</f>
        <v>6.8465447809749058E-3</v>
      </c>
      <c r="H962" s="5">
        <f>prices!H963/prices!H962-1</f>
        <v>7.477962126744675E-3</v>
      </c>
      <c r="I962" s="5">
        <f>prices!I963/prices!I962-1</f>
        <v>-2.3645864788645055E-3</v>
      </c>
      <c r="J962" s="5">
        <f>prices!J963/prices!J962-1</f>
        <v>1.2634152223720552E-3</v>
      </c>
      <c r="K962" s="8">
        <f>SUMPRODUCT(B962:I962,weights!$B$5:$I$5)</f>
        <v>1.400904653388432E-3</v>
      </c>
      <c r="L962" s="4">
        <f t="shared" si="28"/>
        <v>196.01728012719767</v>
      </c>
      <c r="M962" s="4">
        <f>L962/MAX(L$2:L962)-1</f>
        <v>-8.8569298011890174E-3</v>
      </c>
      <c r="N962" s="4">
        <f t="shared" si="29"/>
        <v>3.8816883814039471E-2</v>
      </c>
    </row>
    <row r="963" spans="1:14">
      <c r="A963" s="3">
        <f>prices!A964</f>
        <v>44889</v>
      </c>
      <c r="B963" s="5">
        <f>prices!B964/prices!B963-1</f>
        <v>8.6237316143247256E-3</v>
      </c>
      <c r="C963" s="5">
        <f>prices!C964/prices!C963-1</f>
        <v>2.1718874181260173E-2</v>
      </c>
      <c r="D963" s="5">
        <f>prices!D964/prices!D963-1</f>
        <v>1.6262847781858492E-2</v>
      </c>
      <c r="E963" s="5">
        <f>prices!E964/prices!E963-1</f>
        <v>2.9461018857303678E-2</v>
      </c>
      <c r="F963" s="5">
        <f>prices!F964/prices!F963-1</f>
        <v>2.8147937005629231E-3</v>
      </c>
      <c r="G963" s="5">
        <f>prices!G964/prices!G963-1</f>
        <v>3.6480074520419681E-3</v>
      </c>
      <c r="H963" s="5">
        <f>prices!H964/prices!H963-1</f>
        <v>1.7152308414840833E-2</v>
      </c>
      <c r="I963" s="5">
        <f>prices!I964/prices!I963-1</f>
        <v>1.3431082335920719E-2</v>
      </c>
      <c r="J963" s="5">
        <f>prices!J964/prices!J963-1</f>
        <v>1.1870971273727493E-2</v>
      </c>
      <c r="K963" s="8">
        <f>SUMPRODUCT(B963:I963,weights!$B$5:$I$5)</f>
        <v>1.2887945423302303E-2</v>
      </c>
      <c r="L963" s="4">
        <f t="shared" si="28"/>
        <v>198.54354013550116</v>
      </c>
      <c r="M963" s="4">
        <f>L963/MAX(L$2:L963)-1</f>
        <v>0</v>
      </c>
      <c r="N963" s="4">
        <f t="shared" si="29"/>
        <v>4.4133812203147382E-2</v>
      </c>
    </row>
    <row r="964" spans="1:14">
      <c r="A964" s="3">
        <f>prices!A965</f>
        <v>44890</v>
      </c>
      <c r="B964" s="5">
        <f>prices!B965/prices!B964-1</f>
        <v>1.4932632495114895E-2</v>
      </c>
      <c r="C964" s="5">
        <f>prices!C965/prices!C964-1</f>
        <v>2.8097045451498381E-3</v>
      </c>
      <c r="D964" s="5">
        <f>prices!D965/prices!D964-1</f>
        <v>-4.6148846278842859E-3</v>
      </c>
      <c r="E964" s="5">
        <f>prices!E965/prices!E964-1</f>
        <v>3.5951799982230082E-3</v>
      </c>
      <c r="F964" s="5">
        <f>prices!F965/prices!F964-1</f>
        <v>-1.3501510037307041E-3</v>
      </c>
      <c r="G964" s="5">
        <f>prices!G965/prices!G964-1</f>
        <v>5.8436721974852723E-3</v>
      </c>
      <c r="H964" s="5">
        <f>prices!H965/prices!H964-1</f>
        <v>-1.2145423885331352E-3</v>
      </c>
      <c r="I964" s="5">
        <f>prices!I965/prices!I964-1</f>
        <v>5.1382258693219995E-3</v>
      </c>
      <c r="J964" s="5">
        <f>prices!J965/prices!J964-1</f>
        <v>1.5499807943044619E-3</v>
      </c>
      <c r="K964" s="8">
        <f>SUMPRODUCT(B964:I964,weights!$B$5:$I$5)</f>
        <v>3.9609968759047563E-3</v>
      </c>
      <c r="L964" s="4">
        <f t="shared" ref="L964:L1027" si="30">L963*(1+K964)</f>
        <v>199.32997047770894</v>
      </c>
      <c r="M964" s="4">
        <f>L964/MAX(L$2:L964)-1</f>
        <v>0</v>
      </c>
      <c r="N964" s="4">
        <f t="shared" si="29"/>
        <v>4.140733009601516E-2</v>
      </c>
    </row>
    <row r="965" spans="1:14">
      <c r="A965" s="3">
        <f>prices!A966</f>
        <v>44893</v>
      </c>
      <c r="B965" s="5">
        <f>prices!B966/prices!B965-1</f>
        <v>3.436099644367463E-2</v>
      </c>
      <c r="C965" s="5">
        <f>prices!C966/prices!C965-1</f>
        <v>1.6516767528169662E-3</v>
      </c>
      <c r="D965" s="5">
        <f>prices!D966/prices!D965-1</f>
        <v>-1.0761394802141888E-2</v>
      </c>
      <c r="E965" s="5">
        <f>prices!E966/prices!E965-1</f>
        <v>-7.4915039534709793E-3</v>
      </c>
      <c r="F965" s="5">
        <f>prices!F966/prices!F965-1</f>
        <v>-7.1156651367987322E-4</v>
      </c>
      <c r="G965" s="5">
        <f>prices!G966/prices!G965-1</f>
        <v>-3.7808753222338121E-3</v>
      </c>
      <c r="H965" s="5">
        <f>prices!H966/prices!H965-1</f>
        <v>8.7432792321995301E-4</v>
      </c>
      <c r="I965" s="5">
        <f>prices!I966/prices!I965-1</f>
        <v>8.2597177594001536E-4</v>
      </c>
      <c r="J965" s="5">
        <f>prices!J966/prices!J965-1</f>
        <v>2.7008413120686026E-3</v>
      </c>
      <c r="K965" s="8">
        <f>SUMPRODUCT(B965:I965,weights!$B$5:$I$5)</f>
        <v>2.5837637847903809E-3</v>
      </c>
      <c r="L965" s="4">
        <f t="shared" si="30"/>
        <v>199.84499203665257</v>
      </c>
      <c r="M965" s="4">
        <f>L965/MAX(L$2:L965)-1</f>
        <v>0</v>
      </c>
      <c r="N965" s="4">
        <f t="shared" si="29"/>
        <v>3.2487801442140363E-2</v>
      </c>
    </row>
    <row r="966" spans="1:14">
      <c r="A966" s="3">
        <f>prices!A967</f>
        <v>44894</v>
      </c>
      <c r="B966" s="5">
        <f>prices!B967/prices!B966-1</f>
        <v>1.715028854750944E-3</v>
      </c>
      <c r="C966" s="5">
        <f>prices!C967/prices!C966-1</f>
        <v>6.1752296517836314E-4</v>
      </c>
      <c r="D966" s="5">
        <f>prices!D967/prices!D966-1</f>
        <v>-1.5050299685791524E-3</v>
      </c>
      <c r="E966" s="5">
        <f>prices!E967/prices!E966-1</f>
        <v>3.4789649564614944E-3</v>
      </c>
      <c r="F966" s="5">
        <f>prices!F967/prices!F966-1</f>
        <v>6.6222807704632292E-3</v>
      </c>
      <c r="G966" s="5">
        <f>prices!G967/prices!G966-1</f>
        <v>-8.368481805961947E-3</v>
      </c>
      <c r="H966" s="5">
        <f>prices!H967/prices!H966-1</f>
        <v>1.4589525263073444E-2</v>
      </c>
      <c r="I966" s="5">
        <f>prices!I967/prices!I966-1</f>
        <v>-6.7331595527331256E-3</v>
      </c>
      <c r="J966" s="5">
        <f>prices!J967/prices!J966-1</f>
        <v>2.9790844567749719E-3</v>
      </c>
      <c r="K966" s="8">
        <f>SUMPRODUCT(B966:I966,weights!$B$5:$I$5)</f>
        <v>2.5671311693000885E-4</v>
      </c>
      <c r="L966" s="4">
        <f t="shared" si="30"/>
        <v>199.89629486746114</v>
      </c>
      <c r="M966" s="4">
        <f>L966/MAX(L$2:L966)-1</f>
        <v>0</v>
      </c>
      <c r="N966" s="4">
        <f t="shared" si="29"/>
        <v>1.686566364849007E-2</v>
      </c>
    </row>
    <row r="967" spans="1:14">
      <c r="A967" s="3">
        <f>prices!A968</f>
        <v>44895</v>
      </c>
      <c r="B967" s="5">
        <f>prices!B968/prices!B967-1</f>
        <v>7.0593390186706184E-3</v>
      </c>
      <c r="C967" s="5">
        <f>prices!C968/prices!C967-1</f>
        <v>-1.9248154412230267E-3</v>
      </c>
      <c r="D967" s="5">
        <f>prices!D968/prices!D967-1</f>
        <v>6.6374021578168296E-3</v>
      </c>
      <c r="E967" s="5">
        <f>prices!E968/prices!E967-1</f>
        <v>3.6241794310720721E-3</v>
      </c>
      <c r="F967" s="5">
        <f>prices!F968/prices!F967-1</f>
        <v>-6.7201924097196608E-3</v>
      </c>
      <c r="G967" s="5">
        <f>prices!G968/prices!G967-1</f>
        <v>7.1769748356371732E-3</v>
      </c>
      <c r="H967" s="5">
        <f>prices!H968/prices!H967-1</f>
        <v>-3.6122519669454789E-3</v>
      </c>
      <c r="I967" s="5">
        <f>prices!I968/prices!I967-1</f>
        <v>1.1850238119363699E-2</v>
      </c>
      <c r="J967" s="5">
        <f>prices!J968/prices!J967-1</f>
        <v>7.5356978845797506E-3</v>
      </c>
      <c r="K967" s="8">
        <f>SUMPRODUCT(B967:I967,weights!$B$5:$I$5)</f>
        <v>4.1529980170847188E-3</v>
      </c>
      <c r="L967" s="4">
        <f t="shared" si="30"/>
        <v>200.72646378366827</v>
      </c>
      <c r="M967" s="4">
        <f>L967/MAX(L$2:L967)-1</f>
        <v>0</v>
      </c>
      <c r="N967" s="4">
        <f t="shared" si="29"/>
        <v>1.5636050159688164E-2</v>
      </c>
    </row>
    <row r="968" spans="1:14">
      <c r="A968" s="3">
        <f>prices!A969</f>
        <v>44896</v>
      </c>
      <c r="B968" s="5">
        <f>prices!B969/prices!B968-1</f>
        <v>-2.9409157931206131E-3</v>
      </c>
      <c r="C968" s="5">
        <f>prices!C969/prices!C968-1</f>
        <v>2.5020722479210722E-2</v>
      </c>
      <c r="D968" s="5">
        <f>prices!D969/prices!D968-1</f>
        <v>6.8694669924080909E-3</v>
      </c>
      <c r="E968" s="5">
        <f>prices!E969/prices!E968-1</f>
        <v>1.354500238468348E-2</v>
      </c>
      <c r="F968" s="5">
        <f>prices!F969/prices!F968-1</f>
        <v>-1.3175230566535578E-3</v>
      </c>
      <c r="G968" s="5">
        <f>prices!G969/prices!G968-1</f>
        <v>-1.7829072749109276E-3</v>
      </c>
      <c r="H968" s="5">
        <f>prices!H969/prices!H968-1</f>
        <v>3.7743345252283511E-4</v>
      </c>
      <c r="I968" s="5">
        <f>prices!I969/prices!I968-1</f>
        <v>1.4169908721753943E-2</v>
      </c>
      <c r="J968" s="5">
        <f>prices!J969/prices!J968-1</f>
        <v>2.8867144498316843E-3</v>
      </c>
      <c r="K968" s="8">
        <f>SUMPRODUCT(B968:I968,weights!$B$5:$I$5)</f>
        <v>5.8724971430742286E-3</v>
      </c>
      <c r="L968" s="4">
        <f t="shared" si="30"/>
        <v>201.90522936877724</v>
      </c>
      <c r="M968" s="4">
        <f>L968/MAX(L$2:L968)-1</f>
        <v>0</v>
      </c>
      <c r="N968" s="4">
        <f t="shared" si="29"/>
        <v>2.4625333567217744E-2</v>
      </c>
    </row>
    <row r="969" spans="1:14">
      <c r="A969" s="3">
        <f>prices!A970</f>
        <v>44897</v>
      </c>
      <c r="B969" s="5">
        <f>prices!B970/prices!B969-1</f>
        <v>-4.282966722156667E-4</v>
      </c>
      <c r="C969" s="5">
        <f>prices!C970/prices!C969-1</f>
        <v>-1.0499611970862022E-2</v>
      </c>
      <c r="D969" s="5">
        <f>prices!D970/prices!D969-1</f>
        <v>-7.6574872483922141E-3</v>
      </c>
      <c r="E969" s="5">
        <f>prices!E970/prices!E969-1</f>
        <v>-1.1582570349157661E-2</v>
      </c>
      <c r="F969" s="5">
        <f>prices!F970/prices!F969-1</f>
        <v>-7.0954859873063603E-3</v>
      </c>
      <c r="G969" s="5">
        <f>prices!G970/prices!G969-1</f>
        <v>-1.5885532192619123E-2</v>
      </c>
      <c r="H969" s="5">
        <f>prices!H970/prices!H969-1</f>
        <v>-6.1657300581822172E-3</v>
      </c>
      <c r="I969" s="5">
        <f>prices!I970/prices!I969-1</f>
        <v>-8.9114239023643238E-3</v>
      </c>
      <c r="J969" s="5">
        <f>prices!J970/prices!J969-1</f>
        <v>-6.18737541528247E-3</v>
      </c>
      <c r="K969" s="8">
        <f>SUMPRODUCT(B969:I969,weights!$B$5:$I$5)</f>
        <v>-8.8938810183178205E-3</v>
      </c>
      <c r="L969" s="4">
        <f t="shared" si="30"/>
        <v>200.10950828179517</v>
      </c>
      <c r="M969" s="4">
        <f>L969/MAX(L$2:L969)-1</f>
        <v>-8.8938810183177841E-3</v>
      </c>
      <c r="N969" s="4">
        <f t="shared" si="29"/>
        <v>1.9191058995462251E-2</v>
      </c>
    </row>
    <row r="970" spans="1:14">
      <c r="A970" s="3">
        <f>prices!A971</f>
        <v>44900</v>
      </c>
      <c r="B970" s="5">
        <f>prices!B971/prices!B970-1</f>
        <v>-1.4584495484788906E-2</v>
      </c>
      <c r="C970" s="5">
        <f>prices!C971/prices!C970-1</f>
        <v>-3.8522629161201749E-3</v>
      </c>
      <c r="D970" s="5">
        <f>prices!D971/prices!D970-1</f>
        <v>3.6413829367687445E-3</v>
      </c>
      <c r="E970" s="5">
        <f>prices!E971/prices!E970-1</f>
        <v>1.1289828952290026E-3</v>
      </c>
      <c r="F970" s="5">
        <f>prices!F971/prices!F970-1</f>
        <v>-1.1850468632169653E-3</v>
      </c>
      <c r="G970" s="5">
        <f>prices!G971/prices!G970-1</f>
        <v>-2.6987830105297261E-3</v>
      </c>
      <c r="H970" s="5">
        <f>prices!H971/prices!H970-1</f>
        <v>-5.694476357933631E-4</v>
      </c>
      <c r="I970" s="5">
        <f>prices!I971/prices!I970-1</f>
        <v>4.9814689355498487E-5</v>
      </c>
      <c r="J970" s="5">
        <f>prices!J971/prices!J970-1</f>
        <v>2.6476109990847263E-4</v>
      </c>
      <c r="K970" s="8">
        <f>SUMPRODUCT(B970:I970,weights!$B$5:$I$5)</f>
        <v>-2.5279078915137966E-3</v>
      </c>
      <c r="L970" s="4">
        <f t="shared" si="30"/>
        <v>199.60364987664266</v>
      </c>
      <c r="M970" s="4">
        <f>L970/MAX(L$2:L970)-1</f>
        <v>-1.1399305997819242E-2</v>
      </c>
      <c r="N970" s="4">
        <f t="shared" si="29"/>
        <v>1.6101664075942157E-2</v>
      </c>
    </row>
    <row r="971" spans="1:14">
      <c r="A971" s="3">
        <f>prices!A972</f>
        <v>44901</v>
      </c>
      <c r="B971" s="5">
        <f>prices!B972/prices!B971-1</f>
        <v>2.8960775787807425E-3</v>
      </c>
      <c r="C971" s="5">
        <f>prices!C972/prices!C971-1</f>
        <v>-1.1836355275911425E-2</v>
      </c>
      <c r="D971" s="5">
        <f>prices!D972/prices!D971-1</f>
        <v>-1.1133377866845429E-3</v>
      </c>
      <c r="E971" s="5">
        <f>prices!E972/prices!E971-1</f>
        <v>-1.6378964816815E-2</v>
      </c>
      <c r="F971" s="5">
        <f>prices!F972/prices!F971-1</f>
        <v>1.6538433882218317E-3</v>
      </c>
      <c r="G971" s="5">
        <f>prices!G972/prices!G971-1</f>
        <v>-8.49689752606686E-3</v>
      </c>
      <c r="H971" s="5">
        <f>prices!H972/prices!H971-1</f>
        <v>-5.6377449020391657E-3</v>
      </c>
      <c r="I971" s="5">
        <f>prices!I972/prices!I971-1</f>
        <v>3.7857278061708133E-3</v>
      </c>
      <c r="J971" s="5">
        <f>prices!J972/prices!J971-1</f>
        <v>-3.1174720136034617E-3</v>
      </c>
      <c r="K971" s="8">
        <f>SUMPRODUCT(B971:I971,weights!$B$5:$I$5)</f>
        <v>-3.7594237738593906E-3</v>
      </c>
      <c r="L971" s="4">
        <f t="shared" si="30"/>
        <v>198.85325516994732</v>
      </c>
      <c r="M971" s="4">
        <f>L971/MAX(L$2:L971)-1</f>
        <v>-1.5115874949704899E-2</v>
      </c>
      <c r="N971" s="4">
        <f t="shared" si="29"/>
        <v>1.0187256847503656E-2</v>
      </c>
    </row>
    <row r="972" spans="1:14">
      <c r="A972" s="3">
        <f>prices!A973</f>
        <v>44902</v>
      </c>
      <c r="B972" s="5">
        <f>prices!B973/prices!B972-1</f>
        <v>-1.4757611950066196E-2</v>
      </c>
      <c r="C972" s="5">
        <f>prices!C973/prices!C972-1</f>
        <v>-1.4060412907459519E-3</v>
      </c>
      <c r="D972" s="5">
        <f>prices!D973/prices!D972-1</f>
        <v>-4.3271878524042684E-4</v>
      </c>
      <c r="E972" s="5">
        <f>prices!E973/prices!E972-1</f>
        <v>-4.5859520685130883E-3</v>
      </c>
      <c r="F972" s="5">
        <f>prices!F973/prices!F972-1</f>
        <v>8.2914572864321023E-3</v>
      </c>
      <c r="G972" s="5">
        <f>prices!G973/prices!G972-1</f>
        <v>-6.6758080126404495E-3</v>
      </c>
      <c r="H972" s="5">
        <f>prices!H973/prices!H972-1</f>
        <v>-1.5280067553982923E-2</v>
      </c>
      <c r="I972" s="5">
        <f>prices!I973/prices!I972-1</f>
        <v>1.4569707315620795E-2</v>
      </c>
      <c r="J972" s="5">
        <f>prices!J973/prices!J972-1</f>
        <v>-4.4119027503989328E-3</v>
      </c>
      <c r="K972" s="8">
        <f>SUMPRODUCT(B972:I972,weights!$B$5:$I$5)</f>
        <v>-2.4617018407426033E-3</v>
      </c>
      <c r="L972" s="4">
        <f t="shared" si="30"/>
        <v>198.3637377456578</v>
      </c>
      <c r="M972" s="4">
        <f>L972/MAX(L$2:L972)-1</f>
        <v>-1.7540366013259368E-2</v>
      </c>
      <c r="N972" s="4">
        <f t="shared" si="29"/>
        <v>1.1675775177465209E-2</v>
      </c>
    </row>
    <row r="973" spans="1:14">
      <c r="A973" s="3">
        <f>prices!A974</f>
        <v>44903</v>
      </c>
      <c r="B973" s="5">
        <f>prices!B974/prices!B973-1</f>
        <v>-4.7327255517370936E-4</v>
      </c>
      <c r="C973" s="5">
        <f>prices!C974/prices!C973-1</f>
        <v>-8.8872946216947968E-3</v>
      </c>
      <c r="D973" s="5">
        <f>prices!D974/prices!D973-1</f>
        <v>5.6146610869880487E-3</v>
      </c>
      <c r="E973" s="5">
        <f>prices!E974/prices!E973-1</f>
        <v>9.1239609785882525E-3</v>
      </c>
      <c r="F973" s="5">
        <f>prices!F974/prices!F973-1</f>
        <v>-4.9838026414155134E-3</v>
      </c>
      <c r="G973" s="5">
        <f>prices!G974/prices!G973-1</f>
        <v>2.718785328891471E-3</v>
      </c>
      <c r="H973" s="5">
        <f>prices!H974/prices!H973-1</f>
        <v>-3.63122218138755E-2</v>
      </c>
      <c r="I973" s="5">
        <f>prices!I974/prices!I973-1</f>
        <v>2.0577158229396098E-2</v>
      </c>
      <c r="J973" s="5">
        <f>prices!J974/prices!J973-1</f>
        <v>2.6319334069664357E-3</v>
      </c>
      <c r="K973" s="8">
        <f>SUMPRODUCT(B973:I973,weights!$B$5:$I$5)</f>
        <v>-9.6127151079393632E-4</v>
      </c>
      <c r="L973" s="4">
        <f t="shared" si="30"/>
        <v>198.17305633578829</v>
      </c>
      <c r="M973" s="4">
        <f>L973/MAX(L$2:L973)-1</f>
        <v>-1.8484776469915976E-2</v>
      </c>
      <c r="N973" s="4">
        <f t="shared" si="29"/>
        <v>1.9759407584944322E-2</v>
      </c>
    </row>
    <row r="974" spans="1:14">
      <c r="A974" s="3">
        <f>prices!A975</f>
        <v>44904</v>
      </c>
      <c r="B974" s="5">
        <f>prices!B975/prices!B974-1</f>
        <v>-1.5160199699288057E-2</v>
      </c>
      <c r="C974" s="5">
        <f>prices!C975/prices!C974-1</f>
        <v>-1.7250710323366225E-2</v>
      </c>
      <c r="D974" s="5">
        <f>prices!D975/prices!D974-1</f>
        <v>7.1356823251627066E-3</v>
      </c>
      <c r="E974" s="5">
        <f>prices!E975/prices!E974-1</f>
        <v>-3.1387297942120918E-2</v>
      </c>
      <c r="F974" s="5">
        <f>prices!F975/prices!F974-1</f>
        <v>8.8368931344138257E-3</v>
      </c>
      <c r="G974" s="5">
        <f>prices!G975/prices!G974-1</f>
        <v>-7.9868682753827525E-3</v>
      </c>
      <c r="H974" s="5">
        <f>prices!H975/prices!H974-1</f>
        <v>1.2288265765527218E-2</v>
      </c>
      <c r="I974" s="5">
        <f>prices!I975/prices!I974-1</f>
        <v>-6.2974163339837297E-3</v>
      </c>
      <c r="J974" s="5">
        <f>prices!J975/prices!J974-1</f>
        <v>-6.058782278800745E-3</v>
      </c>
      <c r="K974" s="8">
        <f>SUMPRODUCT(B974:I974,weights!$B$5:$I$5)</f>
        <v>-5.7746437891960031E-3</v>
      </c>
      <c r="L974" s="4">
        <f t="shared" si="30"/>
        <v>197.02867752683284</v>
      </c>
      <c r="M974" s="4">
        <f>L974/MAX(L$2:L974)-1</f>
        <v>-2.415267725947523E-2</v>
      </c>
      <c r="N974" s="4">
        <f t="shared" si="29"/>
        <v>-3.7195882286760185E-3</v>
      </c>
    </row>
    <row r="975" spans="1:14">
      <c r="A975" s="3">
        <f>prices!A976</f>
        <v>44907</v>
      </c>
      <c r="B975" s="5">
        <f>prices!B976/prices!B975-1</f>
        <v>1.5351395121294686E-3</v>
      </c>
      <c r="C975" s="5">
        <f>prices!C976/prices!C975-1</f>
        <v>-1.9136779789357128E-3</v>
      </c>
      <c r="D975" s="5">
        <f>prices!D976/prices!D975-1</f>
        <v>7.7845707476296155E-3</v>
      </c>
      <c r="E975" s="5">
        <f>prices!E976/prices!E975-1</f>
        <v>-1.4083307305715609E-2</v>
      </c>
      <c r="F975" s="5">
        <f>prices!F976/prices!F975-1</f>
        <v>5.2840626994823392E-3</v>
      </c>
      <c r="G975" s="5">
        <f>prices!G976/prices!G975-1</f>
        <v>5.3867726951013495E-3</v>
      </c>
      <c r="H975" s="5">
        <f>prices!H976/prices!H975-1</f>
        <v>-5.4835232683473345E-3</v>
      </c>
      <c r="I975" s="5">
        <f>prices!I976/prices!I975-1</f>
        <v>4.4804984976585249E-3</v>
      </c>
      <c r="J975" s="5">
        <f>prices!J976/prices!J975-1</f>
        <v>2.9735194576385737E-5</v>
      </c>
      <c r="K975" s="8">
        <f>SUMPRODUCT(B975:I975,weights!$B$5:$I$5)</f>
        <v>9.5691258214773429E-4</v>
      </c>
      <c r="L975" s="4">
        <f t="shared" si="30"/>
        <v>197.2172167474022</v>
      </c>
      <c r="M975" s="4">
        <f>L975/MAX(L$2:L975)-1</f>
        <v>-2.3218876678089639E-2</v>
      </c>
      <c r="N975" s="4">
        <f t="shared" si="29"/>
        <v>-2.2989183458583806E-3</v>
      </c>
    </row>
    <row r="976" spans="1:14">
      <c r="A976" s="3">
        <f>prices!A977</f>
        <v>44908</v>
      </c>
      <c r="B976" s="5">
        <f>prices!B977/prices!B976-1</f>
        <v>4.5562498947260277E-3</v>
      </c>
      <c r="C976" s="5">
        <f>prices!C977/prices!C976-1</f>
        <v>1.3890421540498687E-2</v>
      </c>
      <c r="D976" s="5">
        <f>prices!D977/prices!D976-1</f>
        <v>2.7633185527924375E-3</v>
      </c>
      <c r="E976" s="5">
        <f>prices!E977/prices!E976-1</f>
        <v>1.6127638740892181E-2</v>
      </c>
      <c r="F976" s="5">
        <f>prices!F977/prices!F976-1</f>
        <v>6.9848661233991027E-3</v>
      </c>
      <c r="G976" s="5">
        <f>prices!G977/prices!G976-1</f>
        <v>-4.5085738586807533E-3</v>
      </c>
      <c r="H976" s="5">
        <f>prices!H977/prices!H976-1</f>
        <v>7.3341400536643953E-3</v>
      </c>
      <c r="I976" s="5">
        <f>prices!I977/prices!I976-1</f>
        <v>4.2492509794884725E-3</v>
      </c>
      <c r="J976" s="5">
        <f>prices!J977/prices!J976-1</f>
        <v>5.9928151093546767E-3</v>
      </c>
      <c r="K976" s="8">
        <f>SUMPRODUCT(B976:I976,weights!$B$5:$I$5)</f>
        <v>5.0227177851308192E-3</v>
      </c>
      <c r="L976" s="4">
        <f t="shared" si="30"/>
        <v>198.20778316949335</v>
      </c>
      <c r="M976" s="4">
        <f>L976/MAX(L$2:L976)-1</f>
        <v>-1.831278075780074E-2</v>
      </c>
      <c r="N976" s="4">
        <f t="shared" si="29"/>
        <v>3.4220168063845424E-3</v>
      </c>
    </row>
    <row r="977" spans="1:14">
      <c r="A977" s="3">
        <f>prices!A978</f>
        <v>44909</v>
      </c>
      <c r="B977" s="5">
        <f>prices!B978/prices!B977-1</f>
        <v>-3.6217607458143286E-3</v>
      </c>
      <c r="C977" s="5">
        <f>prices!C978/prices!C977-1</f>
        <v>9.9791845230807752E-3</v>
      </c>
      <c r="D977" s="5">
        <f>prices!D978/prices!D977-1</f>
        <v>8.472186618815547E-3</v>
      </c>
      <c r="E977" s="5">
        <f>prices!E978/prices!E977-1</f>
        <v>4.6127030014453396E-3</v>
      </c>
      <c r="F977" s="5">
        <f>prices!F978/prices!F977-1</f>
        <v>-5.6051847959348589E-4</v>
      </c>
      <c r="G977" s="5">
        <f>prices!G978/prices!G977-1</f>
        <v>2.4243930871610253E-3</v>
      </c>
      <c r="H977" s="5">
        <f>prices!H978/prices!H977-1</f>
        <v>5.6303012576777167E-3</v>
      </c>
      <c r="I977" s="5">
        <f>prices!I978/prices!I977-1</f>
        <v>1.0379762570700501E-2</v>
      </c>
      <c r="J977" s="5">
        <f>prices!J978/prices!J977-1</f>
        <v>2.8106190885639482E-3</v>
      </c>
      <c r="K977" s="8">
        <f>SUMPRODUCT(B977:I977,weights!$B$5:$I$5)</f>
        <v>4.7542377013581379E-3</v>
      </c>
      <c r="L977" s="4">
        <f t="shared" si="30"/>
        <v>199.15011008494037</v>
      </c>
      <c r="M977" s="4">
        <f>L977/MAX(L$2:L977)-1</f>
        <v>-1.3645606369138141E-2</v>
      </c>
      <c r="N977" s="4">
        <f t="shared" si="29"/>
        <v>6.9839322937905735E-3</v>
      </c>
    </row>
    <row r="978" spans="1:14">
      <c r="A978" s="3">
        <f>prices!A979</f>
        <v>44910</v>
      </c>
      <c r="B978" s="5">
        <f>prices!B979/prices!B978-1</f>
        <v>-1.420313512330984E-2</v>
      </c>
      <c r="C978" s="5">
        <f>prices!C979/prices!C978-1</f>
        <v>-1.7902244852599392E-2</v>
      </c>
      <c r="D978" s="5">
        <f>prices!D979/prices!D978-1</f>
        <v>-1.8327169202221549E-2</v>
      </c>
      <c r="E978" s="5">
        <f>prices!E979/prices!E978-1</f>
        <v>-2.4629186855969931E-2</v>
      </c>
      <c r="F978" s="5">
        <f>prices!F979/prices!F978-1</f>
        <v>-1.8963160293035242E-2</v>
      </c>
      <c r="G978" s="5">
        <f>prices!G979/prices!G978-1</f>
        <v>-6.648849723717154E-3</v>
      </c>
      <c r="H978" s="5">
        <f>prices!H979/prices!H978-1</f>
        <v>1.9528206832795103E-3</v>
      </c>
      <c r="I978" s="5">
        <f>prices!I979/prices!I978-1</f>
        <v>-8.1532026044821571E-3</v>
      </c>
      <c r="J978" s="5">
        <f>prices!J979/prices!J978-1</f>
        <v>-1.3150913972444056E-2</v>
      </c>
      <c r="K978" s="8">
        <f>SUMPRODUCT(B978:I978,weights!$B$5:$I$5)</f>
        <v>-1.1019229418052015E-2</v>
      </c>
      <c r="L978" s="4">
        <f t="shared" si="30"/>
        <v>196.95562933328409</v>
      </c>
      <c r="M978" s="4">
        <f>L978/MAX(L$2:L978)-1</f>
        <v>-2.451447172006016E-2</v>
      </c>
      <c r="N978" s="4">
        <f t="shared" si="29"/>
        <v>-1.3018701638761732E-3</v>
      </c>
    </row>
    <row r="979" spans="1:14">
      <c r="A979" s="3">
        <f>prices!A980</f>
        <v>44911</v>
      </c>
      <c r="B979" s="5">
        <f>prices!B980/prices!B979-1</f>
        <v>-4.9420018948608258E-3</v>
      </c>
      <c r="C979" s="5">
        <f>prices!C980/prices!C979-1</f>
        <v>-1.9620752323149304E-2</v>
      </c>
      <c r="D979" s="5">
        <f>prices!D980/prices!D979-1</f>
        <v>4.8162197853416355E-3</v>
      </c>
      <c r="E979" s="5">
        <f>prices!E980/prices!E979-1</f>
        <v>-1.188074422775165E-2</v>
      </c>
      <c r="F979" s="5">
        <f>prices!F980/prices!F979-1</f>
        <v>-1.1076175503787367E-2</v>
      </c>
      <c r="G979" s="5">
        <f>prices!G980/prices!G979-1</f>
        <v>-1.1456140542230653E-2</v>
      </c>
      <c r="H979" s="5">
        <f>prices!H980/prices!H979-1</f>
        <v>-8.5321224561730746E-3</v>
      </c>
      <c r="I979" s="5">
        <f>prices!I980/prices!I979-1</f>
        <v>-1.1736361250924698E-3</v>
      </c>
      <c r="J979" s="5">
        <f>prices!J980/prices!J979-1</f>
        <v>-7.9229319735649728E-3</v>
      </c>
      <c r="K979" s="8">
        <f>SUMPRODUCT(B979:I979,weights!$B$5:$I$5)</f>
        <v>-7.6714630971368176E-3</v>
      </c>
      <c r="L979" s="4">
        <f t="shared" si="30"/>
        <v>195.44469149108045</v>
      </c>
      <c r="M979" s="4">
        <f>L979/MAX(L$2:L979)-1</f>
        <v>-3.1997872952050699E-2</v>
      </c>
      <c r="N979" s="4">
        <f t="shared" si="29"/>
        <v>-4.2022468786179212E-3</v>
      </c>
    </row>
    <row r="980" spans="1:14">
      <c r="A980" s="3">
        <f>prices!A981</f>
        <v>44914</v>
      </c>
      <c r="B980" s="5">
        <f>prices!B981/prices!B980-1</f>
        <v>1.3132612798078425E-2</v>
      </c>
      <c r="C980" s="5">
        <f>prices!C981/prices!C980-1</f>
        <v>-1.1790506036907011E-2</v>
      </c>
      <c r="D980" s="5">
        <f>prices!D981/prices!D980-1</f>
        <v>3.1052299287470664E-3</v>
      </c>
      <c r="E980" s="5">
        <f>prices!E981/prices!E980-1</f>
        <v>-9.7549909255897349E-3</v>
      </c>
      <c r="F980" s="5">
        <f>prices!F981/prices!F980-1</f>
        <v>1.6113881060770385E-2</v>
      </c>
      <c r="G980" s="5">
        <f>prices!G981/prices!G980-1</f>
        <v>1.39108538250865E-2</v>
      </c>
      <c r="H980" s="5">
        <f>prices!H981/prices!H980-1</f>
        <v>-5.7300598101133193E-3</v>
      </c>
      <c r="I980" s="5">
        <f>prices!I981/prices!I980-1</f>
        <v>4.1412119851547136E-3</v>
      </c>
      <c r="J980" s="5">
        <f>prices!J981/prices!J980-1</f>
        <v>8.2899994526246523E-3</v>
      </c>
      <c r="K980" s="8">
        <f>SUMPRODUCT(B980:I980,weights!$B$5:$I$5)</f>
        <v>4.0434744741665429E-3</v>
      </c>
      <c r="L980" s="4">
        <f t="shared" si="30"/>
        <v>196.23496711223601</v>
      </c>
      <c r="M980" s="4">
        <f>L980/MAX(L$2:L980)-1</f>
        <v>-2.8083781060393331E-2</v>
      </c>
      <c r="N980" s="4">
        <f t="shared" si="29"/>
        <v>8.6619543569488311E-3</v>
      </c>
    </row>
    <row r="981" spans="1:14">
      <c r="A981" s="3">
        <f>prices!A982</f>
        <v>44915</v>
      </c>
      <c r="B981" s="5">
        <f>prices!B982/prices!B981-1</f>
        <v>8.6528773780596424E-3</v>
      </c>
      <c r="C981" s="5">
        <f>prices!C982/prices!C981-1</f>
        <v>1.3085011874551133E-2</v>
      </c>
      <c r="D981" s="5">
        <f>prices!D982/prices!D981-1</f>
        <v>-6.8977033345322125E-3</v>
      </c>
      <c r="E981" s="5">
        <f>prices!E982/prices!E981-1</f>
        <v>-2.956065476866776E-5</v>
      </c>
      <c r="F981" s="5">
        <f>prices!F982/prices!F981-1</f>
        <v>-1.0311477741431485E-3</v>
      </c>
      <c r="G981" s="5">
        <f>prices!G982/prices!G981-1</f>
        <v>-9.2401706807764272E-3</v>
      </c>
      <c r="H981" s="5">
        <f>prices!H982/prices!H981-1</f>
        <v>3.9962981659091845E-4</v>
      </c>
      <c r="I981" s="5">
        <f>prices!I982/prices!I981-1</f>
        <v>-9.5040575380780368E-3</v>
      </c>
      <c r="J981" s="5">
        <f>prices!J982/prices!J981-1</f>
        <v>-1.9082052827157359E-3</v>
      </c>
      <c r="K981" s="8">
        <f>SUMPRODUCT(B981:I981,weights!$B$5:$I$5)</f>
        <v>-1.9595588222741113E-3</v>
      </c>
      <c r="L981" s="4">
        <f t="shared" si="30"/>
        <v>195.85043315119253</v>
      </c>
      <c r="M981" s="4">
        <f>L981/MAX(L$2:L981)-1</f>
        <v>-2.9988308061727809E-2</v>
      </c>
      <c r="N981" s="4">
        <f t="shared" si="29"/>
        <v>5.4852718645403975E-4</v>
      </c>
    </row>
    <row r="982" spans="1:14">
      <c r="A982" s="3">
        <f>prices!A983</f>
        <v>44916</v>
      </c>
      <c r="B982" s="5">
        <f>prices!B983/prices!B982-1</f>
        <v>-1.4219401844996593E-2</v>
      </c>
      <c r="C982" s="5">
        <f>prices!C983/prices!C982-1</f>
        <v>7.5847034244709288E-3</v>
      </c>
      <c r="D982" s="5">
        <f>prices!D983/prices!D982-1</f>
        <v>-9.6747073659704252E-3</v>
      </c>
      <c r="E982" s="5">
        <f>prices!E983/prices!E982-1</f>
        <v>1.492857195645847E-3</v>
      </c>
      <c r="F982" s="5">
        <f>prices!F983/prices!F982-1</f>
        <v>-1.4700124577326945E-2</v>
      </c>
      <c r="G982" s="5">
        <f>prices!G983/prices!G982-1</f>
        <v>-2.0406419827214806E-2</v>
      </c>
      <c r="H982" s="5">
        <f>prices!H983/prices!H982-1</f>
        <v>1.7450539284738165E-2</v>
      </c>
      <c r="I982" s="5">
        <f>prices!I983/prices!I982-1</f>
        <v>-7.8327602435793731E-3</v>
      </c>
      <c r="J982" s="5">
        <f>prices!J983/prices!J982-1</f>
        <v>-1.0127656334136592E-2</v>
      </c>
      <c r="K982" s="8">
        <f>SUMPRODUCT(B982:I982,weights!$B$5:$I$5)</f>
        <v>-5.8435677402268963E-3</v>
      </c>
      <c r="L982" s="4">
        <f t="shared" si="30"/>
        <v>194.70596787812076</v>
      </c>
      <c r="M982" s="4">
        <f>L982/MAX(L$2:L982)-1</f>
        <v>-3.5656637092381205E-2</v>
      </c>
      <c r="N982" s="4">
        <f t="shared" si="29"/>
        <v>-6.6897788206529141E-3</v>
      </c>
    </row>
    <row r="983" spans="1:14">
      <c r="A983" s="3">
        <f>prices!A984</f>
        <v>44917</v>
      </c>
      <c r="B983" s="5">
        <f>prices!B984/prices!B983-1</f>
        <v>-2.5970929588979841E-3</v>
      </c>
      <c r="C983" s="5">
        <f>prices!C984/prices!C983-1</f>
        <v>-2.7079974341639446E-3</v>
      </c>
      <c r="D983" s="5">
        <f>prices!D984/prices!D983-1</f>
        <v>-3.4218396959525554E-3</v>
      </c>
      <c r="E983" s="5">
        <f>prices!E984/prices!E983-1</f>
        <v>8.2796484470122333E-3</v>
      </c>
      <c r="F983" s="5">
        <f>prices!F984/prices!F983-1</f>
        <v>-8.0557763167401486E-3</v>
      </c>
      <c r="G983" s="5">
        <f>prices!G984/prices!G983-1</f>
        <v>-1.9223150503687725E-3</v>
      </c>
      <c r="H983" s="5">
        <f>prices!H984/prices!H983-1</f>
        <v>5.0213873907383189E-3</v>
      </c>
      <c r="I983" s="5">
        <f>prices!I984/prices!I983-1</f>
        <v>-1.6936354351708816E-2</v>
      </c>
      <c r="J983" s="5">
        <f>prices!J984/prices!J983-1</f>
        <v>-3.9425026512299732E-3</v>
      </c>
      <c r="K983" s="8">
        <f>SUMPRODUCT(B983:I983,weights!$B$5:$I$5)</f>
        <v>-3.7471018373351041E-3</v>
      </c>
      <c r="L983" s="4">
        <f t="shared" si="30"/>
        <v>193.97638478814454</v>
      </c>
      <c r="M983" s="4">
        <f>L983/MAX(L$2:L983)-1</f>
        <v>-3.9270129879354299E-2</v>
      </c>
      <c r="N983" s="4">
        <f t="shared" ref="N983:N1046" si="31">L983/L963-1</f>
        <v>-2.3003293606226882E-2</v>
      </c>
    </row>
    <row r="984" spans="1:14">
      <c r="A984" s="3">
        <f>prices!A985</f>
        <v>44918</v>
      </c>
      <c r="B984" s="5">
        <f>prices!B985/prices!B984-1</f>
        <v>-2.9325388017142684E-2</v>
      </c>
      <c r="C984" s="5">
        <f>prices!C985/prices!C984-1</f>
        <v>-9.6167218312797065E-3</v>
      </c>
      <c r="D984" s="5">
        <f>prices!D985/prices!D984-1</f>
        <v>-8.9378153463075538E-3</v>
      </c>
      <c r="E984" s="5">
        <f>prices!E985/prices!E984-1</f>
        <v>-1.639404252204768E-2</v>
      </c>
      <c r="F984" s="5">
        <f>prices!F985/prices!F984-1</f>
        <v>-1.7298517790159895E-2</v>
      </c>
      <c r="G984" s="5">
        <f>prices!G985/prices!G984-1</f>
        <v>-2.3127188301597212E-2</v>
      </c>
      <c r="H984" s="5">
        <f>prices!H985/prices!H984-1</f>
        <v>-8.9953943580886042E-3</v>
      </c>
      <c r="I984" s="5">
        <f>prices!I985/prices!I984-1</f>
        <v>-2.2373435484347448E-2</v>
      </c>
      <c r="J984" s="5">
        <f>prices!J985/prices!J984-1</f>
        <v>-1.7683224519855267E-2</v>
      </c>
      <c r="K984" s="8">
        <f>SUMPRODUCT(B984:I984,weights!$B$5:$I$5)</f>
        <v>-1.8337090709608771E-2</v>
      </c>
      <c r="L984" s="4">
        <f t="shared" si="30"/>
        <v>190.41942222476237</v>
      </c>
      <c r="M984" s="4">
        <f>L984/MAX(L$2:L984)-1</f>
        <v>-5.6887120655187196E-2</v>
      </c>
      <c r="N984" s="4">
        <f t="shared" si="31"/>
        <v>-4.4702501242496417E-2</v>
      </c>
    </row>
    <row r="985" spans="1:14">
      <c r="A985" s="3">
        <f>prices!A986</f>
        <v>44921</v>
      </c>
      <c r="B985" s="5">
        <f>prices!B986/prices!B985-1</f>
        <v>8.7335860473707339E-3</v>
      </c>
      <c r="C985" s="5">
        <f>prices!C986/prices!C985-1</f>
        <v>7.6037885542972194E-3</v>
      </c>
      <c r="D985" s="5">
        <f>prices!D986/prices!D985-1</f>
        <v>1.9901352763048274E-2</v>
      </c>
      <c r="E985" s="5">
        <f>prices!E986/prices!E985-1</f>
        <v>3.5417984300010197E-3</v>
      </c>
      <c r="F985" s="5">
        <f>prices!F986/prices!F985-1</f>
        <v>2.4199525644826636E-2</v>
      </c>
      <c r="G985" s="5">
        <f>prices!G986/prices!G985-1</f>
        <v>1.4150141769751601E-2</v>
      </c>
      <c r="H985" s="5">
        <f>prices!H986/prices!H985-1</f>
        <v>-1.5041961886781419E-3</v>
      </c>
      <c r="I985" s="5">
        <f>prices!I986/prices!I985-1</f>
        <v>1.3724226155101382E-2</v>
      </c>
      <c r="J985" s="5">
        <f>prices!J986/prices!J985-1</f>
        <v>1.1669699216029894E-2</v>
      </c>
      <c r="K985" s="8">
        <f>SUMPRODUCT(B985:I985,weights!$B$5:$I$5)</f>
        <v>1.0809662090302619E-2</v>
      </c>
      <c r="L985" s="4">
        <f t="shared" si="30"/>
        <v>192.47779183444271</v>
      </c>
      <c r="M985" s="4">
        <f>L985/MAX(L$2:L985)-1</f>
        <v>-4.6692389116457456E-2</v>
      </c>
      <c r="N985" s="4">
        <f t="shared" si="31"/>
        <v>-3.686457252258124E-2</v>
      </c>
    </row>
    <row r="986" spans="1:14">
      <c r="A986" s="3">
        <f>prices!A987</f>
        <v>44922</v>
      </c>
      <c r="B986" s="5">
        <f>prices!B987/prices!B986-1</f>
        <v>8.1784256966483948E-3</v>
      </c>
      <c r="C986" s="5">
        <f>prices!C987/prices!C986-1</f>
        <v>2.0277050002788233E-3</v>
      </c>
      <c r="D986" s="5">
        <f>prices!D987/prices!D986-1</f>
        <v>1.0113058811325182E-3</v>
      </c>
      <c r="E986" s="5">
        <f>prices!E987/prices!E986-1</f>
        <v>8.2819879736935054E-3</v>
      </c>
      <c r="F986" s="5">
        <f>prices!F987/prices!F986-1</f>
        <v>-4.3420052827730649E-3</v>
      </c>
      <c r="G986" s="5">
        <f>prices!G987/prices!G986-1</f>
        <v>5.8915357681486036E-3</v>
      </c>
      <c r="H986" s="5">
        <f>prices!H987/prices!H986-1</f>
        <v>1.0389394506082894E-4</v>
      </c>
      <c r="I986" s="5">
        <f>prices!I987/prices!I986-1</f>
        <v>1.5803933843073548E-2</v>
      </c>
      <c r="J986" s="5">
        <f>prices!J987/prices!J986-1</f>
        <v>6.5335894219133994E-3</v>
      </c>
      <c r="K986" s="8">
        <f>SUMPRODUCT(B986:I986,weights!$B$5:$I$5)</f>
        <v>5.9072584571092969E-3</v>
      </c>
      <c r="L986" s="4">
        <f t="shared" si="30"/>
        <v>193.61480789806245</v>
      </c>
      <c r="M986" s="4">
        <f>L986/MAX(L$2:L986)-1</f>
        <v>-4.1060954669838945E-2</v>
      </c>
      <c r="N986" s="4">
        <f t="shared" si="31"/>
        <v>-3.1423728856823208E-2</v>
      </c>
    </row>
    <row r="987" spans="1:14">
      <c r="A987" s="3">
        <f>prices!A988</f>
        <v>44923</v>
      </c>
      <c r="B987" s="5">
        <f>prices!B988/prices!B987-1</f>
        <v>-9.5131021361161139E-5</v>
      </c>
      <c r="C987" s="5">
        <f>prices!C988/prices!C987-1</f>
        <v>-7.3711953158139831E-4</v>
      </c>
      <c r="D987" s="5">
        <f>prices!D988/prices!D987-1</f>
        <v>-7.9009403414231905E-4</v>
      </c>
      <c r="E987" s="5">
        <f>prices!E988/prices!E987-1</f>
        <v>-3.1032149895579009E-3</v>
      </c>
      <c r="F987" s="5">
        <f>prices!F988/prices!F987-1</f>
        <v>3.7431406039900583E-3</v>
      </c>
      <c r="G987" s="5">
        <f>prices!G988/prices!G987-1</f>
        <v>1.3918585294548702E-2</v>
      </c>
      <c r="H987" s="5">
        <f>prices!H988/prices!H987-1</f>
        <v>-5.1526043506264774E-3</v>
      </c>
      <c r="I987" s="5">
        <f>prices!I988/prices!I987-1</f>
        <v>-1.4134794091753555E-3</v>
      </c>
      <c r="J987" s="5">
        <f>prices!J988/prices!J987-1</f>
        <v>-5.4047197542506087E-4</v>
      </c>
      <c r="K987" s="8">
        <f>SUMPRODUCT(B987:I987,weights!$B$5:$I$5)</f>
        <v>1.5642615456491764E-3</v>
      </c>
      <c r="L987" s="4">
        <f t="shared" si="30"/>
        <v>193.91767209672565</v>
      </c>
      <c r="M987" s="4">
        <f>L987/MAX(L$2:L987)-1</f>
        <v>-3.9560923196607312E-2</v>
      </c>
      <c r="N987" s="4">
        <f t="shared" si="31"/>
        <v>-3.3920747461982592E-2</v>
      </c>
    </row>
    <row r="988" spans="1:14">
      <c r="A988" s="3">
        <f>prices!A989</f>
        <v>44924</v>
      </c>
      <c r="B988" s="5">
        <f>prices!B989/prices!B988-1</f>
        <v>-4.5840216573400649E-4</v>
      </c>
      <c r="C988" s="5">
        <f>prices!C989/prices!C988-1</f>
        <v>3.5769709875639322E-3</v>
      </c>
      <c r="D988" s="5">
        <f>prices!D989/prices!D988-1</f>
        <v>7.0516559725191108E-3</v>
      </c>
      <c r="E988" s="5">
        <f>prices!E989/prices!E988-1</f>
        <v>4.9053597509698399E-3</v>
      </c>
      <c r="F988" s="5">
        <f>prices!F989/prices!F988-1</f>
        <v>2.8602461984070793E-3</v>
      </c>
      <c r="G988" s="5">
        <f>prices!G989/prices!G988-1</f>
        <v>1.7517656636634182E-3</v>
      </c>
      <c r="H988" s="5">
        <f>prices!H989/prices!H988-1</f>
        <v>5.5760917235763152E-3</v>
      </c>
      <c r="I988" s="5">
        <f>prices!I989/prices!I988-1</f>
        <v>-4.8096938350695728E-3</v>
      </c>
      <c r="J988" s="5">
        <f>prices!J989/prices!J988-1</f>
        <v>3.7798317009243299E-3</v>
      </c>
      <c r="K988" s="8">
        <f>SUMPRODUCT(B988:I988,weights!$B$5:$I$5)</f>
        <v>1.6689693519545653E-3</v>
      </c>
      <c r="L988" s="4">
        <f t="shared" si="30"/>
        <v>194.24131474825745</v>
      </c>
      <c r="M988" s="4">
        <f>L988/MAX(L$2:L988)-1</f>
        <v>-3.7957979813002973E-2</v>
      </c>
      <c r="N988" s="4">
        <f t="shared" si="31"/>
        <v>-3.7957979813002973E-2</v>
      </c>
    </row>
    <row r="989" spans="1:14">
      <c r="A989" s="3">
        <f>prices!A990</f>
        <v>44925</v>
      </c>
      <c r="B989" s="5">
        <f>prices!B990/prices!B989-1</f>
        <v>1.5402454008963673E-3</v>
      </c>
      <c r="C989" s="5">
        <f>prices!C990/prices!C989-1</f>
        <v>-3.6855718357128309E-3</v>
      </c>
      <c r="D989" s="5">
        <f>prices!D990/prices!D989-1</f>
        <v>-8.0062814555471595E-3</v>
      </c>
      <c r="E989" s="5">
        <f>prices!E990/prices!E989-1</f>
        <v>-6.1659974601961931E-3</v>
      </c>
      <c r="F989" s="5">
        <f>prices!F990/prices!F989-1</f>
        <v>-1.1336149319469913E-2</v>
      </c>
      <c r="G989" s="5">
        <f>prices!G990/prices!G989-1</f>
        <v>-4.8835411099202863E-3</v>
      </c>
      <c r="H989" s="5">
        <f>prices!H990/prices!H989-1</f>
        <v>8.515057113187563E-4</v>
      </c>
      <c r="I989" s="5">
        <f>prices!I990/prices!I989-1</f>
        <v>-1.1890407453159391E-2</v>
      </c>
      <c r="J989" s="5">
        <f>prices!J990/prices!J989-1</f>
        <v>-4.7111208839536456E-3</v>
      </c>
      <c r="K989" s="8">
        <f>SUMPRODUCT(B989:I989,weights!$B$5:$I$5)</f>
        <v>-5.3564036056776461E-3</v>
      </c>
      <c r="L989" s="4">
        <f t="shared" si="30"/>
        <v>193.20087986956833</v>
      </c>
      <c r="M989" s="4">
        <f>L989/MAX(L$2:L989)-1</f>
        <v>-4.3111065158746076E-2</v>
      </c>
      <c r="N989" s="4">
        <f t="shared" si="31"/>
        <v>-3.4524238610881386E-2</v>
      </c>
    </row>
    <row r="990" spans="1:14">
      <c r="A990" s="3">
        <f>prices!A991</f>
        <v>44928</v>
      </c>
      <c r="B990" s="5">
        <f>prices!B991/prices!B990-1</f>
        <v>1.1266242742604238E-2</v>
      </c>
      <c r="C990" s="5">
        <f>prices!C991/prices!C990-1</f>
        <v>1.45810641044819E-3</v>
      </c>
      <c r="D990" s="5">
        <f>prices!D991/prices!D990-1</f>
        <v>3.3736878300705264E-4</v>
      </c>
      <c r="E990" s="5">
        <f>prices!E991/prices!E990-1</f>
        <v>1.0480755737087177E-2</v>
      </c>
      <c r="F990" s="5">
        <f>prices!F991/prices!F990-1</f>
        <v>3.9072484937008323E-3</v>
      </c>
      <c r="G990" s="5">
        <f>prices!G991/prices!G990-1</f>
        <v>1.0360292814590721E-3</v>
      </c>
      <c r="H990" s="5">
        <f>prices!H991/prices!H990-1</f>
        <v>-4.3887862878960737E-3</v>
      </c>
      <c r="I990" s="5">
        <f>prices!I991/prices!I990-1</f>
        <v>1.7482430406479121E-3</v>
      </c>
      <c r="J990" s="5">
        <f>prices!J991/prices!J990-1</f>
        <v>5.0896698756719427E-3</v>
      </c>
      <c r="K990" s="8">
        <f>SUMPRODUCT(B990:I990,weights!$B$5:$I$5)</f>
        <v>2.6860154469554062E-3</v>
      </c>
      <c r="L990" s="4">
        <f t="shared" si="30"/>
        <v>193.71982041726338</v>
      </c>
      <c r="M990" s="4">
        <f>L990/MAX(L$2:L990)-1</f>
        <v>-4.0540846698741584E-2</v>
      </c>
      <c r="N990" s="4">
        <f t="shared" si="31"/>
        <v>-2.9477564478483043E-2</v>
      </c>
    </row>
    <row r="991" spans="1:14">
      <c r="A991" s="3">
        <f>prices!A992</f>
        <v>44929</v>
      </c>
      <c r="B991" s="5">
        <f>prices!B992/prices!B991-1</f>
        <v>-7.3217825165743378E-3</v>
      </c>
      <c r="C991" s="5">
        <f>prices!C992/prices!C991-1</f>
        <v>1.5299988185337288E-2</v>
      </c>
      <c r="D991" s="5">
        <f>prices!D992/prices!D991-1</f>
        <v>6.5375585332003716E-3</v>
      </c>
      <c r="E991" s="5">
        <f>prices!E992/prices!E991-1</f>
        <v>-9.5022293691982007E-4</v>
      </c>
      <c r="F991" s="5">
        <f>prices!F992/prices!F991-1</f>
        <v>-5.2378873854211916E-3</v>
      </c>
      <c r="G991" s="5">
        <f>prices!G992/prices!G991-1</f>
        <v>-2.4450240974147608E-3</v>
      </c>
      <c r="H991" s="5">
        <f>prices!H992/prices!H991-1</f>
        <v>1.2130180597963669E-2</v>
      </c>
      <c r="I991" s="5">
        <f>prices!I992/prices!I991-1</f>
        <v>-2.3865873789308267E-4</v>
      </c>
      <c r="J991" s="5">
        <f>prices!J992/prices!J991-1</f>
        <v>1.9288416783669327E-3</v>
      </c>
      <c r="K991" s="8">
        <f>SUMPRODUCT(B991:I991,weights!$B$5:$I$5)</f>
        <v>1.6860117801816349E-3</v>
      </c>
      <c r="L991" s="4">
        <f t="shared" si="30"/>
        <v>194.04643431654154</v>
      </c>
      <c r="M991" s="4">
        <f>L991/MAX(L$2:L991)-1</f>
        <v>-3.8923187263672721E-2</v>
      </c>
      <c r="N991" s="4">
        <f t="shared" si="31"/>
        <v>-2.4172703883060365E-2</v>
      </c>
    </row>
    <row r="992" spans="1:14">
      <c r="A992" s="3">
        <f>prices!A993</f>
        <v>44930</v>
      </c>
      <c r="B992" s="5">
        <f>prices!B993/prices!B992-1</f>
        <v>-1.5052800991470994E-2</v>
      </c>
      <c r="C992" s="5">
        <f>prices!C993/prices!C992-1</f>
        <v>9.9595798494767074E-4</v>
      </c>
      <c r="D992" s="5">
        <f>prices!D993/prices!D992-1</f>
        <v>-1.7874402360915975E-2</v>
      </c>
      <c r="E992" s="5">
        <f>prices!E993/prices!E992-1</f>
        <v>-1.8232367573895125E-2</v>
      </c>
      <c r="F992" s="5">
        <f>prices!F993/prices!F992-1</f>
        <v>-1.2395787626152011E-2</v>
      </c>
      <c r="G992" s="5">
        <f>prices!G993/prices!G992-1</f>
        <v>4.7779316644080971E-3</v>
      </c>
      <c r="H992" s="5">
        <f>prices!H993/prices!H992-1</f>
        <v>-4.9524829340116261E-3</v>
      </c>
      <c r="I992" s="5">
        <f>prices!I993/prices!I992-1</f>
        <v>-8.8076150311324763E-3</v>
      </c>
      <c r="J992" s="5">
        <f>prices!J993/prices!J992-1</f>
        <v>-1.0398984234240349E-2</v>
      </c>
      <c r="K992" s="8">
        <f>SUMPRODUCT(B992:I992,weights!$B$5:$I$5)</f>
        <v>-7.2927271589276451E-3</v>
      </c>
      <c r="L992" s="4">
        <f t="shared" si="30"/>
        <v>192.63130661490823</v>
      </c>
      <c r="M992" s="4">
        <f>L992/MAX(L$2:L992)-1</f>
        <v>-4.59320582377305E-2</v>
      </c>
      <c r="N992" s="4">
        <f t="shared" si="31"/>
        <v>-2.8898583964472868E-2</v>
      </c>
    </row>
    <row r="993" spans="1:14">
      <c r="A993" s="3">
        <f>prices!A994</f>
        <v>44931</v>
      </c>
      <c r="B993" s="5">
        <f>prices!B994/prices!B993-1</f>
        <v>-1.7913003967076069E-3</v>
      </c>
      <c r="C993" s="5">
        <f>prices!C994/prices!C993-1</f>
        <v>-1.0701879154242366E-3</v>
      </c>
      <c r="D993" s="5">
        <f>prices!D994/prices!D993-1</f>
        <v>-6.4296024143812858E-3</v>
      </c>
      <c r="E993" s="5">
        <f>prices!E994/prices!E993-1</f>
        <v>-1.310847467731846E-2</v>
      </c>
      <c r="F993" s="5">
        <f>prices!F994/prices!F993-1</f>
        <v>1.9734162686511958E-2</v>
      </c>
      <c r="G993" s="5">
        <f>prices!G994/prices!G993-1</f>
        <v>4.546476326456883E-3</v>
      </c>
      <c r="H993" s="5">
        <f>prices!H994/prices!H993-1</f>
        <v>1.2054800190393511E-2</v>
      </c>
      <c r="I993" s="5">
        <f>prices!I994/prices!I993-1</f>
        <v>8.1131933468805428E-3</v>
      </c>
      <c r="J993" s="5">
        <f>prices!J994/prices!J993-1</f>
        <v>-2.8155041165662809E-3</v>
      </c>
      <c r="K993" s="8">
        <f>SUMPRODUCT(B993:I993,weights!$B$5:$I$5)</f>
        <v>4.0391692469896514E-3</v>
      </c>
      <c r="L993" s="4">
        <f t="shared" si="30"/>
        <v>193.40937706459459</v>
      </c>
      <c r="M993" s="4">
        <f>L993/MAX(L$2:L993)-1</f>
        <v>-4.207841634782572E-2</v>
      </c>
      <c r="N993" s="4">
        <f t="shared" si="31"/>
        <v>-2.4037976500307034E-2</v>
      </c>
    </row>
    <row r="994" spans="1:14">
      <c r="A994" s="3">
        <f>prices!A995</f>
        <v>44932</v>
      </c>
      <c r="B994" s="5">
        <f>prices!B995/prices!B994-1</f>
        <v>9.0951267977976702E-3</v>
      </c>
      <c r="C994" s="5">
        <f>prices!C995/prices!C994-1</f>
        <v>-3.0065820323864845E-2</v>
      </c>
      <c r="D994" s="5">
        <f>prices!D995/prices!D994-1</f>
        <v>-3.3148441627046665E-3</v>
      </c>
      <c r="E994" s="5">
        <f>prices!E995/prices!E994-1</f>
        <v>-1.8100265047685915E-2</v>
      </c>
      <c r="F994" s="5">
        <f>prices!F995/prices!F994-1</f>
        <v>4.7926802701327986E-3</v>
      </c>
      <c r="G994" s="5">
        <f>prices!G995/prices!G994-1</f>
        <v>-9.2239330447215773E-3</v>
      </c>
      <c r="H994" s="5">
        <f>prices!H995/prices!H994-1</f>
        <v>-7.3818847321767134E-3</v>
      </c>
      <c r="I994" s="5">
        <f>prices!I995/prices!I994-1</f>
        <v>-3.8323329451228627E-4</v>
      </c>
      <c r="J994" s="5">
        <f>prices!J995/prices!J994-1</f>
        <v>-7.3754387330030591E-3</v>
      </c>
      <c r="K994" s="8">
        <f>SUMPRODUCT(B994:I994,weights!$B$5:$I$5)</f>
        <v>-5.8433977142874982E-3</v>
      </c>
      <c r="L994" s="4">
        <f t="shared" si="30"/>
        <v>192.27920915273356</v>
      </c>
      <c r="M994" s="4">
        <f>L994/MAX(L$2:L994)-1</f>
        <v>-4.7675933140205573E-2</v>
      </c>
      <c r="N994" s="4">
        <f t="shared" si="31"/>
        <v>-2.4105467456393304E-2</v>
      </c>
    </row>
    <row r="995" spans="1:14">
      <c r="A995" s="3">
        <f>prices!A996</f>
        <v>44935</v>
      </c>
      <c r="B995" s="5">
        <f>prices!B996/prices!B995-1</f>
        <v>2.3604219438564833E-2</v>
      </c>
      <c r="C995" s="5">
        <f>prices!C996/prices!C995-1</f>
        <v>3.3753859726510793E-2</v>
      </c>
      <c r="D995" s="5">
        <f>prices!D996/prices!D995-1</f>
        <v>1.9478196345519283E-3</v>
      </c>
      <c r="E995" s="5">
        <f>prices!E996/prices!E995-1</f>
        <v>2.4816968130921602E-2</v>
      </c>
      <c r="F995" s="5">
        <f>prices!F996/prices!F995-1</f>
        <v>8.9614800896149482E-3</v>
      </c>
      <c r="G995" s="5">
        <f>prices!G996/prices!G995-1</f>
        <v>-7.2224835167289392E-4</v>
      </c>
      <c r="H995" s="5">
        <f>prices!H996/prices!H995-1</f>
        <v>8.075397847247201E-3</v>
      </c>
      <c r="I995" s="5">
        <f>prices!I996/prices!I995-1</f>
        <v>1.6848813761856096E-2</v>
      </c>
      <c r="J995" s="5">
        <f>prices!J996/prices!J995-1</f>
        <v>1.3536251116355702E-2</v>
      </c>
      <c r="K995" s="8">
        <f>SUMPRODUCT(B995:I995,weights!$B$5:$I$5)</f>
        <v>1.3361947877943665E-2</v>
      </c>
      <c r="L995" s="4">
        <f t="shared" si="30"/>
        <v>194.84843392344462</v>
      </c>
      <c r="M995" s="4">
        <f>L995/MAX(L$2:L995)-1</f>
        <v>-3.4951028595913591E-2</v>
      </c>
      <c r="N995" s="4">
        <f t="shared" si="31"/>
        <v>-1.2011034650141861E-2</v>
      </c>
    </row>
    <row r="996" spans="1:14">
      <c r="A996" s="3">
        <f>prices!A997</f>
        <v>44936</v>
      </c>
      <c r="B996" s="5">
        <f>prices!B997/prices!B996-1</f>
        <v>-1.478003678059614E-2</v>
      </c>
      <c r="C996" s="5">
        <f>prices!C997/prices!C996-1</f>
        <v>-1.0104458250836279E-2</v>
      </c>
      <c r="D996" s="5">
        <f>prices!D997/prices!D996-1</f>
        <v>-1.8276555226407032E-2</v>
      </c>
      <c r="E996" s="5">
        <f>prices!E997/prices!E996-1</f>
        <v>-9.8980181451158167E-3</v>
      </c>
      <c r="F996" s="5">
        <f>prices!F997/prices!F996-1</f>
        <v>-1.3752596518874172E-2</v>
      </c>
      <c r="G996" s="5">
        <f>prices!G997/prices!G996-1</f>
        <v>-1.000950033220116E-2</v>
      </c>
      <c r="H996" s="5">
        <f>prices!H997/prices!H996-1</f>
        <v>-4.9147329593640654E-3</v>
      </c>
      <c r="I996" s="5">
        <f>prices!I997/prices!I996-1</f>
        <v>-7.0949767173124068E-3</v>
      </c>
      <c r="J996" s="5">
        <f>prices!J997/prices!J996-1</f>
        <v>-1.0333569045146151E-2</v>
      </c>
      <c r="K996" s="8">
        <f>SUMPRODUCT(B996:I996,weights!$B$5:$I$5)</f>
        <v>-1.0200666480592526E-2</v>
      </c>
      <c r="L996" s="4">
        <f t="shared" si="30"/>
        <v>192.86085003472579</v>
      </c>
      <c r="M996" s="4">
        <f>L996/MAX(L$2:L996)-1</f>
        <v>-4.4795171290645586E-2</v>
      </c>
      <c r="N996" s="4">
        <f t="shared" si="31"/>
        <v>-2.6976403495695411E-2</v>
      </c>
    </row>
    <row r="997" spans="1:14">
      <c r="A997" s="3">
        <f>prices!A998</f>
        <v>44937</v>
      </c>
      <c r="B997" s="5">
        <f>prices!B998/prices!B997-1</f>
        <v>-1.2610427257791268E-2</v>
      </c>
      <c r="C997" s="5">
        <f>prices!C998/prices!C997-1</f>
        <v>1.2869853093316674E-2</v>
      </c>
      <c r="D997" s="5">
        <f>prices!D998/prices!D997-1</f>
        <v>1.4400409515855195E-2</v>
      </c>
      <c r="E997" s="5">
        <f>prices!E998/prices!E997-1</f>
        <v>1.015613157495876E-3</v>
      </c>
      <c r="F997" s="5">
        <f>prices!F998/prices!F997-1</f>
        <v>-4.8296898830706425E-3</v>
      </c>
      <c r="G997" s="5">
        <f>prices!G998/prices!G997-1</f>
        <v>-1.0487032332925361E-3</v>
      </c>
      <c r="H997" s="5">
        <f>prices!H998/prices!H997-1</f>
        <v>1.5956791391136482E-2</v>
      </c>
      <c r="I997" s="5">
        <f>prices!I998/prices!I997-1</f>
        <v>8.8766150507939567E-3</v>
      </c>
      <c r="J997" s="5">
        <f>prices!J998/prices!J997-1</f>
        <v>-1.0299121085846075E-3</v>
      </c>
      <c r="K997" s="8">
        <f>SUMPRODUCT(B997:I997,weights!$B$5:$I$5)</f>
        <v>4.2290924910580521E-3</v>
      </c>
      <c r="L997" s="4">
        <f t="shared" si="30"/>
        <v>193.67647640742669</v>
      </c>
      <c r="M997" s="4">
        <f>L997/MAX(L$2:L997)-1</f>
        <v>-4.0755521722128596E-2</v>
      </c>
      <c r="N997" s="4">
        <f t="shared" si="31"/>
        <v>-2.7484964357685215E-2</v>
      </c>
    </row>
    <row r="998" spans="1:14">
      <c r="A998" s="3">
        <f>prices!A999</f>
        <v>44938</v>
      </c>
      <c r="B998" s="5">
        <f>prices!B999/prices!B998-1</f>
        <v>-2.1596522254262229E-2</v>
      </c>
      <c r="C998" s="5">
        <f>prices!C999/prices!C998-1</f>
        <v>1.6989431824372403E-3</v>
      </c>
      <c r="D998" s="5">
        <f>prices!D999/prices!D998-1</f>
        <v>5.3517124151760687E-3</v>
      </c>
      <c r="E998" s="5">
        <f>prices!E999/prices!E998-1</f>
        <v>6.3600708693611896E-3</v>
      </c>
      <c r="F998" s="5">
        <f>prices!F999/prices!F998-1</f>
        <v>-5.8748403575989983E-3</v>
      </c>
      <c r="G998" s="5">
        <f>prices!G999/prices!G998-1</f>
        <v>1.0229311888529935E-2</v>
      </c>
      <c r="H998" s="5">
        <f>prices!H999/prices!H998-1</f>
        <v>4.7199369327486362E-3</v>
      </c>
      <c r="I998" s="5">
        <f>prices!I999/prices!I998-1</f>
        <v>1.6184377749535628E-2</v>
      </c>
      <c r="J998" s="5">
        <f>prices!J999/prices!J998-1</f>
        <v>-2.0954754494096894E-3</v>
      </c>
      <c r="K998" s="8">
        <f>SUMPRODUCT(B998:I998,weights!$B$5:$I$5)</f>
        <v>3.7344225437147185E-3</v>
      </c>
      <c r="L998" s="4">
        <f t="shared" si="30"/>
        <v>194.39974620710984</v>
      </c>
      <c r="M998" s="4">
        <f>L998/MAX(L$2:L998)-1</f>
        <v>-3.7173297517513637E-2</v>
      </c>
      <c r="N998" s="4">
        <f t="shared" si="31"/>
        <v>-1.2976948842874814E-2</v>
      </c>
    </row>
    <row r="999" spans="1:14">
      <c r="A999" s="3">
        <f>prices!A1000</f>
        <v>44939</v>
      </c>
      <c r="B999" s="5">
        <f>prices!B1000/prices!B999-1</f>
        <v>-1.6116394201659556E-3</v>
      </c>
      <c r="C999" s="5">
        <f>prices!C1000/prices!C999-1</f>
        <v>1.2055973434031975E-2</v>
      </c>
      <c r="D999" s="5">
        <f>prices!D1000/prices!D999-1</f>
        <v>7.7933056825085778E-4</v>
      </c>
      <c r="E999" s="5">
        <f>prices!E1000/prices!E999-1</f>
        <v>1.5566456505710313E-2</v>
      </c>
      <c r="F999" s="5">
        <f>prices!F1000/prices!F999-1</f>
        <v>-3.3401849948613282E-3</v>
      </c>
      <c r="G999" s="5">
        <f>prices!G1000/prices!G999-1</f>
        <v>1.0061094986233421E-2</v>
      </c>
      <c r="H999" s="5">
        <f>prices!H1000/prices!H999-1</f>
        <v>-1.2071341629028565E-3</v>
      </c>
      <c r="I999" s="5">
        <f>prices!I1000/prices!I999-1</f>
        <v>-2.9390401700889468E-3</v>
      </c>
      <c r="J999" s="5">
        <f>prices!J1000/prices!J999-1</f>
        <v>5.5100738036306662E-3</v>
      </c>
      <c r="K999" s="8">
        <f>SUMPRODUCT(B999:I999,weights!$B$5:$I$5)</f>
        <v>3.1459140582377541E-3</v>
      </c>
      <c r="L999" s="4">
        <f t="shared" si="30"/>
        <v>195.01131110162063</v>
      </c>
      <c r="M999" s="4">
        <f>L999/MAX(L$2:L999)-1</f>
        <v>-3.4144327458527357E-2</v>
      </c>
      <c r="N999" s="4">
        <f t="shared" si="31"/>
        <v>-2.2174068077954745E-3</v>
      </c>
    </row>
    <row r="1000" spans="1:14">
      <c r="A1000" s="3">
        <f>prices!A1001</f>
        <v>44942</v>
      </c>
      <c r="B1000" s="5">
        <f>prices!B1001/prices!B1000-1</f>
        <v>-9.5249137139137297E-3</v>
      </c>
      <c r="C1000" s="5">
        <f>prices!C1001/prices!C1000-1</f>
        <v>1.0454798863506642E-2</v>
      </c>
      <c r="D1000" s="5">
        <f>prices!D1001/prices!D1000-1</f>
        <v>-9.5954596449547847E-3</v>
      </c>
      <c r="E1000" s="5">
        <f>prices!E1001/prices!E1000-1</f>
        <v>1.4527755346969817E-2</v>
      </c>
      <c r="F1000" s="5">
        <f>prices!F1001/prices!F1000-1</f>
        <v>4.4194011711413683E-3</v>
      </c>
      <c r="G1000" s="5">
        <f>prices!G1001/prices!G1000-1</f>
        <v>-8.6711568967448027E-3</v>
      </c>
      <c r="H1000" s="5">
        <f>prices!H1001/prices!H1000-1</f>
        <v>3.7264953821671831E-3</v>
      </c>
      <c r="I1000" s="5">
        <f>prices!I1001/prices!I1000-1</f>
        <v>-7.5212273253570938E-3</v>
      </c>
      <c r="J1000" s="5">
        <f>prices!J1001/prices!J1000-1</f>
        <v>-3.4388469977613134E-3</v>
      </c>
      <c r="K1000" s="8">
        <f>SUMPRODUCT(B1000:I1000,weights!$B$5:$I$5)</f>
        <v>-2.012178818676645E-3</v>
      </c>
      <c r="L1000" s="4">
        <f t="shared" si="30"/>
        <v>194.61891347201959</v>
      </c>
      <c r="M1000" s="4">
        <f>L1000/MAX(L$2:L1000)-1</f>
        <v>-3.6087801784714046E-2</v>
      </c>
      <c r="N1000" s="4">
        <f t="shared" si="31"/>
        <v>-8.235299060091128E-3</v>
      </c>
    </row>
    <row r="1001" spans="1:14">
      <c r="A1001" s="3">
        <f>prices!A1002</f>
        <v>44943</v>
      </c>
      <c r="B1001" s="5">
        <f>prices!B1002/prices!B1001-1</f>
        <v>1.4199659640371287E-2</v>
      </c>
      <c r="C1001" s="5">
        <f>prices!C1002/prices!C1001-1</f>
        <v>1.3301381655260958E-2</v>
      </c>
      <c r="D1001" s="5">
        <f>prices!D1002/prices!D1001-1</f>
        <v>1.48991177803246E-2</v>
      </c>
      <c r="E1001" s="5">
        <f>prices!E1002/prices!E1001-1</f>
        <v>9.178934454959542E-3</v>
      </c>
      <c r="F1001" s="5">
        <f>prices!F1002/prices!F1001-1</f>
        <v>6.2332710006232084E-3</v>
      </c>
      <c r="G1001" s="5">
        <f>prices!G1002/prices!G1001-1</f>
        <v>1.1843090227215969E-2</v>
      </c>
      <c r="H1001" s="5">
        <f>prices!H1002/prices!H1001-1</f>
        <v>-2.6490332032229613E-3</v>
      </c>
      <c r="I1001" s="5">
        <f>prices!I1002/prices!I1001-1</f>
        <v>3.5514118636405634E-2</v>
      </c>
      <c r="J1001" s="5">
        <f>prices!J1002/prices!J1001-1</f>
        <v>8.8545028318203212E-3</v>
      </c>
      <c r="K1001" s="8">
        <f>SUMPRODUCT(B1001:I1001,weights!$B$5:$I$5)</f>
        <v>1.4280558441163025E-2</v>
      </c>
      <c r="L1001" s="4">
        <f t="shared" si="30"/>
        <v>197.3981802396124</v>
      </c>
      <c r="M1001" s="4">
        <f>L1001/MAX(L$2:L1001)-1</f>
        <v>-2.2322597305950764E-2</v>
      </c>
      <c r="N1001" s="4">
        <f t="shared" si="31"/>
        <v>7.902699338045549E-3</v>
      </c>
    </row>
    <row r="1002" spans="1:14">
      <c r="A1002" s="3">
        <f>prices!A1003</f>
        <v>44944</v>
      </c>
      <c r="B1002" s="5">
        <f>prices!B1003/prices!B1002-1</f>
        <v>-1.6602152065058329E-3</v>
      </c>
      <c r="C1002" s="5">
        <f>prices!C1003/prices!C1002-1</f>
        <v>3.4342168706313903E-3</v>
      </c>
      <c r="D1002" s="5">
        <f>prices!D1003/prices!D1002-1</f>
        <v>1.764798571353543E-2</v>
      </c>
      <c r="E1002" s="5">
        <f>prices!E1003/prices!E1002-1</f>
        <v>3.8349939580755166E-3</v>
      </c>
      <c r="F1002" s="5">
        <f>prices!F1003/prices!F1002-1</f>
        <v>7.2149546332398451E-3</v>
      </c>
      <c r="G1002" s="5">
        <f>prices!G1003/prices!G1002-1</f>
        <v>1.734813936911106E-3</v>
      </c>
      <c r="H1002" s="5">
        <f>prices!H1003/prices!H1002-1</f>
        <v>7.1633381960862774E-3</v>
      </c>
      <c r="I1002" s="5">
        <f>prices!I1003/prices!I1002-1</f>
        <v>2.4128396869880442E-2</v>
      </c>
      <c r="J1002" s="5">
        <f>prices!J1003/prices!J1002-1</f>
        <v>6.2066215041016726E-3</v>
      </c>
      <c r="K1002" s="8">
        <f>SUMPRODUCT(B1002:I1002,weights!$B$5:$I$5)</f>
        <v>8.5013775196233245E-3</v>
      </c>
      <c r="L1002" s="4">
        <f t="shared" si="30"/>
        <v>199.07633669151602</v>
      </c>
      <c r="M1002" s="4">
        <f>L1002/MAX(L$2:L1002)-1</f>
        <v>-1.4010992613243789E-2</v>
      </c>
      <c r="N1002" s="4">
        <f t="shared" si="31"/>
        <v>2.2445993109625473E-2</v>
      </c>
    </row>
    <row r="1003" spans="1:14">
      <c r="A1003" s="3">
        <f>prices!A1004</f>
        <v>44945</v>
      </c>
      <c r="B1003" s="5">
        <f>prices!B1004/prices!B1003-1</f>
        <v>-1.0671504415334931E-3</v>
      </c>
      <c r="C1003" s="5">
        <f>prices!C1004/prices!C1003-1</f>
        <v>-4.9849633891213552E-3</v>
      </c>
      <c r="D1003" s="5">
        <f>prices!D1004/prices!D1003-1</f>
        <v>4.1548387096774775E-3</v>
      </c>
      <c r="E1003" s="5">
        <f>prices!E1004/prices!E1003-1</f>
        <v>-4.2095854567472113E-3</v>
      </c>
      <c r="F1003" s="5">
        <f>prices!F1004/prices!F1003-1</f>
        <v>-7.4888752215912513E-3</v>
      </c>
      <c r="G1003" s="5">
        <f>prices!G1004/prices!G1003-1</f>
        <v>8.9407424735488128E-4</v>
      </c>
      <c r="H1003" s="5">
        <f>prices!H1004/prices!H1003-1</f>
        <v>4.2954039178066949E-4</v>
      </c>
      <c r="I1003" s="5">
        <f>prices!I1004/prices!I1003-1</f>
        <v>2.9106143458910161E-3</v>
      </c>
      <c r="J1003" s="5">
        <f>prices!J1004/prices!J1003-1</f>
        <v>-3.1653670311885262E-3</v>
      </c>
      <c r="K1003" s="8">
        <f>SUMPRODUCT(B1003:I1003,weights!$B$5:$I$5)</f>
        <v>-4.3556945597456032E-4</v>
      </c>
      <c r="L1003" s="4">
        <f t="shared" si="30"/>
        <v>198.9896251198459</v>
      </c>
      <c r="M1003" s="4">
        <f>L1003/MAX(L$2:L1003)-1</f>
        <v>-1.4440459308788012E-2</v>
      </c>
      <c r="N1003" s="4">
        <f t="shared" si="31"/>
        <v>2.5844591016461527E-2</v>
      </c>
    </row>
    <row r="1004" spans="1:14">
      <c r="A1004" s="3">
        <f>prices!A1005</f>
        <v>44946</v>
      </c>
      <c r="B1004" s="5">
        <f>prices!B1005/prices!B1004-1</f>
        <v>-1.1893633879051624E-2</v>
      </c>
      <c r="C1004" s="5">
        <f>prices!C1005/prices!C1004-1</f>
        <v>-2.9632549811922093E-3</v>
      </c>
      <c r="D1004" s="5">
        <f>prices!D1005/prices!D1004-1</f>
        <v>1.0241319935236914E-2</v>
      </c>
      <c r="E1004" s="5">
        <f>prices!E1005/prices!E1004-1</f>
        <v>-8.6719219382251911E-3</v>
      </c>
      <c r="F1004" s="5">
        <f>prices!F1005/prices!F1004-1</f>
        <v>7.3995771670192223E-3</v>
      </c>
      <c r="G1004" s="5">
        <f>prices!G1005/prices!G1004-1</f>
        <v>-7.2746895867314976E-3</v>
      </c>
      <c r="H1004" s="5">
        <f>prices!H1005/prices!H1004-1</f>
        <v>-9.8052920619071671E-3</v>
      </c>
      <c r="I1004" s="5">
        <f>prices!I1005/prices!I1004-1</f>
        <v>-1.0182722278589851E-2</v>
      </c>
      <c r="J1004" s="5">
        <f>prices!J1005/prices!J1004-1</f>
        <v>-4.4290183539181793E-3</v>
      </c>
      <c r="K1004" s="8">
        <f>SUMPRODUCT(B1004:I1004,weights!$B$5:$I$5)</f>
        <v>-6.0278286647964573E-3</v>
      </c>
      <c r="L1004" s="4">
        <f t="shared" si="30"/>
        <v>197.79014975355139</v>
      </c>
      <c r="M1004" s="4">
        <f>L1004/MAX(L$2:L1004)-1</f>
        <v>-2.0381243359030132E-2</v>
      </c>
      <c r="N1004" s="4">
        <f t="shared" si="31"/>
        <v>3.8707855756903609E-2</v>
      </c>
    </row>
    <row r="1005" spans="1:14">
      <c r="A1005" s="3">
        <f>prices!A1006</f>
        <v>44949</v>
      </c>
      <c r="B1005" s="5">
        <f>prices!B1006/prices!B1005-1</f>
        <v>-5.0543727982846898E-3</v>
      </c>
      <c r="C1005" s="5">
        <f>prices!C1006/prices!C1005-1</f>
        <v>1.5400684694540034E-2</v>
      </c>
      <c r="D1005" s="5">
        <f>prices!D1006/prices!D1005-1</f>
        <v>7.3137536727763131E-3</v>
      </c>
      <c r="E1005" s="5">
        <f>prices!E1006/prices!E1005-1</f>
        <v>1.4713506487816774E-2</v>
      </c>
      <c r="F1005" s="5">
        <f>prices!F1006/prices!F1005-1</f>
        <v>9.4076781126750664E-3</v>
      </c>
      <c r="G1005" s="5">
        <f>prices!G1006/prices!G1005-1</f>
        <v>-2.6896034868700847E-3</v>
      </c>
      <c r="H1005" s="5">
        <f>prices!H1006/prices!H1005-1</f>
        <v>1.8393030009680622E-2</v>
      </c>
      <c r="I1005" s="5">
        <f>prices!I1006/prices!I1005-1</f>
        <v>-7.3138973283957132E-3</v>
      </c>
      <c r="J1005" s="5">
        <f>prices!J1006/prices!J1005-1</f>
        <v>5.0422545367809768E-3</v>
      </c>
      <c r="K1005" s="8">
        <f>SUMPRODUCT(B1005:I1005,weights!$B$5:$I$5)</f>
        <v>4.0967640649203409E-3</v>
      </c>
      <c r="L1005" s="4">
        <f t="shared" si="30"/>
        <v>198.60044933145696</v>
      </c>
      <c r="M1005" s="4">
        <f>L1005/MAX(L$2:L1005)-1</f>
        <v>-1.6367976439501497E-2</v>
      </c>
      <c r="N1005" s="4">
        <f t="shared" si="31"/>
        <v>3.1809682762157676E-2</v>
      </c>
    </row>
    <row r="1006" spans="1:14">
      <c r="A1006" s="3">
        <f>prices!A1007</f>
        <v>44950</v>
      </c>
      <c r="B1006" s="5">
        <f>prices!B1007/prices!B1006-1</f>
        <v>-5.9040857722398865E-3</v>
      </c>
      <c r="C1006" s="5">
        <f>prices!C1007/prices!C1006-1</f>
        <v>6.2660830004510615E-3</v>
      </c>
      <c r="D1006" s="5">
        <f>prices!D1007/prices!D1006-1</f>
        <v>1.3397479607040852E-2</v>
      </c>
      <c r="E1006" s="5">
        <f>prices!E1007/prices!E1006-1</f>
        <v>2.5186379206125764E-3</v>
      </c>
      <c r="F1006" s="5">
        <f>prices!F1007/prices!F1006-1</f>
        <v>3.5487686848045819E-3</v>
      </c>
      <c r="G1006" s="5">
        <f>prices!G1007/prices!G1006-1</f>
        <v>3.346722861486362E-2</v>
      </c>
      <c r="H1006" s="5">
        <f>prices!H1007/prices!H1006-1</f>
        <v>-8.1887674271229338E-3</v>
      </c>
      <c r="I1006" s="5">
        <f>prices!I1007/prices!I1006-1</f>
        <v>-1.1637750593050833E-2</v>
      </c>
      <c r="J1006" s="5">
        <f>prices!J1007/prices!J1006-1</f>
        <v>-1.3798013637988937E-5</v>
      </c>
      <c r="K1006" s="8">
        <f>SUMPRODUCT(B1006:I1006,weights!$B$5:$I$5)</f>
        <v>4.2825523376340711E-3</v>
      </c>
      <c r="L1006" s="4">
        <f t="shared" si="30"/>
        <v>199.45096614999653</v>
      </c>
      <c r="M1006" s="4">
        <f>L1006/MAX(L$2:L1006)-1</f>
        <v>-1.2155520817630938E-2</v>
      </c>
      <c r="N1006" s="4">
        <f t="shared" si="31"/>
        <v>3.0143139955528531E-2</v>
      </c>
    </row>
    <row r="1007" spans="1:14">
      <c r="A1007" s="3">
        <f>prices!A1008</f>
        <v>44951</v>
      </c>
      <c r="B1007" s="5">
        <f>prices!B1008/prices!B1007-1</f>
        <v>-1.3827655310621356E-2</v>
      </c>
      <c r="C1007" s="5">
        <f>prices!C1008/prices!C1007-1</f>
        <v>-1.9058491186656479E-3</v>
      </c>
      <c r="D1007" s="5">
        <f>prices!D1008/prices!D1007-1</f>
        <v>-2.7636907357797003E-2</v>
      </c>
      <c r="E1007" s="5">
        <f>prices!E1008/prices!E1007-1</f>
        <v>-5.7352455603887353E-3</v>
      </c>
      <c r="F1007" s="5">
        <f>prices!F1008/prices!F1007-1</f>
        <v>8.9298471210175201E-4</v>
      </c>
      <c r="G1007" s="5">
        <f>prices!G1008/prices!G1007-1</f>
        <v>9.8054457955816243E-3</v>
      </c>
      <c r="H1007" s="5">
        <f>prices!H1008/prices!H1007-1</f>
        <v>-6.2896221234964855E-4</v>
      </c>
      <c r="I1007" s="5">
        <f>prices!I1008/prices!I1007-1</f>
        <v>-1.4862015737359235E-2</v>
      </c>
      <c r="J1007" s="5">
        <f>prices!J1008/prices!J1007-1</f>
        <v>-1.2492893924926696E-2</v>
      </c>
      <c r="K1007" s="8">
        <f>SUMPRODUCT(B1007:I1007,weights!$B$5:$I$5)</f>
        <v>-5.5102493529219573E-3</v>
      </c>
      <c r="L1007" s="4">
        <f t="shared" si="30"/>
        <v>198.35194159282884</v>
      </c>
      <c r="M1007" s="4">
        <f>L1007/MAX(L$2:L1007)-1</f>
        <v>-1.7598790219833127E-2</v>
      </c>
      <c r="N1007" s="4">
        <f t="shared" si="31"/>
        <v>2.286676324111081E-2</v>
      </c>
    </row>
    <row r="1008" spans="1:14">
      <c r="A1008" s="3">
        <f>prices!A1009</f>
        <v>44953</v>
      </c>
      <c r="B1008" s="5">
        <f>prices!B1009/prices!B1008-1</f>
        <v>-1.8972492656703199E-2</v>
      </c>
      <c r="C1008" s="5">
        <f>prices!C1009/prices!C1008-1</f>
        <v>-5.4506037020165543E-3</v>
      </c>
      <c r="D1008" s="5">
        <f>prices!D1009/prices!D1008-1</f>
        <v>-1.9926445147814387E-2</v>
      </c>
      <c r="E1008" s="5">
        <f>prices!E1009/prices!E1008-1</f>
        <v>-1.5456809731798082E-2</v>
      </c>
      <c r="F1008" s="5">
        <f>prices!F1009/prices!F1008-1</f>
        <v>1.9877948681346069E-2</v>
      </c>
      <c r="G1008" s="5">
        <f>prices!G1009/prices!G1008-1</f>
        <v>-5.3045654318562008E-3</v>
      </c>
      <c r="H1008" s="5">
        <f>prices!H1009/prices!H1008-1</f>
        <v>3.2267087570678754E-3</v>
      </c>
      <c r="I1008" s="5">
        <f>prices!I1009/prices!I1008-1</f>
        <v>-6.8265418239144005E-3</v>
      </c>
      <c r="J1008" s="5">
        <f>prices!J1009/prices!J1008-1</f>
        <v>-1.6074268036742945E-2</v>
      </c>
      <c r="K1008" s="8">
        <f>SUMPRODUCT(B1008:I1008,weights!$B$5:$I$5)</f>
        <v>-5.9122213386606217E-3</v>
      </c>
      <c r="L1008" s="4">
        <f t="shared" si="30"/>
        <v>197.17924101117893</v>
      </c>
      <c r="M1008" s="4">
        <f>L1008/MAX(L$2:L1008)-1</f>
        <v>-2.3406963615421494E-2</v>
      </c>
      <c r="N1008" s="4">
        <f t="shared" si="31"/>
        <v>1.5125135796826283E-2</v>
      </c>
    </row>
    <row r="1009" spans="1:14">
      <c r="A1009" s="3">
        <f>prices!A1010</f>
        <v>44956</v>
      </c>
      <c r="B1009" s="5">
        <f>prices!B1010/prices!B1009-1</f>
        <v>9.5849653510093891E-3</v>
      </c>
      <c r="C1009" s="5">
        <f>prices!C1010/prices!C1009-1</f>
        <v>6.6240010395686166E-3</v>
      </c>
      <c r="D1009" s="5">
        <f>prices!D1010/prices!D1009-1</f>
        <v>-1.0198478073273343E-3</v>
      </c>
      <c r="E1009" s="5">
        <f>prices!E1010/prices!E1009-1</f>
        <v>1.2935016938712796E-2</v>
      </c>
      <c r="F1009" s="5">
        <f>prices!F1010/prices!F1009-1</f>
        <v>-3.4642032332561357E-3</v>
      </c>
      <c r="G1009" s="5">
        <f>prices!G1010/prices!G1009-1</f>
        <v>9.0988322252489873E-3</v>
      </c>
      <c r="H1009" s="5">
        <f>prices!H1010/prices!H1009-1</f>
        <v>7.9462285287528189E-3</v>
      </c>
      <c r="I1009" s="5">
        <f>prices!I1010/prices!I1009-1</f>
        <v>-2.173630718466979E-2</v>
      </c>
      <c r="J1009" s="5">
        <f>prices!J1010/prices!J1009-1</f>
        <v>2.5334647402490695E-3</v>
      </c>
      <c r="K1009" s="8">
        <f>SUMPRODUCT(B1009:I1009,weights!$B$5:$I$5)</f>
        <v>1.2177169695196128E-3</v>
      </c>
      <c r="L1009" s="4">
        <f t="shared" si="30"/>
        <v>197.41934951899523</v>
      </c>
      <c r="M1009" s="4">
        <f>L1009/MAX(L$2:L1009)-1</f>
        <v>-2.2217749702701406E-2</v>
      </c>
      <c r="N1009" s="4">
        <f t="shared" si="31"/>
        <v>2.1834629595242294E-2</v>
      </c>
    </row>
    <row r="1010" spans="1:14">
      <c r="A1010" s="3">
        <f>prices!A1011</f>
        <v>44957</v>
      </c>
      <c r="B1010" s="5">
        <f>prices!B1011/prices!B1010-1</f>
        <v>-2.4993938037416452E-3</v>
      </c>
      <c r="C1010" s="5">
        <f>prices!C1011/prices!C1010-1</f>
        <v>-2.182928364191461E-2</v>
      </c>
      <c r="D1010" s="5">
        <f>prices!D1011/prices!D1010-1</f>
        <v>-6.5965132715564145E-3</v>
      </c>
      <c r="E1010" s="5">
        <f>prices!E1011/prices!E1010-1</f>
        <v>-3.2793293662860545E-3</v>
      </c>
      <c r="F1010" s="5">
        <f>prices!F1011/prices!F1010-1</f>
        <v>2.1910881702306817E-2</v>
      </c>
      <c r="G1010" s="5">
        <f>prices!G1011/prices!G1010-1</f>
        <v>8.8799216546906479E-3</v>
      </c>
      <c r="H1010" s="5">
        <f>prices!H1011/prices!H1010-1</f>
        <v>-1.6350039022751783E-2</v>
      </c>
      <c r="I1010" s="5">
        <f>prices!I1011/prices!I1010-1</f>
        <v>5.4429595539429165E-3</v>
      </c>
      <c r="J1010" s="5">
        <f>prices!J1011/prices!J1010-1</f>
        <v>7.4791984792299537E-4</v>
      </c>
      <c r="K1010" s="8">
        <f>SUMPRODUCT(B1010:I1010,weights!$B$5:$I$5)</f>
        <v>-8.3853882787655073E-4</v>
      </c>
      <c r="L1010" s="4">
        <f t="shared" si="30"/>
        <v>197.25380572904942</v>
      </c>
      <c r="M1010" s="4">
        <f>L1010/MAX(L$2:L1010)-1</f>
        <v>-2.3037658084784196E-2</v>
      </c>
      <c r="N1010" s="4">
        <f t="shared" si="31"/>
        <v>1.8242765785008386E-2</v>
      </c>
    </row>
    <row r="1011" spans="1:14">
      <c r="A1011" s="3">
        <f>prices!A1012</f>
        <v>44958</v>
      </c>
      <c r="B1011" s="5">
        <f>prices!B1012/prices!B1011-1</f>
        <v>-5.9275603507917829E-3</v>
      </c>
      <c r="C1011" s="5">
        <f>prices!C1012/prices!C1011-1</f>
        <v>1.4784143585344633E-2</v>
      </c>
      <c r="D1011" s="5">
        <f>prices!D1012/prices!D1011-1</f>
        <v>1.4993412384716631E-2</v>
      </c>
      <c r="E1011" s="5">
        <f>prices!E1012/prices!E1011-1</f>
        <v>1.131568435196284E-2</v>
      </c>
      <c r="F1011" s="5">
        <f>prices!F1012/prices!F1011-1</f>
        <v>2.5667456963199831E-2</v>
      </c>
      <c r="G1011" s="5">
        <f>prices!G1012/prices!G1011-1</f>
        <v>-1.4215443199041888E-2</v>
      </c>
      <c r="H1011" s="5">
        <f>prices!H1012/prices!H1011-1</f>
        <v>-1.8951872087417665E-2</v>
      </c>
      <c r="I1011" s="5">
        <f>prices!I1012/prices!I1011-1</f>
        <v>9.9565257788927219E-3</v>
      </c>
      <c r="J1011" s="5">
        <f>prices!J1012/prices!J1011-1</f>
        <v>-2.5959466995808533E-3</v>
      </c>
      <c r="K1011" s="8">
        <f>SUMPRODUCT(B1011:I1011,weights!$B$5:$I$5)</f>
        <v>1.1030411742449929E-3</v>
      </c>
      <c r="L1011" s="4">
        <f t="shared" si="30"/>
        <v>197.47138479854507</v>
      </c>
      <c r="M1011" s="4">
        <f>L1011/MAX(L$2:L1011)-1</f>
        <v>-2.1960028395965003E-2</v>
      </c>
      <c r="N1011" s="4">
        <f t="shared" si="31"/>
        <v>1.7650159324321901E-2</v>
      </c>
    </row>
    <row r="1012" spans="1:14">
      <c r="A1012" s="3">
        <f>prices!A1013</f>
        <v>44959</v>
      </c>
      <c r="B1012" s="5">
        <f>prices!B1013/prices!B1012-1</f>
        <v>-5.5302659794591591E-3</v>
      </c>
      <c r="C1012" s="5">
        <f>prices!C1013/prices!C1012-1</f>
        <v>1.5271022446484706E-2</v>
      </c>
      <c r="D1012" s="5">
        <f>prices!D1013/prices!D1012-1</f>
        <v>-1.4862794984293548E-2</v>
      </c>
      <c r="E1012" s="5">
        <f>prices!E1013/prices!E1012-1</f>
        <v>2.1042350423360556E-2</v>
      </c>
      <c r="F1012" s="5">
        <f>prices!F1013/prices!F1012-1</f>
        <v>4.7604690117252879E-2</v>
      </c>
      <c r="G1012" s="5">
        <f>prices!G1013/prices!G1012-1</f>
        <v>1.1552958176582973E-2</v>
      </c>
      <c r="H1012" s="5">
        <f>prices!H1013/prices!H1012-1</f>
        <v>-7.1866586132410815E-3</v>
      </c>
      <c r="I1012" s="5">
        <f>prices!I1013/prices!I1012-1</f>
        <v>-3.050478150345981E-4</v>
      </c>
      <c r="J1012" s="5">
        <f>prices!J1013/prices!J1012-1</f>
        <v>-3.3491709382771351E-4</v>
      </c>
      <c r="K1012" s="8">
        <f>SUMPRODUCT(B1012:I1012,weights!$B$5:$I$5)</f>
        <v>6.3972101293113936E-3</v>
      </c>
      <c r="L1012" s="4">
        <f t="shared" si="30"/>
        <v>198.73465074162749</v>
      </c>
      <c r="M1012" s="4">
        <f>L1012/MAX(L$2:L1012)-1</f>
        <v>-1.5703301182748097E-2</v>
      </c>
      <c r="N1012" s="4">
        <f t="shared" si="31"/>
        <v>3.1684071680625259E-2</v>
      </c>
    </row>
    <row r="1013" spans="1:14">
      <c r="A1013" s="3">
        <f>prices!A1014</f>
        <v>44960</v>
      </c>
      <c r="B1013" s="5">
        <f>prices!B1014/prices!B1013-1</f>
        <v>8.795490655975069E-4</v>
      </c>
      <c r="C1013" s="5">
        <f>prices!C1014/prices!C1013-1</f>
        <v>6.3277965113857082E-3</v>
      </c>
      <c r="D1013" s="5">
        <f>prices!D1014/prices!D1013-1</f>
        <v>3.4574993741188331E-2</v>
      </c>
      <c r="E1013" s="5">
        <f>prices!E1014/prices!E1013-1</f>
        <v>9.8823264614236184E-3</v>
      </c>
      <c r="F1013" s="5">
        <f>prices!F1014/prices!F1013-1</f>
        <v>5.4043682645261715E-3</v>
      </c>
      <c r="G1013" s="5">
        <f>prices!G1014/prices!G1013-1</f>
        <v>8.1335711831149737E-3</v>
      </c>
      <c r="H1013" s="5">
        <f>prices!H1014/prices!H1013-1</f>
        <v>2.0396168242609258E-2</v>
      </c>
      <c r="I1013" s="5">
        <f>prices!I1014/prices!I1013-1</f>
        <v>1.0093867152308977E-2</v>
      </c>
      <c r="J1013" s="5">
        <f>prices!J1014/prices!J1013-1</f>
        <v>1.3835574433289199E-2</v>
      </c>
      <c r="K1013" s="8">
        <f>SUMPRODUCT(B1013:I1013,weights!$B$5:$I$5)</f>
        <v>1.1173391243861465E-2</v>
      </c>
      <c r="L1013" s="4">
        <f t="shared" si="30"/>
        <v>200.95519074807584</v>
      </c>
      <c r="M1013" s="4">
        <f>L1013/MAX(L$2:L1013)-1</f>
        <v>-4.7053690668218406E-3</v>
      </c>
      <c r="N1013" s="4">
        <f t="shared" si="31"/>
        <v>3.9014725128663663E-2</v>
      </c>
    </row>
    <row r="1014" spans="1:14">
      <c r="A1014" s="3">
        <f>prices!A1015</f>
        <v>44963</v>
      </c>
      <c r="B1014" s="5">
        <f>prices!B1015/prices!B1014-1</f>
        <v>-7.5404662238138798E-3</v>
      </c>
      <c r="C1014" s="5">
        <f>prices!C1015/prices!C1014-1</f>
        <v>-6.4184770675482783E-3</v>
      </c>
      <c r="D1014" s="5">
        <f>prices!D1015/prices!D1014-1</f>
        <v>-4.24111975750463E-3</v>
      </c>
      <c r="E1014" s="5">
        <f>prices!E1015/prices!E1014-1</f>
        <v>-1.8470796361559572E-2</v>
      </c>
      <c r="F1014" s="5">
        <f>prices!F1015/prices!F1014-1</f>
        <v>7.220101781170607E-3</v>
      </c>
      <c r="G1014" s="5">
        <f>prices!G1015/prices!G1014-1</f>
        <v>-3.8356209005855346E-3</v>
      </c>
      <c r="H1014" s="5">
        <f>prices!H1015/prices!H1014-1</f>
        <v>-4.668694483462521E-3</v>
      </c>
      <c r="I1014" s="5">
        <f>prices!I1015/prices!I1014-1</f>
        <v>-4.8238757875960214E-3</v>
      </c>
      <c r="J1014" s="5">
        <f>prices!J1015/prices!J1014-1</f>
        <v>-5.0100677437332486E-3</v>
      </c>
      <c r="K1014" s="8">
        <f>SUMPRODUCT(B1014:I1014,weights!$B$5:$I$5)</f>
        <v>-5.2005021925633169E-3</v>
      </c>
      <c r="L1014" s="4">
        <f t="shared" si="30"/>
        <v>199.91012283798349</v>
      </c>
      <c r="M1014" s="4">
        <f>L1014/MAX(L$2:L1014)-1</f>
        <v>-9.881400977236221E-3</v>
      </c>
      <c r="N1014" s="4">
        <f t="shared" si="31"/>
        <v>3.9686629245434757E-2</v>
      </c>
    </row>
    <row r="1015" spans="1:14">
      <c r="A1015" s="3">
        <f>prices!A1016</f>
        <v>44964</v>
      </c>
      <c r="B1015" s="5">
        <f>prices!B1016/prices!B1015-1</f>
        <v>-2.3992916377069129E-3</v>
      </c>
      <c r="C1015" s="5">
        <f>prices!C1016/prices!C1015-1</f>
        <v>3.644725716774655E-3</v>
      </c>
      <c r="D1015" s="5">
        <f>prices!D1016/prices!D1015-1</f>
        <v>1.4836795252224366E-3</v>
      </c>
      <c r="E1015" s="5">
        <f>prices!E1016/prices!E1015-1</f>
        <v>-4.747172274810918E-3</v>
      </c>
      <c r="F1015" s="5">
        <f>prices!F1016/prices!F1015-1</f>
        <v>-2.64628793381122E-2</v>
      </c>
      <c r="G1015" s="5">
        <f>prices!G1016/prices!G1015-1</f>
        <v>-1.633933878873306E-2</v>
      </c>
      <c r="H1015" s="5">
        <f>prices!H1016/prices!H1015-1</f>
        <v>-1.656936900350281E-2</v>
      </c>
      <c r="I1015" s="5">
        <f>prices!I1016/prices!I1015-1</f>
        <v>4.2690565674088354E-3</v>
      </c>
      <c r="J1015" s="5">
        <f>prices!J1016/prices!J1015-1</f>
        <v>-2.4261734010334601E-3</v>
      </c>
      <c r="K1015" s="8">
        <f>SUMPRODUCT(B1015:I1015,weights!$B$5:$I$5)</f>
        <v>-7.3244212218891583E-3</v>
      </c>
      <c r="L1015" s="4">
        <f t="shared" si="30"/>
        <v>198.4458968917985</v>
      </c>
      <c r="M1015" s="4">
        <f>L1015/MAX(L$2:L1015)-1</f>
        <v>-1.7133446656105722E-2</v>
      </c>
      <c r="N1015" s="4">
        <f t="shared" si="31"/>
        <v>1.8462878535463689E-2</v>
      </c>
    </row>
    <row r="1016" spans="1:14">
      <c r="A1016" s="3">
        <f>prices!A1017</f>
        <v>44965</v>
      </c>
      <c r="B1016" s="5">
        <f>prices!B1017/prices!B1016-1</f>
        <v>1.9975376745340334E-2</v>
      </c>
      <c r="C1016" s="5">
        <f>prices!C1017/prices!C1016-1</f>
        <v>1.369307846954082E-2</v>
      </c>
      <c r="D1016" s="5">
        <f>prices!D1017/prices!D1016-1</f>
        <v>-1.2771392081745159E-4</v>
      </c>
      <c r="E1016" s="5">
        <f>prices!E1017/prices!E1016-1</f>
        <v>1.7981277226805092E-2</v>
      </c>
      <c r="F1016" s="5">
        <f>prices!F1017/prices!F1016-1</f>
        <v>6.1630283174931577E-3</v>
      </c>
      <c r="G1016" s="5">
        <f>prices!G1017/prices!G1016-1</f>
        <v>8.2454178271986756E-3</v>
      </c>
      <c r="H1016" s="5">
        <f>prices!H1017/prices!H1016-1</f>
        <v>1.4123039757182765E-2</v>
      </c>
      <c r="I1016" s="5">
        <f>prices!I1017/prices!I1016-1</f>
        <v>-1.5909723355051808E-2</v>
      </c>
      <c r="J1016" s="5">
        <f>prices!J1017/prices!J1016-1</f>
        <v>8.475580509550662E-3</v>
      </c>
      <c r="K1016" s="8">
        <f>SUMPRODUCT(B1016:I1016,weights!$B$5:$I$5)</f>
        <v>6.373429728807169E-3</v>
      </c>
      <c r="L1016" s="4">
        <f t="shared" si="30"/>
        <v>199.71067787060849</v>
      </c>
      <c r="M1016" s="4">
        <f>L1016/MAX(L$2:L1016)-1</f>
        <v>-1.0869215745573535E-2</v>
      </c>
      <c r="N1016" s="4">
        <f t="shared" si="31"/>
        <v>3.5516943094720199E-2</v>
      </c>
    </row>
    <row r="1017" spans="1:14">
      <c r="A1017" s="3">
        <f>prices!A1018</f>
        <v>44966</v>
      </c>
      <c r="B1017" s="5">
        <f>prices!B1018/prices!B1017-1</f>
        <v>1.7403997305187602E-3</v>
      </c>
      <c r="C1017" s="5">
        <f>prices!C1018/prices!C1017-1</f>
        <v>5.8930746928329558E-3</v>
      </c>
      <c r="D1017" s="5">
        <f>prices!D1018/prices!D1017-1</f>
        <v>-2.0820028100650978E-3</v>
      </c>
      <c r="E1017" s="5">
        <f>prices!E1018/prices!E1017-1</f>
        <v>1.6662114176454468E-2</v>
      </c>
      <c r="F1017" s="5">
        <f>prices!F1018/prices!F1017-1</f>
        <v>-3.4494986943486294E-3</v>
      </c>
      <c r="G1017" s="5">
        <f>prices!G1018/prices!G1017-1</f>
        <v>-3.7916656363226053E-3</v>
      </c>
      <c r="H1017" s="5">
        <f>prices!H1018/prices!H1017-1</f>
        <v>-6.1284116012256806E-3</v>
      </c>
      <c r="I1017" s="5">
        <f>prices!I1018/prices!I1017-1</f>
        <v>7.7665642825801573E-3</v>
      </c>
      <c r="J1017" s="5">
        <f>prices!J1018/prices!J1017-1</f>
        <v>1.2170078951638796E-3</v>
      </c>
      <c r="K1017" s="8">
        <f>SUMPRODUCT(B1017:I1017,weights!$B$5:$I$5)</f>
        <v>1.5765195898704888E-3</v>
      </c>
      <c r="L1017" s="4">
        <f t="shared" si="30"/>
        <v>200.02552566657781</v>
      </c>
      <c r="M1017" s="4">
        <f>L1017/MAX(L$2:L1017)-1</f>
        <v>-9.3098316872525233E-3</v>
      </c>
      <c r="N1017" s="4">
        <f t="shared" si="31"/>
        <v>3.2781726397143718E-2</v>
      </c>
    </row>
    <row r="1018" spans="1:14">
      <c r="A1018" s="3">
        <f>prices!A1019</f>
        <v>44967</v>
      </c>
      <c r="B1018" s="5">
        <f>prices!B1019/prices!B1018-1</f>
        <v>-8.2385249117300496E-3</v>
      </c>
      <c r="C1018" s="5">
        <f>prices!C1019/prices!C1018-1</f>
        <v>-9.3261102922082006E-4</v>
      </c>
      <c r="D1018" s="5">
        <f>prices!D1019/prices!D1018-1</f>
        <v>3.9678984218003421E-3</v>
      </c>
      <c r="E1018" s="5">
        <f>prices!E1019/prices!E1018-1</f>
        <v>-5.2218961407569653E-3</v>
      </c>
      <c r="F1018" s="5">
        <f>prices!F1019/prices!F1018-1</f>
        <v>-7.763975155279379E-3</v>
      </c>
      <c r="G1018" s="5">
        <f>prices!G1019/prices!G1018-1</f>
        <v>1.1536493024322247E-3</v>
      </c>
      <c r="H1018" s="5">
        <f>prices!H1019/prices!H1018-1</f>
        <v>-1.9461430517564438E-4</v>
      </c>
      <c r="I1018" s="5">
        <f>prices!I1019/prices!I1018-1</f>
        <v>7.6583310353501854E-3</v>
      </c>
      <c r="J1018" s="5">
        <f>prices!J1019/prices!J1018-1</f>
        <v>-2.0650014390740656E-3</v>
      </c>
      <c r="K1018" s="8">
        <f>SUMPRODUCT(B1018:I1018,weights!$B$5:$I$5)</f>
        <v>-2.2379022779416826E-4</v>
      </c>
      <c r="L1018" s="4">
        <f t="shared" si="30"/>
        <v>199.98076190862423</v>
      </c>
      <c r="M1018" s="4">
        <f>L1018/MAX(L$2:L1018)-1</f>
        <v>-9.5315384656927682E-3</v>
      </c>
      <c r="N1018" s="4">
        <f t="shared" si="31"/>
        <v>2.8708965985832613E-2</v>
      </c>
    </row>
    <row r="1019" spans="1:14">
      <c r="A1019" s="3">
        <f>prices!A1020</f>
        <v>44970</v>
      </c>
      <c r="B1019" s="5">
        <f>prices!B1020/prices!B1019-1</f>
        <v>-5.6886678722121164E-3</v>
      </c>
      <c r="C1019" s="5">
        <f>prices!C1020/prices!C1019-1</f>
        <v>-1.5590395789935263E-2</v>
      </c>
      <c r="D1019" s="5">
        <f>prices!D1020/prices!D1019-1</f>
        <v>7.5219602993481516E-4</v>
      </c>
      <c r="E1019" s="5">
        <f>prices!E1020/prices!E1019-1</f>
        <v>-2.5554016620498721E-2</v>
      </c>
      <c r="F1019" s="5">
        <f>prices!F1020/prices!F1019-1</f>
        <v>7.6617110067813687E-3</v>
      </c>
      <c r="G1019" s="5">
        <f>prices!G1020/prices!G1019-1</f>
        <v>-2.1605998675300331E-4</v>
      </c>
      <c r="H1019" s="5">
        <f>prices!H1020/prices!H1019-1</f>
        <v>8.5954307960249832E-3</v>
      </c>
      <c r="I1019" s="5">
        <f>prices!I1020/prices!I1019-1</f>
        <v>1.8229741797336274E-2</v>
      </c>
      <c r="J1019" s="5">
        <f>prices!J1020/prices!J1019-1</f>
        <v>-4.7937725758125938E-3</v>
      </c>
      <c r="K1019" s="8">
        <f>SUMPRODUCT(B1019:I1019,weights!$B$5:$I$5)</f>
        <v>1.2834281210162952E-3</v>
      </c>
      <c r="L1019" s="4">
        <f t="shared" si="30"/>
        <v>200.23742284212003</v>
      </c>
      <c r="M1019" s="4">
        <f>L1019/MAX(L$2:L1019)-1</f>
        <v>-8.2603433891798028E-3</v>
      </c>
      <c r="N1019" s="4">
        <f t="shared" si="31"/>
        <v>2.6799018533730345E-2</v>
      </c>
    </row>
    <row r="1020" spans="1:14">
      <c r="A1020" s="3">
        <f>prices!A1021</f>
        <v>44971</v>
      </c>
      <c r="B1020" s="5">
        <f>prices!B1021/prices!B1020-1</f>
        <v>2.356685484787624E-2</v>
      </c>
      <c r="C1020" s="5">
        <f>prices!C1021/prices!C1020-1</f>
        <v>5.0849938585493248E-3</v>
      </c>
      <c r="D1020" s="5">
        <f>prices!D1021/prices!D1020-1</f>
        <v>9.2616184264167067E-3</v>
      </c>
      <c r="E1020" s="5">
        <f>prices!E1021/prices!E1020-1</f>
        <v>1.6459384549783351E-2</v>
      </c>
      <c r="F1020" s="5">
        <f>prices!F1021/prices!F1020-1</f>
        <v>3.2743391464716831E-2</v>
      </c>
      <c r="G1020" s="5">
        <f>prices!G1021/prices!G1020-1</f>
        <v>-3.9725839745680114E-3</v>
      </c>
      <c r="H1020" s="5">
        <f>prices!H1021/prices!H1020-1</f>
        <v>-8.3698158437363057E-3</v>
      </c>
      <c r="I1020" s="5">
        <f>prices!I1021/prices!I1020-1</f>
        <v>-5.2856664607724424E-3</v>
      </c>
      <c r="J1020" s="5">
        <f>prices!J1021/prices!J1020-1</f>
        <v>8.9443978639234256E-3</v>
      </c>
      <c r="K1020" s="8">
        <f>SUMPRODUCT(B1020:I1020,weights!$B$5:$I$5)</f>
        <v>5.191854905598107E-3</v>
      </c>
      <c r="L1020" s="4">
        <f t="shared" si="30"/>
        <v>201.2770264881872</v>
      </c>
      <c r="M1020" s="4">
        <f>L1020/MAX(L$2:L1020)-1</f>
        <v>-3.1113749879287944E-3</v>
      </c>
      <c r="N1020" s="4">
        <f t="shared" si="31"/>
        <v>3.4211027578904041E-2</v>
      </c>
    </row>
    <row r="1021" spans="1:14">
      <c r="A1021" s="3">
        <f>prices!A1022</f>
        <v>44972</v>
      </c>
      <c r="B1021" s="5">
        <f>prices!B1022/prices!B1021-1</f>
        <v>2.2644826947991969E-2</v>
      </c>
      <c r="C1021" s="5">
        <f>prices!C1022/prices!C1021-1</f>
        <v>5.8697634365028062E-3</v>
      </c>
      <c r="D1021" s="5">
        <f>prices!D1022/prices!D1021-1</f>
        <v>-2.0322381126692823E-3</v>
      </c>
      <c r="E1021" s="5">
        <f>prices!E1022/prices!E1021-1</f>
        <v>2.3841818969978501E-3</v>
      </c>
      <c r="F1021" s="5">
        <f>prices!F1022/prices!F1021-1</f>
        <v>5.2319934835052262E-3</v>
      </c>
      <c r="G1021" s="5">
        <f>prices!G1022/prices!G1021-1</f>
        <v>8.0800056909797746E-3</v>
      </c>
      <c r="H1021" s="5">
        <f>prices!H1022/prices!H1021-1</f>
        <v>-1.1277848911651733E-2</v>
      </c>
      <c r="I1021" s="5">
        <f>prices!I1022/prices!I1021-1</f>
        <v>-7.5748239019349795E-3</v>
      </c>
      <c r="J1021" s="5">
        <f>prices!J1022/prices!J1021-1</f>
        <v>4.7964706899388254E-3</v>
      </c>
      <c r="K1021" s="8">
        <f>SUMPRODUCT(B1021:I1021,weights!$B$5:$I$5)</f>
        <v>2.26349905016285E-3</v>
      </c>
      <c r="L1021" s="4">
        <f t="shared" si="30"/>
        <v>201.73261684646283</v>
      </c>
      <c r="M1021" s="4">
        <f>L1021/MAX(L$2:L1021)-1</f>
        <v>-8.5491853209573865E-4</v>
      </c>
      <c r="N1021" s="4">
        <f t="shared" si="31"/>
        <v>2.1957834675015997E-2</v>
      </c>
    </row>
    <row r="1022" spans="1:14">
      <c r="A1022" s="3">
        <f>prices!A1023</f>
        <v>44973</v>
      </c>
      <c r="B1022" s="5">
        <f>prices!B1023/prices!B1022-1</f>
        <v>-7.8728044377274209E-4</v>
      </c>
      <c r="C1022" s="5">
        <f>prices!C1023/prices!C1022-1</f>
        <v>1.0622895093009399E-2</v>
      </c>
      <c r="D1022" s="5">
        <f>prices!D1023/prices!D1022-1</f>
        <v>-3.6300624826085537E-3</v>
      </c>
      <c r="E1022" s="5">
        <f>prices!E1023/prices!E1022-1</f>
        <v>2.9783701967678322E-3</v>
      </c>
      <c r="F1022" s="5">
        <f>prices!F1023/prices!F1022-1</f>
        <v>9.0382098111319031E-4</v>
      </c>
      <c r="G1022" s="5">
        <f>prices!G1023/prices!G1022-1</f>
        <v>-4.5503995860064483E-3</v>
      </c>
      <c r="H1022" s="5">
        <f>prices!H1023/prices!H1022-1</f>
        <v>-2.4864282458247899E-4</v>
      </c>
      <c r="I1022" s="5">
        <f>prices!I1023/prices!I1022-1</f>
        <v>1.4950039166237161E-3</v>
      </c>
      <c r="J1022" s="5">
        <f>prices!J1023/prices!J1022-1</f>
        <v>1.1101335768226583E-3</v>
      </c>
      <c r="K1022" s="8">
        <f>SUMPRODUCT(B1022:I1022,weights!$B$5:$I$5)</f>
        <v>2.6293882454159017E-4</v>
      </c>
      <c r="L1022" s="4">
        <f t="shared" si="30"/>
        <v>201.78566018360814</v>
      </c>
      <c r="M1022" s="4">
        <f>L1022/MAX(L$2:L1022)-1</f>
        <v>-5.9220449882801951E-4</v>
      </c>
      <c r="N1022" s="4">
        <f t="shared" si="31"/>
        <v>1.3609470302291315E-2</v>
      </c>
    </row>
    <row r="1023" spans="1:14">
      <c r="A1023" s="3">
        <f>prices!A1024</f>
        <v>44974</v>
      </c>
      <c r="B1023" s="5">
        <f>prices!B1024/prices!B1023-1</f>
        <v>4.1840246332185416E-3</v>
      </c>
      <c r="C1023" s="5">
        <f>prices!C1024/prices!C1023-1</f>
        <v>-1.5992649921360402E-2</v>
      </c>
      <c r="D1023" s="5">
        <f>prices!D1024/prices!D1023-1</f>
        <v>-5.0142811805776732E-3</v>
      </c>
      <c r="E1023" s="5">
        <f>prices!E1024/prices!E1023-1</f>
        <v>-1.1238299233625959E-2</v>
      </c>
      <c r="F1023" s="5">
        <f>prices!F1024/prices!F1023-1</f>
        <v>2.210804919819509E-3</v>
      </c>
      <c r="G1023" s="5">
        <f>prices!G1024/prices!G1023-1</f>
        <v>3.0128097581938462E-4</v>
      </c>
      <c r="H1023" s="5">
        <f>prices!H1024/prices!H1023-1</f>
        <v>-1.0704663212435239E-2</v>
      </c>
      <c r="I1023" s="5">
        <f>prices!I1024/prices!I1023-1</f>
        <v>2.2057736423165109E-2</v>
      </c>
      <c r="J1023" s="5">
        <f>prices!J1024/prices!J1023-1</f>
        <v>-5.0815459210404867E-3</v>
      </c>
      <c r="K1023" s="8">
        <f>SUMPRODUCT(B1023:I1023,weights!$B$5:$I$5)</f>
        <v>7.7730906119719608E-4</v>
      </c>
      <c r="L1023" s="4">
        <f t="shared" si="30"/>
        <v>201.94251000568849</v>
      </c>
      <c r="M1023" s="4">
        <f>L1023/MAX(L$2:L1023)-1</f>
        <v>0</v>
      </c>
      <c r="N1023" s="4">
        <f t="shared" si="31"/>
        <v>1.4839391169585658E-2</v>
      </c>
    </row>
    <row r="1024" spans="1:14">
      <c r="A1024" s="3">
        <f>prices!A1025</f>
        <v>44977</v>
      </c>
      <c r="B1024" s="5">
        <f>prices!B1025/prices!B1024-1</f>
        <v>-1.0578813513464791E-2</v>
      </c>
      <c r="C1024" s="5">
        <f>prices!C1025/prices!C1024-1</f>
        <v>-3.9531571451177916E-3</v>
      </c>
      <c r="D1024" s="5">
        <f>prices!D1025/prices!D1024-1</f>
        <v>-9.3901505486092551E-3</v>
      </c>
      <c r="E1024" s="5">
        <f>prices!E1025/prices!E1024-1</f>
        <v>5.4649805173796473E-3</v>
      </c>
      <c r="F1024" s="5">
        <f>prices!F1025/prices!F1024-1</f>
        <v>1.7088174982913262E-3</v>
      </c>
      <c r="G1024" s="5">
        <f>prices!G1025/prices!G1024-1</f>
        <v>-1.295472343059223E-2</v>
      </c>
      <c r="H1024" s="5">
        <f>prices!H1025/prices!H1024-1</f>
        <v>-1.0474823761075225E-4</v>
      </c>
      <c r="I1024" s="5">
        <f>prices!I1025/prices!I1024-1</f>
        <v>-3.8263758621015498E-4</v>
      </c>
      <c r="J1024" s="5">
        <f>prices!J1025/prices!J1024-1</f>
        <v>-5.5505400073562194E-3</v>
      </c>
      <c r="K1024" s="8">
        <f>SUMPRODUCT(B1024:I1024,weights!$B$5:$I$5)</f>
        <v>-4.3949359601014619E-3</v>
      </c>
      <c r="L1024" s="4">
        <f t="shared" si="30"/>
        <v>201.05498560659134</v>
      </c>
      <c r="M1024" s="4">
        <f>L1024/MAX(L$2:L1024)-1</f>
        <v>-4.3949359601014315E-3</v>
      </c>
      <c r="N1024" s="4">
        <f t="shared" si="31"/>
        <v>1.6506564442708482E-2</v>
      </c>
    </row>
    <row r="1025" spans="1:14">
      <c r="A1025" s="3">
        <f>prices!A1026</f>
        <v>44978</v>
      </c>
      <c r="B1025" s="5">
        <f>prices!B1026/prices!B1025-1</f>
        <v>8.1579451093347632E-3</v>
      </c>
      <c r="C1025" s="5">
        <f>prices!C1026/prices!C1025-1</f>
        <v>-1.0409881125258647E-2</v>
      </c>
      <c r="D1025" s="5">
        <f>prices!D1026/prices!D1025-1</f>
        <v>3.7478749162844771E-3</v>
      </c>
      <c r="E1025" s="5">
        <f>prices!E1026/prices!E1025-1</f>
        <v>-8.1354272323457266E-3</v>
      </c>
      <c r="F1025" s="5">
        <f>prices!F1026/prices!F1025-1</f>
        <v>-4.6834775596291678E-3</v>
      </c>
      <c r="G1025" s="5">
        <f>prices!G1026/prices!G1025-1</f>
        <v>-2.7379130353618608E-3</v>
      </c>
      <c r="H1025" s="5">
        <f>prices!H1026/prices!H1025-1</f>
        <v>-1.3000618079344717E-2</v>
      </c>
      <c r="I1025" s="5">
        <f>prices!I1026/prices!I1025-1</f>
        <v>1.7738773223789916E-3</v>
      </c>
      <c r="J1025" s="5">
        <f>prices!J1026/prices!J1025-1</f>
        <v>-1.0031045806573324E-3</v>
      </c>
      <c r="K1025" s="8">
        <f>SUMPRODUCT(B1025:I1025,weights!$B$5:$I$5)</f>
        <v>-2.8215880035001376E-3</v>
      </c>
      <c r="L1025" s="4">
        <f t="shared" si="30"/>
        <v>200.48769127115989</v>
      </c>
      <c r="M1025" s="4">
        <f>L1025/MAX(L$2:L1025)-1</f>
        <v>-7.2041232650204012E-3</v>
      </c>
      <c r="N1025" s="4">
        <f t="shared" si="31"/>
        <v>9.5027073002900142E-3</v>
      </c>
    </row>
    <row r="1026" spans="1:14">
      <c r="A1026" s="3">
        <f>prices!A1027</f>
        <v>44979</v>
      </c>
      <c r="B1026" s="5">
        <f>prices!B1027/prices!B1026-1</f>
        <v>-2.2675490940653131E-2</v>
      </c>
      <c r="C1026" s="5">
        <f>prices!C1027/prices!C1026-1</f>
        <v>-1.4330898290118022E-2</v>
      </c>
      <c r="D1026" s="5">
        <f>prices!D1027/prices!D1026-1</f>
        <v>-1.9618913196894905E-2</v>
      </c>
      <c r="E1026" s="5">
        <f>prices!E1027/prices!E1026-1</f>
        <v>-1.12065560821486E-2</v>
      </c>
      <c r="F1026" s="5">
        <f>prices!F1027/prices!F1026-1</f>
        <v>4.1757556871300228E-3</v>
      </c>
      <c r="G1026" s="5">
        <f>prices!G1027/prices!G1026-1</f>
        <v>-1.2563221080293951E-3</v>
      </c>
      <c r="H1026" s="5">
        <f>prices!H1027/prices!H1026-1</f>
        <v>-3.1417169058333139E-3</v>
      </c>
      <c r="I1026" s="5">
        <f>prices!I1027/prices!I1026-1</f>
        <v>-1.5563839701770776E-2</v>
      </c>
      <c r="J1026" s="5">
        <f>prices!J1027/prices!J1026-1</f>
        <v>-1.528045011134993E-2</v>
      </c>
      <c r="K1026" s="8">
        <f>SUMPRODUCT(B1026:I1026,weights!$B$5:$I$5)</f>
        <v>-9.987756582495351E-3</v>
      </c>
      <c r="L1026" s="4">
        <f t="shared" si="30"/>
        <v>198.48526901295705</v>
      </c>
      <c r="M1026" s="4">
        <f>L1026/MAX(L$2:L1026)-1</f>
        <v>-1.71199268179546E-2</v>
      </c>
      <c r="N1026" s="4">
        <f t="shared" si="31"/>
        <v>-4.8417771830356893E-3</v>
      </c>
    </row>
    <row r="1027" spans="1:14">
      <c r="A1027" s="3">
        <f>prices!A1028</f>
        <v>44980</v>
      </c>
      <c r="B1027" s="5">
        <f>prices!B1028/prices!B1027-1</f>
        <v>-4.7920367081113469E-3</v>
      </c>
      <c r="C1027" s="5">
        <f>prices!C1028/prices!C1027-1</f>
        <v>3.6030518435505865E-3</v>
      </c>
      <c r="D1027" s="5">
        <f>prices!D1028/prices!D1027-1</f>
        <v>-6.7795722848990048E-3</v>
      </c>
      <c r="E1027" s="5">
        <f>prices!E1028/prices!E1027-1</f>
        <v>-7.1039849361284046E-3</v>
      </c>
      <c r="F1027" s="5">
        <f>prices!F1028/prices!F1027-1</f>
        <v>9.775322740814163E-3</v>
      </c>
      <c r="G1027" s="5">
        <f>prices!G1028/prices!G1027-1</f>
        <v>4.3071444533351322E-3</v>
      </c>
      <c r="H1027" s="5">
        <f>prices!H1028/prices!H1027-1</f>
        <v>4.0779386712095356E-3</v>
      </c>
      <c r="I1027" s="5">
        <f>prices!I1028/prices!I1027-1</f>
        <v>-1.6216983811417118E-2</v>
      </c>
      <c r="J1027" s="5">
        <f>prices!J1028/prices!J1027-1</f>
        <v>-2.4523905823643499E-3</v>
      </c>
      <c r="K1027" s="8">
        <f>SUMPRODUCT(B1027:I1027,weights!$B$5:$I$5)</f>
        <v>-2.3248464785427772E-3</v>
      </c>
      <c r="L1027" s="4">
        <f t="shared" si="30"/>
        <v>198.02382123424965</v>
      </c>
      <c r="M1027" s="4">
        <f>L1027/MAX(L$2:L1027)-1</f>
        <v>-1.9404972094921757E-2</v>
      </c>
      <c r="N1027" s="4">
        <f t="shared" si="31"/>
        <v>-1.6542331572066971E-3</v>
      </c>
    </row>
    <row r="1028" spans="1:14">
      <c r="A1028" s="3">
        <f>prices!A1029</f>
        <v>44981</v>
      </c>
      <c r="B1028" s="5">
        <f>prices!B1029/prices!B1028-1</f>
        <v>6.8415475283052363E-3</v>
      </c>
      <c r="C1028" s="5">
        <f>prices!C1029/prices!C1028-1</f>
        <v>-3.9114740901358136E-3</v>
      </c>
      <c r="D1028" s="5">
        <f>prices!D1029/prices!D1028-1</f>
        <v>-8.9210415348934813E-3</v>
      </c>
      <c r="E1028" s="5">
        <f>prices!E1029/prices!E1028-1</f>
        <v>-3.5917734022006265E-5</v>
      </c>
      <c r="F1028" s="5">
        <f>prices!F1029/prices!F1028-1</f>
        <v>-6.4537939088477048E-3</v>
      </c>
      <c r="G1028" s="5">
        <f>prices!G1029/prices!G1028-1</f>
        <v>-4.1116227212313339E-3</v>
      </c>
      <c r="H1028" s="5">
        <f>prices!H1029/prices!H1028-1</f>
        <v>-2.0571986044981561E-3</v>
      </c>
      <c r="I1028" s="5">
        <f>prices!I1029/prices!I1028-1</f>
        <v>-1.1624661989857454E-2</v>
      </c>
      <c r="J1028" s="5">
        <f>prices!J1029/prices!J1028-1</f>
        <v>-2.5954743379256184E-3</v>
      </c>
      <c r="K1028" s="8">
        <f>SUMPRODUCT(B1028:I1028,weights!$B$5:$I$5)</f>
        <v>-4.0779504376872149E-3</v>
      </c>
      <c r="L1028" s="4">
        <f t="shared" ref="L1028:L1091" si="32">L1027*(1+K1028)</f>
        <v>197.21628990577494</v>
      </c>
      <c r="M1028" s="4">
        <f>L1028/MAX(L$2:L1028)-1</f>
        <v>-2.3403790018161175E-2</v>
      </c>
      <c r="N1028" s="4">
        <f t="shared" si="31"/>
        <v>1.8789449845746375E-4</v>
      </c>
    </row>
    <row r="1029" spans="1:14">
      <c r="A1029" s="3">
        <f>prices!A1030</f>
        <v>44984</v>
      </c>
      <c r="B1029" s="5">
        <f>prices!B1030/prices!B1029-1</f>
        <v>-6.6473401407021182E-3</v>
      </c>
      <c r="C1029" s="5">
        <f>prices!C1030/prices!C1029-1</f>
        <v>-2.017512701107671E-2</v>
      </c>
      <c r="D1029" s="5">
        <f>prices!D1030/prices!D1029-1</f>
        <v>2.4863384345374939E-3</v>
      </c>
      <c r="E1029" s="5">
        <f>prices!E1030/prices!E1029-1</f>
        <v>-2.6666283530409007E-2</v>
      </c>
      <c r="F1029" s="5">
        <f>prices!F1030/prices!F1029-1</f>
        <v>-7.5164712796560451E-3</v>
      </c>
      <c r="G1029" s="5">
        <f>prices!G1030/prices!G1029-1</f>
        <v>-3.2673222132264534E-3</v>
      </c>
      <c r="H1029" s="5">
        <f>prices!H1030/prices!H1029-1</f>
        <v>-5.6105154661085788E-3</v>
      </c>
      <c r="I1029" s="5">
        <f>prices!I1030/prices!I1029-1</f>
        <v>-9.5366520947530731E-3</v>
      </c>
      <c r="J1029" s="5">
        <f>prices!J1030/prices!J1029-1</f>
        <v>-4.1853221724741374E-3</v>
      </c>
      <c r="K1029" s="8">
        <f>SUMPRODUCT(B1029:I1029,weights!$B$5:$I$5)</f>
        <v>-8.6810757646650239E-3</v>
      </c>
      <c r="L1029" s="4">
        <f t="shared" si="32"/>
        <v>195.50424035107676</v>
      </c>
      <c r="M1029" s="4">
        <f>L1029/MAX(L$2:L1029)-1</f>
        <v>-3.1881695708498303E-2</v>
      </c>
      <c r="N1029" s="4">
        <f t="shared" si="31"/>
        <v>-9.7007166348412888E-3</v>
      </c>
    </row>
    <row r="1030" spans="1:14">
      <c r="A1030" s="3">
        <f>prices!A1031</f>
        <v>44985</v>
      </c>
      <c r="B1030" s="5">
        <f>prices!B1031/prices!B1030-1</f>
        <v>-1.9127460639069227E-2</v>
      </c>
      <c r="C1030" s="5">
        <f>prices!C1031/prices!C1030-1</f>
        <v>-5.7005640698168936E-3</v>
      </c>
      <c r="D1030" s="5">
        <f>prices!D1031/prices!D1030-1</f>
        <v>4.2043555531976473E-3</v>
      </c>
      <c r="E1030" s="5">
        <f>prices!E1031/prices!E1030-1</f>
        <v>-1.4406967303860041E-2</v>
      </c>
      <c r="F1030" s="5">
        <f>prices!F1031/prices!F1030-1</f>
        <v>-1.4398803216356004E-2</v>
      </c>
      <c r="G1030" s="5">
        <f>prices!G1031/prices!G1030-1</f>
        <v>-9.0868991980863623E-4</v>
      </c>
      <c r="H1030" s="5">
        <f>prices!H1031/prices!H1030-1</f>
        <v>-8.7517765358352539E-3</v>
      </c>
      <c r="I1030" s="5">
        <f>prices!I1031/prices!I1030-1</f>
        <v>-2.152767879523565E-3</v>
      </c>
      <c r="J1030" s="5">
        <f>prices!J1031/prices!J1030-1</f>
        <v>-5.1027155070805241E-3</v>
      </c>
      <c r="K1030" s="8">
        <f>SUMPRODUCT(B1030:I1030,weights!$B$5:$I$5)</f>
        <v>-6.9683602787901202E-3</v>
      </c>
      <c r="L1030" s="4">
        <f t="shared" si="32"/>
        <v>194.14189636827928</v>
      </c>
      <c r="M1030" s="4">
        <f>L1030/MAX(L$2:L1030)-1</f>
        <v>-3.8627892845292888E-2</v>
      </c>
      <c r="N1030" s="4">
        <f t="shared" si="31"/>
        <v>-1.5776168927481682E-2</v>
      </c>
    </row>
    <row r="1031" spans="1:14">
      <c r="A1031" s="3">
        <f>prices!A1032</f>
        <v>44986</v>
      </c>
      <c r="B1031" s="5">
        <f>prices!B1032/prices!B1031-1</f>
        <v>9.1911764705883137E-3</v>
      </c>
      <c r="C1031" s="5">
        <f>prices!C1032/prices!C1031-1</f>
        <v>2.1989710929294581E-2</v>
      </c>
      <c r="D1031" s="5">
        <f>prices!D1032/prices!D1031-1</f>
        <v>-9.6414184771842493E-4</v>
      </c>
      <c r="E1031" s="5">
        <f>prices!E1032/prices!E1031-1</f>
        <v>5.7137294253319926E-3</v>
      </c>
      <c r="F1031" s="5">
        <f>prices!F1032/prices!F1031-1</f>
        <v>5.3124209461168359E-3</v>
      </c>
      <c r="G1031" s="5">
        <f>prices!G1032/prices!G1031-1</f>
        <v>1.6209656796282612E-2</v>
      </c>
      <c r="H1031" s="5">
        <f>prices!H1032/prices!H1031-1</f>
        <v>2.8136521420409899E-3</v>
      </c>
      <c r="I1031" s="5">
        <f>prices!I1032/prices!I1031-1</f>
        <v>2.9159545071693049E-3</v>
      </c>
      <c r="J1031" s="5">
        <f>prices!J1032/prices!J1031-1</f>
        <v>8.4922806642413473E-3</v>
      </c>
      <c r="K1031" s="8">
        <f>SUMPRODUCT(B1031:I1031,weights!$B$5:$I$5)</f>
        <v>8.1067179873335424E-3</v>
      </c>
      <c r="L1031" s="4">
        <f t="shared" si="32"/>
        <v>195.71574997166306</v>
      </c>
      <c r="M1031" s="4">
        <f>L1031/MAX(L$2:L1031)-1</f>
        <v>-3.0834320291700967E-2</v>
      </c>
      <c r="N1031" s="4">
        <f t="shared" si="31"/>
        <v>-8.8905783927786253E-3</v>
      </c>
    </row>
    <row r="1032" spans="1:14">
      <c r="A1032" s="3">
        <f>prices!A1033</f>
        <v>44987</v>
      </c>
      <c r="B1032" s="5">
        <f>prices!B1033/prices!B1032-1</f>
        <v>-7.6145944829398848E-3</v>
      </c>
      <c r="C1032" s="5">
        <f>prices!C1033/prices!C1032-1</f>
        <v>-1.8976735661076383E-2</v>
      </c>
      <c r="D1032" s="5">
        <f>prices!D1033/prices!D1032-1</f>
        <v>-8.513788635942876E-3</v>
      </c>
      <c r="E1032" s="5">
        <f>prices!E1033/prices!E1032-1</f>
        <v>-1.597903217399721E-2</v>
      </c>
      <c r="F1032" s="5">
        <f>prices!F1033/prices!F1032-1</f>
        <v>-8.3354302969301797E-3</v>
      </c>
      <c r="G1032" s="5">
        <f>prices!G1033/prices!G1032-1</f>
        <v>-2.4577126238945812E-2</v>
      </c>
      <c r="H1032" s="5">
        <f>prices!H1033/prices!H1032-1</f>
        <v>6.2565172054223073E-3</v>
      </c>
      <c r="I1032" s="5">
        <f>prices!I1033/prices!I1032-1</f>
        <v>2.9762343268848745E-3</v>
      </c>
      <c r="J1032" s="5">
        <f>prices!J1033/prices!J1032-1</f>
        <v>-7.3921688852723877E-3</v>
      </c>
      <c r="K1032" s="8">
        <f>SUMPRODUCT(B1032:I1032,weights!$B$5:$I$5)</f>
        <v>-8.5668030217491142E-3</v>
      </c>
      <c r="L1032" s="4">
        <f t="shared" si="32"/>
        <v>194.0390916934019</v>
      </c>
      <c r="M1032" s="4">
        <f>L1032/MAX(L$2:L1032)-1</f>
        <v>-3.91369717652017E-2</v>
      </c>
      <c r="N1032" s="4">
        <f t="shared" si="31"/>
        <v>-2.3627279041188554E-2</v>
      </c>
    </row>
    <row r="1033" spans="1:14">
      <c r="A1033" s="3">
        <f>prices!A1034</f>
        <v>44988</v>
      </c>
      <c r="B1033" s="5">
        <f>prices!B1034/prices!B1033-1</f>
        <v>2.5516817257202451E-2</v>
      </c>
      <c r="C1033" s="5">
        <f>prices!C1034/prices!C1033-1</f>
        <v>6.2321925440556036E-3</v>
      </c>
      <c r="D1033" s="5">
        <f>prices!D1034/prices!D1033-1</f>
        <v>1.9853862769673825E-2</v>
      </c>
      <c r="E1033" s="5">
        <f>prices!E1034/prices!E1033-1</f>
        <v>4.8579319738186744E-3</v>
      </c>
      <c r="F1033" s="5">
        <f>prices!F1034/prices!F1033-1</f>
        <v>2.5026168046436537E-2</v>
      </c>
      <c r="G1033" s="5">
        <f>prices!G1034/prices!G1033-1</f>
        <v>6.1405910592700064E-3</v>
      </c>
      <c r="H1033" s="5">
        <f>prices!H1034/prices!H1033-1</f>
        <v>1.655894450082851E-3</v>
      </c>
      <c r="I1033" s="5">
        <f>prices!I1034/prices!I1033-1</f>
        <v>1.4352239507587461E-2</v>
      </c>
      <c r="J1033" s="5">
        <f>prices!J1034/prices!J1033-1</f>
        <v>1.5728644086387522E-2</v>
      </c>
      <c r="K1033" s="8">
        <f>SUMPRODUCT(B1033:I1033,weights!$B$5:$I$5)</f>
        <v>1.2046153065187425E-2</v>
      </c>
      <c r="L1033" s="4">
        <f t="shared" si="32"/>
        <v>196.37651629257056</v>
      </c>
      <c r="M1033" s="4">
        <f>L1033/MAX(L$2:L1033)-1</f>
        <v>-2.7562268652405852E-2</v>
      </c>
      <c r="N1033" s="4">
        <f t="shared" si="31"/>
        <v>-2.2784554300193549E-2</v>
      </c>
    </row>
    <row r="1034" spans="1:14">
      <c r="A1034" s="3">
        <f>prices!A1035</f>
        <v>44991</v>
      </c>
      <c r="B1034" s="5">
        <f>prices!B1035/prices!B1034-1</f>
        <v>9.7608679607350535E-3</v>
      </c>
      <c r="C1034" s="5">
        <f>prices!C1035/prices!C1034-1</f>
        <v>8.8858827196107715E-3</v>
      </c>
      <c r="D1034" s="5">
        <f>prices!D1035/prices!D1034-1</f>
        <v>7.0469491547582308E-3</v>
      </c>
      <c r="E1034" s="5">
        <f>prices!E1035/prices!E1034-1</f>
        <v>1.9029044330820755E-2</v>
      </c>
      <c r="F1034" s="5">
        <f>prices!F1035/prices!F1034-1</f>
        <v>8.3240500061889655E-3</v>
      </c>
      <c r="G1034" s="5">
        <f>prices!G1035/prices!G1034-1</f>
        <v>3.5111654577759666E-3</v>
      </c>
      <c r="H1034" s="5">
        <f>prices!H1035/prices!H1034-1</f>
        <v>-1.7064846416382506E-3</v>
      </c>
      <c r="I1034" s="5">
        <f>prices!I1035/prices!I1034-1</f>
        <v>-5.0639633116098537E-3</v>
      </c>
      <c r="J1034" s="5">
        <f>prices!J1035/prices!J1034-1</f>
        <v>6.6555456723325079E-3</v>
      </c>
      <c r="K1034" s="8">
        <f>SUMPRODUCT(B1034:I1034,weights!$B$5:$I$5)</f>
        <v>4.2829164531895531E-3</v>
      </c>
      <c r="L1034" s="4">
        <f t="shared" si="32"/>
        <v>197.21758050522004</v>
      </c>
      <c r="M1034" s="4">
        <f>L1034/MAX(L$2:L1034)-1</f>
        <v>-2.339739909311489E-2</v>
      </c>
      <c r="N1034" s="4">
        <f t="shared" si="31"/>
        <v>-1.3468764335388905E-2</v>
      </c>
    </row>
    <row r="1035" spans="1:14">
      <c r="A1035" s="3">
        <f>prices!A1036</f>
        <v>44993</v>
      </c>
      <c r="B1035" s="5">
        <f>prices!B1036/prices!B1035-1</f>
        <v>3.5906806761079046E-3</v>
      </c>
      <c r="C1035" s="5">
        <f>prices!C1036/prices!C1035-1</f>
        <v>5.5014756048663571E-3</v>
      </c>
      <c r="D1035" s="5">
        <f>prices!D1036/prices!D1035-1</f>
        <v>1.9993249032794758E-3</v>
      </c>
      <c r="E1035" s="5">
        <f>prices!E1036/prices!E1035-1</f>
        <v>-9.7839259850432958E-3</v>
      </c>
      <c r="F1035" s="5">
        <f>prices!F1036/prices!F1035-1</f>
        <v>1.0955961331901243E-2</v>
      </c>
      <c r="G1035" s="5">
        <f>prices!G1036/prices!G1035-1</f>
        <v>7.2351975547610969E-3</v>
      </c>
      <c r="H1035" s="5">
        <f>prices!H1036/prices!H1035-1</f>
        <v>-8.0235042735042894E-3</v>
      </c>
      <c r="I1035" s="5">
        <f>prices!I1036/prices!I1035-1</f>
        <v>1.3847579584766567E-2</v>
      </c>
      <c r="J1035" s="5">
        <f>prices!J1036/prices!J1035-1</f>
        <v>2.4249849673516621E-3</v>
      </c>
      <c r="K1035" s="8">
        <f>SUMPRODUCT(B1035:I1035,weights!$B$5:$I$5)</f>
        <v>4.0994656621295388E-3</v>
      </c>
      <c r="L1035" s="4">
        <f t="shared" si="32"/>
        <v>198.02606720446948</v>
      </c>
      <c r="M1035" s="4">
        <f>L1035/MAX(L$2:L1035)-1</f>
        <v>-1.9393850265150614E-2</v>
      </c>
      <c r="N1035" s="4">
        <f t="shared" si="31"/>
        <v>-2.1155876433057719E-3</v>
      </c>
    </row>
    <row r="1036" spans="1:14">
      <c r="A1036" s="3">
        <f>prices!A1037</f>
        <v>44994</v>
      </c>
      <c r="B1036" s="5">
        <f>prices!B1037/prices!B1036-1</f>
        <v>-2.4034303505913068E-2</v>
      </c>
      <c r="C1036" s="5">
        <f>prices!C1037/prices!C1036-1</f>
        <v>-1.579312057942972E-2</v>
      </c>
      <c r="D1036" s="5">
        <f>prices!D1037/prices!D1036-1</f>
        <v>9.069707178022135E-5</v>
      </c>
      <c r="E1036" s="5">
        <f>prices!E1037/prices!E1036-1</f>
        <v>-8.2388059701492544E-3</v>
      </c>
      <c r="F1036" s="5">
        <f>prices!F1037/prices!F1036-1</f>
        <v>-1.2476473802440657E-2</v>
      </c>
      <c r="G1036" s="5">
        <f>prices!G1037/prices!G1036-1</f>
        <v>-1.7477626460307927E-2</v>
      </c>
      <c r="H1036" s="5">
        <f>prices!H1037/prices!H1036-1</f>
        <v>-5.0189016575299394E-3</v>
      </c>
      <c r="I1036" s="5">
        <f>prices!I1037/prices!I1036-1</f>
        <v>1.0318011055011844E-2</v>
      </c>
      <c r="J1036" s="5">
        <f>prices!J1037/prices!J1036-1</f>
        <v>-9.2822061010230383E-3</v>
      </c>
      <c r="K1036" s="8">
        <f>SUMPRODUCT(B1036:I1036,weights!$B$5:$I$5)</f>
        <v>-8.3021837098020239E-3</v>
      </c>
      <c r="L1036" s="4">
        <f t="shared" si="32"/>
        <v>196.38201841520836</v>
      </c>
      <c r="M1036" s="4">
        <f>L1036/MAX(L$2:L1036)-1</f>
        <v>-2.7535022667211084E-2</v>
      </c>
      <c r="N1036" s="4">
        <f t="shared" si="31"/>
        <v>-1.6667408527633931E-2</v>
      </c>
    </row>
    <row r="1037" spans="1:14">
      <c r="A1037" s="3">
        <f>prices!A1038</f>
        <v>44995</v>
      </c>
      <c r="B1037" s="5">
        <f>prices!B1038/prices!B1037-1</f>
        <v>-1.5493969385184991E-2</v>
      </c>
      <c r="C1037" s="5">
        <f>prices!C1038/prices!C1037-1</f>
        <v>-1.7534304804663892E-3</v>
      </c>
      <c r="D1037" s="5">
        <f>prices!D1038/prices!D1037-1</f>
        <v>-2.5781543524168504E-2</v>
      </c>
      <c r="E1037" s="5">
        <f>prices!E1038/prices!E1037-1</f>
        <v>-5.9821213580544264E-3</v>
      </c>
      <c r="F1037" s="5">
        <f>prices!F1038/prices!F1037-1</f>
        <v>1.2910762042359636E-3</v>
      </c>
      <c r="G1037" s="5">
        <f>prices!G1038/prices!G1037-1</f>
        <v>6.9773021504315746E-3</v>
      </c>
      <c r="H1037" s="5">
        <f>prices!H1038/prices!H1037-1</f>
        <v>2.9983871491507941E-3</v>
      </c>
      <c r="I1037" s="5">
        <f>prices!I1038/prices!I1037-1</f>
        <v>-1.6119482168148624E-2</v>
      </c>
      <c r="J1037" s="5">
        <f>prices!J1038/prices!J1037-1</f>
        <v>-1.0045708827943645E-2</v>
      </c>
      <c r="K1037" s="8">
        <f>SUMPRODUCT(B1037:I1037,weights!$B$5:$I$5)</f>
        <v>-5.8089932978395067E-3</v>
      </c>
      <c r="L1037" s="4">
        <f t="shared" si="32"/>
        <v>195.24123658641824</v>
      </c>
      <c r="M1037" s="4">
        <f>L1037/MAX(L$2:L1037)-1</f>
        <v>-3.3184065202920832E-2</v>
      </c>
      <c r="N1037" s="4">
        <f t="shared" si="31"/>
        <v>-2.391839273620755E-2</v>
      </c>
    </row>
    <row r="1038" spans="1:14">
      <c r="A1038" s="3">
        <f>prices!A1039</f>
        <v>44998</v>
      </c>
      <c r="B1038" s="5">
        <f>prices!B1039/prices!B1038-1</f>
        <v>-1.6438953212939089E-2</v>
      </c>
      <c r="C1038" s="5">
        <f>prices!C1039/prices!C1038-1</f>
        <v>-1.4727408215678195E-2</v>
      </c>
      <c r="D1038" s="5">
        <f>prices!D1039/prices!D1038-1</f>
        <v>-1.2646781121587236E-2</v>
      </c>
      <c r="E1038" s="5">
        <f>prices!E1039/prices!E1038-1</f>
        <v>-2.476892680600451E-2</v>
      </c>
      <c r="F1038" s="5">
        <f>prices!F1039/prices!F1038-1</f>
        <v>-1.1236300003070077E-2</v>
      </c>
      <c r="G1038" s="5">
        <f>prices!G1039/prices!G1038-1</f>
        <v>-9.6671585109213698E-3</v>
      </c>
      <c r="H1038" s="5">
        <f>prices!H1039/prices!H1038-1</f>
        <v>-1.5216922080725226E-3</v>
      </c>
      <c r="I1038" s="5">
        <f>prices!I1039/prices!I1038-1</f>
        <v>-1.1121381940031205E-2</v>
      </c>
      <c r="J1038" s="5">
        <f>prices!J1039/prices!J1038-1</f>
        <v>-1.4851058697862074E-2</v>
      </c>
      <c r="K1038" s="8">
        <f>SUMPRODUCT(B1038:I1038,weights!$B$5:$I$5)</f>
        <v>-1.1664015321190473E-2</v>
      </c>
      <c r="L1038" s="4">
        <f t="shared" si="32"/>
        <v>192.96393981154608</v>
      </c>
      <c r="M1038" s="4">
        <f>L1038/MAX(L$2:L1038)-1</f>
        <v>-4.4461021079165053E-2</v>
      </c>
      <c r="N1038" s="4">
        <f t="shared" si="31"/>
        <v>-3.5087485566658083E-2</v>
      </c>
    </row>
    <row r="1039" spans="1:14">
      <c r="A1039" s="3">
        <f>prices!A1040</f>
        <v>44999</v>
      </c>
      <c r="B1039" s="5">
        <f>prices!B1040/prices!B1039-1</f>
        <v>-3.7473388114480644E-3</v>
      </c>
      <c r="C1039" s="5">
        <f>prices!C1040/prices!C1039-1</f>
        <v>-2.0414020373502928E-2</v>
      </c>
      <c r="D1039" s="5">
        <f>prices!D1040/prices!D1039-1</f>
        <v>-2.6802790722733061E-3</v>
      </c>
      <c r="E1039" s="5">
        <f>prices!E1040/prices!E1039-1</f>
        <v>-1.0517818193108708E-2</v>
      </c>
      <c r="F1039" s="5">
        <f>prices!F1040/prices!F1039-1</f>
        <v>-1.0277268916695115E-2</v>
      </c>
      <c r="G1039" s="5">
        <f>prices!G1040/prices!G1039-1</f>
        <v>-7.339767740927039E-4</v>
      </c>
      <c r="H1039" s="5">
        <f>prices!H1040/prices!H1039-1</f>
        <v>3.2533857910266306E-3</v>
      </c>
      <c r="I1039" s="5">
        <f>prices!I1040/prices!I1039-1</f>
        <v>4.8539907886151479E-3</v>
      </c>
      <c r="J1039" s="5">
        <f>prices!J1040/prices!J1039-1</f>
        <v>-6.4706808205522437E-3</v>
      </c>
      <c r="K1039" s="8">
        <f>SUMPRODUCT(B1039:I1039,weights!$B$5:$I$5)</f>
        <v>-2.914901769498237E-3</v>
      </c>
      <c r="L1039" s="4">
        <f t="shared" si="32"/>
        <v>192.40146888194005</v>
      </c>
      <c r="M1039" s="4">
        <f>L1039/MAX(L$2:L1039)-1</f>
        <v>-4.7246323339645957E-2</v>
      </c>
      <c r="N1039" s="4">
        <f t="shared" si="31"/>
        <v>-3.9133314087638538E-2</v>
      </c>
    </row>
    <row r="1040" spans="1:14">
      <c r="A1040" s="3">
        <f>prices!A1041</f>
        <v>45000</v>
      </c>
      <c r="B1040" s="5">
        <f>prices!B1041/prices!B1040-1</f>
        <v>-1.7086000502813947E-2</v>
      </c>
      <c r="C1040" s="5">
        <f>prices!C1041/prices!C1040-1</f>
        <v>-4.9909865815533916E-3</v>
      </c>
      <c r="D1040" s="5">
        <f>prices!D1041/prices!D1040-1</f>
        <v>-1.4355747025537879E-2</v>
      </c>
      <c r="E1040" s="5">
        <f>prices!E1041/prices!E1040-1</f>
        <v>-2.510315829109544E-4</v>
      </c>
      <c r="F1040" s="5">
        <f>prices!F1041/prices!F1040-1</f>
        <v>-7.8428912034134157E-4</v>
      </c>
      <c r="G1040" s="5">
        <f>prices!G1041/prices!G1040-1</f>
        <v>-4.3692085071850295E-3</v>
      </c>
      <c r="H1040" s="5">
        <f>prices!H1041/prices!H1040-1</f>
        <v>-6.0655031243266322E-3</v>
      </c>
      <c r="I1040" s="5">
        <f>prices!I1041/prices!I1040-1</f>
        <v>1.5131180503403785E-2</v>
      </c>
      <c r="J1040" s="5">
        <f>prices!J1041/prices!J1040-1</f>
        <v>-4.1746610104849147E-3</v>
      </c>
      <c r="K1040" s="8">
        <f>SUMPRODUCT(B1040:I1040,weights!$B$5:$I$5)</f>
        <v>-2.5505895559086501E-3</v>
      </c>
      <c r="L1040" s="4">
        <f t="shared" si="32"/>
        <v>191.91073170486828</v>
      </c>
      <c r="M1040" s="4">
        <f>L1040/MAX(L$2:L1040)-1</f>
        <v>-4.9676406916689397E-2</v>
      </c>
      <c r="N1040" s="4">
        <f t="shared" si="31"/>
        <v>-4.6534345954622025E-2</v>
      </c>
    </row>
    <row r="1041" spans="1:14">
      <c r="A1041" s="3">
        <f>prices!A1042</f>
        <v>45001</v>
      </c>
      <c r="B1041" s="5">
        <f>prices!B1042/prices!B1041-1</f>
        <v>-4.9876538351810717E-3</v>
      </c>
      <c r="C1041" s="5">
        <f>prices!C1042/prices!C1041-1</f>
        <v>-4.3474495539967961E-3</v>
      </c>
      <c r="D1041" s="5">
        <f>prices!D1042/prices!D1041-1</f>
        <v>6.4808725200045103E-3</v>
      </c>
      <c r="E1041" s="5">
        <f>prices!E1042/prices!E1041-1</f>
        <v>-1.0954002605106705E-2</v>
      </c>
      <c r="F1041" s="5">
        <f>prices!F1042/prices!F1041-1</f>
        <v>5.400144422467168E-3</v>
      </c>
      <c r="G1041" s="5">
        <f>prices!G1042/prices!G1041-1</f>
        <v>-4.4252078497417635E-3</v>
      </c>
      <c r="H1041" s="5">
        <f>prices!H1042/prices!H1041-1</f>
        <v>1.68225717289745E-2</v>
      </c>
      <c r="I1041" s="5">
        <f>prices!I1042/prices!I1041-1</f>
        <v>-1.3984478660543642E-3</v>
      </c>
      <c r="J1041" s="5">
        <f>prices!J1042/prices!J1041-1</f>
        <v>7.9247473066157426E-4</v>
      </c>
      <c r="K1041" s="8">
        <f>SUMPRODUCT(B1041:I1041,weights!$B$5:$I$5)</f>
        <v>3.9009671678148853E-4</v>
      </c>
      <c r="L1041" s="4">
        <f t="shared" si="32"/>
        <v>191.98559545122151</v>
      </c>
      <c r="M1041" s="4">
        <f>L1041/MAX(L$2:L1041)-1</f>
        <v>-4.9305688803147452E-2</v>
      </c>
      <c r="N1041" s="4">
        <f t="shared" si="31"/>
        <v>-4.8316536748540306E-2</v>
      </c>
    </row>
    <row r="1042" spans="1:14">
      <c r="A1042" s="3">
        <f>prices!A1043</f>
        <v>45002</v>
      </c>
      <c r="B1042" s="5">
        <f>prices!B1043/prices!B1042-1</f>
        <v>-1.2556355295421096E-3</v>
      </c>
      <c r="C1042" s="5">
        <f>prices!C1043/prices!C1042-1</f>
        <v>-1.7883237074663993E-3</v>
      </c>
      <c r="D1042" s="5">
        <f>prices!D1043/prices!D1042-1</f>
        <v>1.338197857249801E-2</v>
      </c>
      <c r="E1042" s="5">
        <f>prices!E1043/prices!E1042-1</f>
        <v>1.1821081192580296E-2</v>
      </c>
      <c r="F1042" s="5">
        <f>prices!F1043/prices!F1042-1</f>
        <v>-1.5488867376573179E-2</v>
      </c>
      <c r="G1042" s="5">
        <f>prices!G1043/prices!G1042-1</f>
        <v>-1.4293887153133178E-2</v>
      </c>
      <c r="H1042" s="5">
        <f>prices!H1043/prices!H1042-1</f>
        <v>-1.0031020477779373E-2</v>
      </c>
      <c r="I1042" s="5">
        <f>prices!I1043/prices!I1042-1</f>
        <v>1.0189986856255384E-2</v>
      </c>
      <c r="J1042" s="5">
        <f>prices!J1043/prices!J1042-1</f>
        <v>6.7380604747551143E-3</v>
      </c>
      <c r="K1042" s="8">
        <f>SUMPRODUCT(B1042:I1042,weights!$B$5:$I$5)</f>
        <v>-1.899048450045434E-3</v>
      </c>
      <c r="L1042" s="4">
        <f t="shared" si="32"/>
        <v>191.62100550374882</v>
      </c>
      <c r="M1042" s="4">
        <f>L1042/MAX(L$2:L1042)-1</f>
        <v>-5.1111103361292876E-2</v>
      </c>
      <c r="N1042" s="4">
        <f t="shared" si="31"/>
        <v>-5.0373523423866362E-2</v>
      </c>
    </row>
    <row r="1043" spans="1:14">
      <c r="A1043" s="3">
        <f>prices!A1044</f>
        <v>45005</v>
      </c>
      <c r="B1043" s="5">
        <f>prices!B1044/prices!B1043-1</f>
        <v>-9.8300286090459155E-3</v>
      </c>
      <c r="C1043" s="5">
        <f>prices!C1044/prices!C1043-1</f>
        <v>-1.132426648449314E-2</v>
      </c>
      <c r="D1043" s="5">
        <f>prices!D1044/prices!D1043-1</f>
        <v>-6.9317571198279637E-3</v>
      </c>
      <c r="E1043" s="5">
        <f>prices!E1044/prices!E1043-1</f>
        <v>-1.1996612721113964E-2</v>
      </c>
      <c r="F1043" s="5">
        <f>prices!F1044/prices!F1043-1</f>
        <v>8.6592444571320648E-3</v>
      </c>
      <c r="G1043" s="5">
        <f>prices!G1044/prices!G1043-1</f>
        <v>-1.1692995085389568E-2</v>
      </c>
      <c r="H1043" s="5">
        <f>prices!H1044/prices!H1043-1</f>
        <v>3.6611103932464584E-3</v>
      </c>
      <c r="I1043" s="5">
        <f>prices!I1044/prices!I1043-1</f>
        <v>-8.2892925240233284E-3</v>
      </c>
      <c r="J1043" s="5">
        <f>prices!J1044/prices!J1043-1</f>
        <v>-6.5292206747932235E-3</v>
      </c>
      <c r="K1043" s="8">
        <f>SUMPRODUCT(B1043:I1043,weights!$B$5:$I$5)</f>
        <v>-6.4071235187317405E-3</v>
      </c>
      <c r="L1043" s="4">
        <f t="shared" si="32"/>
        <v>190.39326605270273</v>
      </c>
      <c r="M1043" s="4">
        <f>L1043/MAX(L$2:L1043)-1</f>
        <v>-5.7190751727610123E-2</v>
      </c>
      <c r="N1043" s="4">
        <f t="shared" si="31"/>
        <v>-5.7190751727610123E-2</v>
      </c>
    </row>
    <row r="1044" spans="1:14">
      <c r="A1044" s="3">
        <f>prices!A1045</f>
        <v>45006</v>
      </c>
      <c r="B1044" s="5">
        <f>prices!B1045/prices!B1044-1</f>
        <v>3.109253779093013E-2</v>
      </c>
      <c r="C1044" s="5">
        <f>prices!C1045/prices!C1044-1</f>
        <v>-1.1834715871633761E-2</v>
      </c>
      <c r="D1044" s="5">
        <f>prices!D1045/prices!D1044-1</f>
        <v>1.1335966668470254E-2</v>
      </c>
      <c r="E1044" s="5">
        <f>prices!E1045/prices!E1044-1</f>
        <v>-9.229719219719601E-3</v>
      </c>
      <c r="F1044" s="5">
        <f>prices!F1045/prices!F1044-1</f>
        <v>-4.8742138364780141E-3</v>
      </c>
      <c r="G1044" s="5">
        <f>prices!G1045/prices!G1044-1</f>
        <v>1.0707437619050797E-3</v>
      </c>
      <c r="H1044" s="5">
        <f>prices!H1045/prices!H1044-1</f>
        <v>-5.2034160157926612E-3</v>
      </c>
      <c r="I1044" s="5">
        <f>prices!I1045/prices!I1044-1</f>
        <v>1.4188592829369462E-2</v>
      </c>
      <c r="J1044" s="5">
        <f>prices!J1045/prices!J1044-1</f>
        <v>7.0106661015751914E-3</v>
      </c>
      <c r="K1044" s="8">
        <f>SUMPRODUCT(B1044:I1044,weights!$B$5:$I$5)</f>
        <v>4.7900668562458129E-3</v>
      </c>
      <c r="L1044" s="4">
        <f t="shared" si="32"/>
        <v>191.30526252607416</v>
      </c>
      <c r="M1044" s="4">
        <f>L1044/MAX(L$2:L1044)-1</f>
        <v>-5.2674632395698584E-2</v>
      </c>
      <c r="N1044" s="4">
        <f t="shared" si="31"/>
        <v>-4.8492819270817167E-2</v>
      </c>
    </row>
    <row r="1045" spans="1:14">
      <c r="A1045" s="3">
        <f>prices!A1046</f>
        <v>45007</v>
      </c>
      <c r="B1045" s="5">
        <f>prices!B1046/prices!B1045-1</f>
        <v>3.044582775806326E-3</v>
      </c>
      <c r="C1045" s="5">
        <f>prices!C1046/prices!C1045-1</f>
        <v>7.9521940777738109E-3</v>
      </c>
      <c r="D1045" s="5">
        <f>prices!D1046/prices!D1045-1</f>
        <v>-2.3140097910703261E-3</v>
      </c>
      <c r="E1045" s="5">
        <f>prices!E1046/prices!E1045-1</f>
        <v>-1.0413078827006261E-3</v>
      </c>
      <c r="F1045" s="5">
        <f>prices!F1046/prices!F1045-1</f>
        <v>2.1172381102860793E-3</v>
      </c>
      <c r="G1045" s="5">
        <f>prices!G1046/prices!G1045-1</f>
        <v>2.9167419979239106E-3</v>
      </c>
      <c r="H1045" s="5">
        <f>prices!H1046/prices!H1045-1</f>
        <v>1.657625400386098E-2</v>
      </c>
      <c r="I1045" s="5">
        <f>prices!I1046/prices!I1045-1</f>
        <v>2.4884866332046673E-3</v>
      </c>
      <c r="J1045" s="5">
        <f>prices!J1046/prices!J1045-1</f>
        <v>2.5953529153881494E-3</v>
      </c>
      <c r="K1045" s="8">
        <f>SUMPRODUCT(B1045:I1045,weights!$B$5:$I$5)</f>
        <v>4.5597015849627529E-3</v>
      </c>
      <c r="L1045" s="4">
        <f t="shared" si="32"/>
        <v>192.17755743482601</v>
      </c>
      <c r="M1045" s="4">
        <f>L1045/MAX(L$2:L1045)-1</f>
        <v>-4.8355111415557817E-2</v>
      </c>
      <c r="N1045" s="4">
        <f t="shared" si="31"/>
        <v>-4.144959615049093E-2</v>
      </c>
    </row>
    <row r="1046" spans="1:14">
      <c r="A1046" s="3">
        <f>prices!A1047</f>
        <v>45008</v>
      </c>
      <c r="B1046" s="5">
        <f>prices!B1047/prices!B1046-1</f>
        <v>-1.2653700409867796E-2</v>
      </c>
      <c r="C1046" s="5">
        <f>prices!C1047/prices!C1046-1</f>
        <v>-1.9644001146785772E-3</v>
      </c>
      <c r="D1046" s="5">
        <f>prices!D1047/prices!D1046-1</f>
        <v>-8.0306747643754672E-3</v>
      </c>
      <c r="E1046" s="5">
        <f>prices!E1047/prices!E1046-1</f>
        <v>-1.0576283146103482E-2</v>
      </c>
      <c r="F1046" s="5">
        <f>prices!F1047/prices!F1046-1</f>
        <v>7.6627144298688776E-3</v>
      </c>
      <c r="G1046" s="5">
        <f>prices!G1047/prices!G1046-1</f>
        <v>1.2214185044462145E-2</v>
      </c>
      <c r="H1046" s="5">
        <f>prices!H1047/prices!H1046-1</f>
        <v>5.7606619987269347E-3</v>
      </c>
      <c r="I1046" s="5">
        <f>prices!I1047/prices!I1046-1</f>
        <v>-3.2941043977701145E-3</v>
      </c>
      <c r="J1046" s="5">
        <f>prices!J1047/prices!J1046-1</f>
        <v>-4.3726934042292998E-3</v>
      </c>
      <c r="K1046" s="8">
        <f>SUMPRODUCT(B1046:I1046,weights!$B$5:$I$5)</f>
        <v>-4.1776444029873404E-5</v>
      </c>
      <c r="L1046" s="4">
        <f t="shared" si="32"/>
        <v>192.16952893985402</v>
      </c>
      <c r="M1046" s="4">
        <f>L1046/MAX(L$2:L1046)-1</f>
        <v>-4.8394867754982251E-2</v>
      </c>
      <c r="N1046" s="4">
        <f t="shared" si="31"/>
        <v>-3.1819691730829325E-2</v>
      </c>
    </row>
    <row r="1047" spans="1:14">
      <c r="A1047" s="3">
        <f>prices!A1048</f>
        <v>45009</v>
      </c>
      <c r="B1047" s="5">
        <f>prices!B1048/prices!B1047-1</f>
        <v>-1.9796551757898628E-2</v>
      </c>
      <c r="C1047" s="5">
        <f>prices!C1048/prices!C1047-1</f>
        <v>-1.3263634235779476E-3</v>
      </c>
      <c r="D1047" s="5">
        <f>prices!D1048/prices!D1047-1</f>
        <v>-1.594810109474154E-3</v>
      </c>
      <c r="E1047" s="5">
        <f>prices!E1048/prices!E1047-1</f>
        <v>4.4329546007100262E-3</v>
      </c>
      <c r="F1047" s="5">
        <f>prices!F1048/prices!F1047-1</f>
        <v>-5.1009231732123128E-3</v>
      </c>
      <c r="G1047" s="5">
        <f>prices!G1048/prices!G1047-1</f>
        <v>-1.3203860279694779E-2</v>
      </c>
      <c r="H1047" s="5">
        <f>prices!H1048/prices!H1047-1</f>
        <v>-4.9154562619325715E-3</v>
      </c>
      <c r="I1047" s="5">
        <f>prices!I1048/prices!I1047-1</f>
        <v>-1.8356355281865744E-2</v>
      </c>
      <c r="J1047" s="5">
        <f>prices!J1048/prices!J1047-1</f>
        <v>-7.7209563796709624E-3</v>
      </c>
      <c r="K1047" s="8">
        <f>SUMPRODUCT(B1047:I1047,weights!$B$5:$I$5)</f>
        <v>-9.7296379966919887E-3</v>
      </c>
      <c r="L1047" s="4">
        <f t="shared" si="32"/>
        <v>190.29978898927442</v>
      </c>
      <c r="M1047" s="4">
        <f>L1047/MAX(L$2:L1047)-1</f>
        <v>-5.7653641207520478E-2</v>
      </c>
      <c r="N1047" s="4">
        <f t="shared" ref="N1047:N1110" si="33">L1047/L1027-1</f>
        <v>-3.9005571131960903E-2</v>
      </c>
    </row>
    <row r="1048" spans="1:14">
      <c r="A1048" s="3">
        <f>prices!A1049</f>
        <v>45012</v>
      </c>
      <c r="B1048" s="5">
        <f>prices!B1049/prices!B1048-1</f>
        <v>1.5541816075192116E-2</v>
      </c>
      <c r="C1048" s="5">
        <f>prices!C1049/prices!C1048-1</f>
        <v>5.7528409090901178E-4</v>
      </c>
      <c r="D1048" s="5">
        <f>prices!D1049/prices!D1048-1</f>
        <v>4.3588910547975868E-3</v>
      </c>
      <c r="E1048" s="5">
        <f>prices!E1049/prices!E1048-1</f>
        <v>6.0109245528112698E-3</v>
      </c>
      <c r="F1048" s="5">
        <f>prices!F1049/prices!F1048-1</f>
        <v>3.9632611977855614E-3</v>
      </c>
      <c r="G1048" s="5">
        <f>prices!G1049/prices!G1048-1</f>
        <v>4.2998946166128427E-3</v>
      </c>
      <c r="H1048" s="5">
        <f>prices!H1049/prices!H1048-1</f>
        <v>1.0897102939461778E-2</v>
      </c>
      <c r="I1048" s="5">
        <f>prices!I1049/prices!I1048-1</f>
        <v>-5.606526399593359E-3</v>
      </c>
      <c r="J1048" s="5">
        <f>prices!J1049/prices!J1048-1</f>
        <v>2.3989306611666983E-3</v>
      </c>
      <c r="K1048" s="8">
        <f>SUMPRODUCT(B1048:I1048,weights!$B$5:$I$5)</f>
        <v>4.5687253910485625E-3</v>
      </c>
      <c r="L1048" s="4">
        <f t="shared" si="32"/>
        <v>191.16921646714087</v>
      </c>
      <c r="M1048" s="4">
        <f>L1048/MAX(L$2:L1048)-1</f>
        <v>-5.3348319470943206E-2</v>
      </c>
      <c r="N1048" s="4">
        <f t="shared" si="33"/>
        <v>-3.0662139732591132E-2</v>
      </c>
    </row>
    <row r="1049" spans="1:14">
      <c r="A1049" s="3">
        <f>prices!A1050</f>
        <v>45013</v>
      </c>
      <c r="B1049" s="5">
        <f>prices!B1050/prices!B1049-1</f>
        <v>4.6718401148779787E-3</v>
      </c>
      <c r="C1049" s="5">
        <f>prices!C1050/prices!C1049-1</f>
        <v>-2.0478275991794304E-3</v>
      </c>
      <c r="D1049" s="5">
        <f>prices!D1050/prices!D1049-1</f>
        <v>8.1273418335714442E-3</v>
      </c>
      <c r="E1049" s="5">
        <f>prices!E1050/prices!E1049-1</f>
        <v>-8.172529393837169E-3</v>
      </c>
      <c r="F1049" s="5">
        <f>prices!F1050/prices!F1049-1</f>
        <v>-1.1905507863900766E-3</v>
      </c>
      <c r="G1049" s="5">
        <f>prices!G1050/prices!G1049-1</f>
        <v>-8.40085855894801E-3</v>
      </c>
      <c r="H1049" s="5">
        <f>prices!H1050/prices!H1049-1</f>
        <v>7.6547999790288479E-4</v>
      </c>
      <c r="I1049" s="5">
        <f>prices!I1050/prices!I1049-1</f>
        <v>-9.472455603893315E-3</v>
      </c>
      <c r="J1049" s="5">
        <f>prices!J1050/prices!J1049-1</f>
        <v>-2.0016837692883316E-3</v>
      </c>
      <c r="K1049" s="8">
        <f>SUMPRODUCT(B1049:I1049,weights!$B$5:$I$5)</f>
        <v>-3.1565962228140947E-3</v>
      </c>
      <c r="L1049" s="4">
        <f t="shared" si="32"/>
        <v>190.56577244052238</v>
      </c>
      <c r="M1049" s="4">
        <f>L1049/MAX(L$2:L1049)-1</f>
        <v>-5.6336516590021812E-2</v>
      </c>
      <c r="N1049" s="4">
        <f t="shared" si="33"/>
        <v>-2.5260157537688843E-2</v>
      </c>
    </row>
    <row r="1050" spans="1:14">
      <c r="A1050" s="3">
        <f>prices!A1051</f>
        <v>45014</v>
      </c>
      <c r="B1050" s="5">
        <f>prices!B1051/prices!B1050-1</f>
        <v>-5.9129889963581705E-3</v>
      </c>
      <c r="C1050" s="5">
        <f>prices!C1051/prices!C1050-1</f>
        <v>7.3794832583531367E-3</v>
      </c>
      <c r="D1050" s="5">
        <f>prices!D1051/prices!D1050-1</f>
        <v>4.81302726045163E-3</v>
      </c>
      <c r="E1050" s="5">
        <f>prices!E1051/prices!E1050-1</f>
        <v>4.326133891822348E-3</v>
      </c>
      <c r="F1050" s="5">
        <f>prices!F1051/prices!F1050-1</f>
        <v>7.9046424090338796E-3</v>
      </c>
      <c r="G1050" s="5">
        <f>prices!G1051/prices!G1050-1</f>
        <v>1.053776168563636E-2</v>
      </c>
      <c r="H1050" s="5">
        <f>prices!H1051/prices!H1050-1</f>
        <v>7.8270709780172698E-3</v>
      </c>
      <c r="I1050" s="5">
        <f>prices!I1051/prices!I1050-1</f>
        <v>6.4905976413764943E-3</v>
      </c>
      <c r="J1050" s="5">
        <f>prices!J1051/prices!J1050-1</f>
        <v>7.6098562386073265E-3</v>
      </c>
      <c r="K1050" s="8">
        <f>SUMPRODUCT(B1050:I1050,weights!$B$5:$I$5)</f>
        <v>5.7881187034656053E-3</v>
      </c>
      <c r="L1050" s="4">
        <f t="shared" si="32"/>
        <v>191.66878975222573</v>
      </c>
      <c r="M1050" s="4">
        <f>L1050/MAX(L$2:L1050)-1</f>
        <v>-5.0874480331918992E-2</v>
      </c>
      <c r="N1050" s="4">
        <f t="shared" si="33"/>
        <v>-1.2738654882417322E-2</v>
      </c>
    </row>
    <row r="1051" spans="1:14">
      <c r="A1051" s="3">
        <f>prices!A1052</f>
        <v>45016</v>
      </c>
      <c r="B1051" s="5">
        <f>prices!B1052/prices!B1051-1</f>
        <v>4.3114314976758772E-2</v>
      </c>
      <c r="C1051" s="5">
        <f>prices!C1052/prices!C1051-1</f>
        <v>2.1344347948880849E-2</v>
      </c>
      <c r="D1051" s="5">
        <f>prices!D1052/prices!D1051-1</f>
        <v>1.3691339462724716E-2</v>
      </c>
      <c r="E1051" s="5">
        <f>prices!E1052/prices!E1051-1</f>
        <v>3.2084829551858984E-2</v>
      </c>
      <c r="F1051" s="5">
        <f>prices!F1052/prices!F1051-1</f>
        <v>1.9606622681438424E-3</v>
      </c>
      <c r="G1051" s="5">
        <f>prices!G1052/prices!G1051-1</f>
        <v>-3.799935288230083E-4</v>
      </c>
      <c r="H1051" s="5">
        <f>prices!H1052/prices!H1051-1</f>
        <v>-8.8787232936529126E-3</v>
      </c>
      <c r="I1051" s="5">
        <f>prices!I1052/prices!I1051-1</f>
        <v>7.8033158044961137E-3</v>
      </c>
      <c r="J1051" s="5">
        <f>prices!J1052/prices!J1051-1</f>
        <v>1.6337152458622883E-2</v>
      </c>
      <c r="K1051" s="8">
        <f>SUMPRODUCT(B1051:I1051,weights!$B$5:$I$5)</f>
        <v>1.1387217497684928E-2</v>
      </c>
      <c r="L1051" s="4">
        <f t="shared" si="32"/>
        <v>193.85136394865239</v>
      </c>
      <c r="M1051" s="4">
        <f>L1051/MAX(L$2:L1051)-1</f>
        <v>-4.0066581606855278E-2</v>
      </c>
      <c r="N1051" s="4">
        <f t="shared" si="33"/>
        <v>-9.525988701883259E-3</v>
      </c>
    </row>
    <row r="1052" spans="1:14">
      <c r="A1052" s="3">
        <f>prices!A1053</f>
        <v>45019</v>
      </c>
      <c r="B1052" s="5">
        <f>prices!B1053/prices!B1052-1</f>
        <v>1.6993636827100644E-4</v>
      </c>
      <c r="C1052" s="5">
        <f>prices!C1053/prices!C1052-1</f>
        <v>-1.8388833968187024E-3</v>
      </c>
      <c r="D1052" s="5">
        <f>prices!D1053/prices!D1052-1</f>
        <v>6.3003701467456708E-4</v>
      </c>
      <c r="E1052" s="5">
        <f>prices!E1053/prices!E1052-1</f>
        <v>-1.197469322162148E-2</v>
      </c>
      <c r="F1052" s="5">
        <f>prices!F1053/prices!F1052-1</f>
        <v>-1.1989439353937037E-2</v>
      </c>
      <c r="G1052" s="5">
        <f>prices!G1053/prices!G1052-1</f>
        <v>2.5434116317203159E-2</v>
      </c>
      <c r="H1052" s="5">
        <f>prices!H1053/prices!H1052-1</f>
        <v>-4.1119887549694312E-3</v>
      </c>
      <c r="I1052" s="5">
        <f>prices!I1053/prices!I1052-1</f>
        <v>2.7457757296467378E-3</v>
      </c>
      <c r="J1052" s="5">
        <f>prices!J1053/prices!J1052-1</f>
        <v>2.2062529702329137E-3</v>
      </c>
      <c r="K1052" s="8">
        <f>SUMPRODUCT(B1052:I1052,weights!$B$5:$I$5)</f>
        <v>2.7541139107953279E-3</v>
      </c>
      <c r="L1052" s="4">
        <f t="shared" si="32"/>
        <v>194.38525268673004</v>
      </c>
      <c r="M1052" s="4">
        <f>L1052/MAX(L$2:L1052)-1</f>
        <v>-3.7422815625821282E-2</v>
      </c>
      <c r="N1052" s="4">
        <f t="shared" si="33"/>
        <v>1.7839755397077717E-3</v>
      </c>
    </row>
    <row r="1053" spans="1:14">
      <c r="A1053" s="3">
        <f>prices!A1054</f>
        <v>45021</v>
      </c>
      <c r="B1053" s="5">
        <f>prices!B1054/prices!B1053-1</f>
        <v>-2.3975835378517996E-3</v>
      </c>
      <c r="C1053" s="5">
        <f>prices!C1054/prices!C1053-1</f>
        <v>1.2438792966125822E-2</v>
      </c>
      <c r="D1053" s="5">
        <f>prices!D1054/prices!D1053-1</f>
        <v>2.681218354015269E-2</v>
      </c>
      <c r="E1053" s="5">
        <f>prices!E1054/prices!E1053-1</f>
        <v>9.001042225942113E-3</v>
      </c>
      <c r="F1053" s="5">
        <f>prices!F1054/prices!F1053-1</f>
        <v>1.9774277720142175E-2</v>
      </c>
      <c r="G1053" s="5">
        <f>prices!G1054/prices!G1053-1</f>
        <v>-6.5859017901712669E-3</v>
      </c>
      <c r="H1053" s="5">
        <f>prices!H1054/prices!H1053-1</f>
        <v>1.8485553881966377E-2</v>
      </c>
      <c r="I1053" s="5">
        <f>prices!I1054/prices!I1053-1</f>
        <v>4.0370143423395843E-2</v>
      </c>
      <c r="J1053" s="5">
        <f>prices!J1054/prices!J1053-1</f>
        <v>9.1389552277409969E-3</v>
      </c>
      <c r="K1053" s="8">
        <f>SUMPRODUCT(B1053:I1053,weights!$B$5:$I$5)</f>
        <v>1.465721753937844E-2</v>
      </c>
      <c r="L1053" s="4">
        <f t="shared" si="32"/>
        <v>197.23439962180649</v>
      </c>
      <c r="M1053" s="4">
        <f>L1053/MAX(L$2:L1053)-1</f>
        <v>-2.3314112436006562E-2</v>
      </c>
      <c r="N1053" s="4">
        <f t="shared" si="33"/>
        <v>4.3685637439347946E-3</v>
      </c>
    </row>
    <row r="1054" spans="1:14">
      <c r="A1054" s="3">
        <f>prices!A1055</f>
        <v>45022</v>
      </c>
      <c r="B1054" s="5">
        <f>prices!B1055/prices!B1054-1</f>
        <v>6.6990897564485063E-3</v>
      </c>
      <c r="C1054" s="5">
        <f>prices!C1055/prices!C1054-1</f>
        <v>-5.8967184966787212E-3</v>
      </c>
      <c r="D1054" s="5">
        <f>prices!D1055/prices!D1054-1</f>
        <v>7.6266639413373749E-3</v>
      </c>
      <c r="E1054" s="5">
        <f>prices!E1055/prices!E1054-1</f>
        <v>-1.158131964442255E-3</v>
      </c>
      <c r="F1054" s="5">
        <f>prices!F1055/prices!F1054-1</f>
        <v>2.4662432949009716E-3</v>
      </c>
      <c r="G1054" s="5">
        <f>prices!G1055/prices!G1054-1</f>
        <v>8.2392308080727616E-3</v>
      </c>
      <c r="H1054" s="5">
        <f>prices!H1055/prices!H1054-1</f>
        <v>1.4985417916313137E-2</v>
      </c>
      <c r="I1054" s="5">
        <f>prices!I1055/prices!I1054-1</f>
        <v>7.3070286437364462E-3</v>
      </c>
      <c r="J1054" s="5">
        <f>prices!J1055/prices!J1054-1</f>
        <v>2.3978971410345551E-3</v>
      </c>
      <c r="K1054" s="8">
        <f>SUMPRODUCT(B1054:I1054,weights!$B$5:$I$5)</f>
        <v>6.3113785896673743E-3</v>
      </c>
      <c r="L1054" s="4">
        <f t="shared" si="32"/>
        <v>198.47922058872544</v>
      </c>
      <c r="M1054" s="4">
        <f>L1054/MAX(L$2:L1054)-1</f>
        <v>-1.7149878036404997E-2</v>
      </c>
      <c r="N1054" s="4">
        <f t="shared" si="33"/>
        <v>6.3971988717912431E-3</v>
      </c>
    </row>
    <row r="1055" spans="1:14">
      <c r="A1055" s="3">
        <f>prices!A1056</f>
        <v>45026</v>
      </c>
      <c r="B1055" s="5">
        <f>prices!B1056/prices!B1055-1</f>
        <v>-7.0868658007030572E-3</v>
      </c>
      <c r="C1055" s="5">
        <f>prices!C1056/prices!C1055-1</f>
        <v>1.3256858953626605E-2</v>
      </c>
      <c r="D1055" s="5">
        <f>prices!D1056/prices!D1055-1</f>
        <v>-4.7416798732171639E-3</v>
      </c>
      <c r="E1055" s="5">
        <f>prices!E1056/prices!E1055-1</f>
        <v>4.0111560277018565E-3</v>
      </c>
      <c r="F1055" s="5">
        <f>prices!F1056/prices!F1055-1</f>
        <v>3.1059720770034716E-3</v>
      </c>
      <c r="G1055" s="5">
        <f>prices!G1056/prices!G1055-1</f>
        <v>2.1718444431686468E-3</v>
      </c>
      <c r="H1055" s="5">
        <f>prices!H1056/prices!H1055-1</f>
        <v>-3.4541434437503904E-3</v>
      </c>
      <c r="I1055" s="5">
        <f>prices!I1056/prices!I1055-1</f>
        <v>1.5586100414319848E-2</v>
      </c>
      <c r="J1055" s="5">
        <f>prices!J1056/prices!J1055-1</f>
        <v>1.4148410576646508E-3</v>
      </c>
      <c r="K1055" s="8">
        <f>SUMPRODUCT(B1055:I1055,weights!$B$5:$I$5)</f>
        <v>3.4803422036093039E-3</v>
      </c>
      <c r="L1055" s="4">
        <f t="shared" si="32"/>
        <v>199.16999619667988</v>
      </c>
      <c r="M1055" s="4">
        <f>L1055/MAX(L$2:L1055)-1</f>
        <v>-1.3729223277112457E-2</v>
      </c>
      <c r="N1055" s="4">
        <f t="shared" si="33"/>
        <v>5.7766586407497211E-3</v>
      </c>
    </row>
    <row r="1056" spans="1:14">
      <c r="A1056" s="3">
        <f>prices!A1057</f>
        <v>45027</v>
      </c>
      <c r="B1056" s="5">
        <f>prices!B1057/prices!B1056-1</f>
        <v>4.9507762211282724E-3</v>
      </c>
      <c r="C1056" s="5">
        <f>prices!C1057/prices!C1056-1</f>
        <v>-1.5198899811541766E-2</v>
      </c>
      <c r="D1056" s="5">
        <f>prices!D1057/prices!D1056-1</f>
        <v>2.9171602909516814E-3</v>
      </c>
      <c r="E1056" s="5">
        <f>prices!E1057/prices!E1056-1</f>
        <v>-1.5028558943787296E-2</v>
      </c>
      <c r="F1056" s="5">
        <f>prices!F1057/prices!F1056-1</f>
        <v>1.9160611913302095E-2</v>
      </c>
      <c r="G1056" s="5">
        <f>prices!G1057/prices!G1056-1</f>
        <v>1.4575159335817434E-2</v>
      </c>
      <c r="H1056" s="5">
        <f>prices!H1057/prices!H1056-1</f>
        <v>6.4414543372448563E-4</v>
      </c>
      <c r="I1056" s="5">
        <f>prices!I1057/prices!I1056-1</f>
        <v>-3.5488586528730215E-3</v>
      </c>
      <c r="J1056" s="5">
        <f>prices!J1057/prices!J1056-1</f>
        <v>5.5747685690858972E-3</v>
      </c>
      <c r="K1056" s="8">
        <f>SUMPRODUCT(B1056:I1056,weights!$B$5:$I$5)</f>
        <v>2.0722637493594764E-3</v>
      </c>
      <c r="L1056" s="4">
        <f t="shared" si="32"/>
        <v>199.58272895975833</v>
      </c>
      <c r="M1056" s="4">
        <f>L1056/MAX(L$2:L1056)-1</f>
        <v>-1.1685410099457005E-2</v>
      </c>
      <c r="N1056" s="4">
        <f t="shared" si="33"/>
        <v>1.6298389080525277E-2</v>
      </c>
    </row>
    <row r="1057" spans="1:14">
      <c r="A1057" s="3">
        <f>prices!A1058</f>
        <v>45028</v>
      </c>
      <c r="B1057" s="5">
        <f>prices!B1058/prices!B1057-1</f>
        <v>4.4083155148213482E-3</v>
      </c>
      <c r="C1057" s="5">
        <f>prices!C1058/prices!C1057-1</f>
        <v>8.668397587744181E-3</v>
      </c>
      <c r="D1057" s="5">
        <f>prices!D1058/prices!D1057-1</f>
        <v>1.2993776197129492E-2</v>
      </c>
      <c r="E1057" s="5">
        <f>prices!E1058/prices!E1057-1</f>
        <v>1.5756951596292534E-2</v>
      </c>
      <c r="F1057" s="5">
        <f>prices!F1058/prices!F1057-1</f>
        <v>-6.196606906509472E-3</v>
      </c>
      <c r="G1057" s="5">
        <f>prices!G1058/prices!G1057-1</f>
        <v>-4.446206428438404E-3</v>
      </c>
      <c r="H1057" s="5">
        <f>prices!H1058/prices!H1057-1</f>
        <v>7.3773590689405477E-3</v>
      </c>
      <c r="I1057" s="5">
        <f>prices!I1058/prices!I1057-1</f>
        <v>-5.65145168279646E-3</v>
      </c>
      <c r="J1057" s="5">
        <f>prices!J1058/prices!J1057-1</f>
        <v>5.083990227002344E-3</v>
      </c>
      <c r="K1057" s="8">
        <f>SUMPRODUCT(B1057:I1057,weights!$B$5:$I$5)</f>
        <v>2.2408102781906994E-3</v>
      </c>
      <c r="L1057" s="4">
        <f t="shared" si="32"/>
        <v>200.02995599016072</v>
      </c>
      <c r="M1057" s="4">
        <f>L1057/MAX(L$2:L1057)-1</f>
        <v>-9.4707846083219582E-3</v>
      </c>
      <c r="N1057" s="4">
        <f t="shared" si="33"/>
        <v>2.45271925514714E-2</v>
      </c>
    </row>
    <row r="1058" spans="1:14">
      <c r="A1058" s="3">
        <f>prices!A1059</f>
        <v>45029</v>
      </c>
      <c r="B1058" s="5">
        <f>prices!B1059/prices!B1058-1</f>
        <v>3.7700105972935383E-3</v>
      </c>
      <c r="C1058" s="5">
        <f>prices!C1059/prices!C1058-1</f>
        <v>-1.6288760584275974E-2</v>
      </c>
      <c r="D1058" s="5">
        <f>prices!D1059/prices!D1058-1</f>
        <v>4.4763206399760502E-3</v>
      </c>
      <c r="E1058" s="5">
        <f>prices!E1059/prices!E1058-1</f>
        <v>-2.7375038020886255E-2</v>
      </c>
      <c r="F1058" s="5">
        <f>prices!F1059/prices!F1058-1</f>
        <v>5.2363944548701191E-3</v>
      </c>
      <c r="G1058" s="5">
        <f>prices!G1059/prices!G1058-1</f>
        <v>5.7717323885535521E-3</v>
      </c>
      <c r="H1058" s="5">
        <f>prices!H1059/prices!H1058-1</f>
        <v>-1.2983192851129366E-2</v>
      </c>
      <c r="I1058" s="5">
        <f>prices!I1059/prices!I1058-1</f>
        <v>-1.2996858600715533E-2</v>
      </c>
      <c r="J1058" s="5">
        <f>prices!J1059/prices!J1058-1</f>
        <v>8.7579439042451135E-4</v>
      </c>
      <c r="K1058" s="8">
        <f>SUMPRODUCT(B1058:I1058,weights!$B$5:$I$5)</f>
        <v>-5.8963615601393821E-3</v>
      </c>
      <c r="L1058" s="4">
        <f t="shared" si="32"/>
        <v>198.85050704678395</v>
      </c>
      <c r="M1058" s="4">
        <f>L1058/MAX(L$2:L1058)-1</f>
        <v>-1.5311302998152532E-2</v>
      </c>
      <c r="N1058" s="4">
        <f t="shared" si="33"/>
        <v>3.0506048129960606E-2</v>
      </c>
    </row>
    <row r="1059" spans="1:14">
      <c r="A1059" s="3">
        <f>prices!A1060</f>
        <v>45033</v>
      </c>
      <c r="B1059" s="5">
        <f>prices!B1060/prices!B1059-1</f>
        <v>5.0732017228332094E-3</v>
      </c>
      <c r="C1059" s="5">
        <f>prices!C1060/prices!C1059-1</f>
        <v>-1.5477745962025002E-2</v>
      </c>
      <c r="D1059" s="5">
        <f>prices!D1060/prices!D1059-1</f>
        <v>-1.5241542878542069E-2</v>
      </c>
      <c r="E1059" s="5">
        <f>prices!E1060/prices!E1059-1</f>
        <v>-9.4227361297099632E-2</v>
      </c>
      <c r="F1059" s="5">
        <f>prices!F1060/prices!F1059-1</f>
        <v>1.1472102616602919E-2</v>
      </c>
      <c r="G1059" s="5">
        <f>prices!G1060/prices!G1059-1</f>
        <v>4.4392346759414281E-4</v>
      </c>
      <c r="H1059" s="5">
        <f>prices!H1060/prices!H1059-1</f>
        <v>-4.7785919082510286E-3</v>
      </c>
      <c r="I1059" s="5">
        <f>prices!I1060/prices!I1059-1</f>
        <v>-1.9814093394842192E-2</v>
      </c>
      <c r="J1059" s="5">
        <f>prices!J1060/prices!J1059-1</f>
        <v>-6.7954902400718664E-3</v>
      </c>
      <c r="K1059" s="8">
        <f>SUMPRODUCT(B1059:I1059,weights!$B$5:$I$5)</f>
        <v>-1.3411512493777186E-2</v>
      </c>
      <c r="L1059" s="4">
        <f t="shared" si="32"/>
        <v>196.18362098713209</v>
      </c>
      <c r="M1059" s="4">
        <f>L1059/MAX(L$2:L1059)-1</f>
        <v>-2.8517467760473925E-2</v>
      </c>
      <c r="N1059" s="4">
        <f t="shared" si="33"/>
        <v>1.9657605148081458E-2</v>
      </c>
    </row>
    <row r="1060" spans="1:14">
      <c r="A1060" s="3">
        <f>prices!A1061</f>
        <v>45034</v>
      </c>
      <c r="B1060" s="5">
        <f>prices!B1061/prices!B1060-1</f>
        <v>-1.1452368558042658E-2</v>
      </c>
      <c r="C1060" s="5">
        <f>prices!C1061/prices!C1060-1</f>
        <v>-2.7848959105444271E-3</v>
      </c>
      <c r="D1060" s="5">
        <f>prices!D1061/prices!D1060-1</f>
        <v>-4.2337968538073145E-3</v>
      </c>
      <c r="E1060" s="5">
        <f>prices!E1061/prices!E1060-1</f>
        <v>8.3216770835181642E-4</v>
      </c>
      <c r="F1060" s="5">
        <f>prices!F1061/prices!F1060-1</f>
        <v>-4.1081209811859587E-3</v>
      </c>
      <c r="G1060" s="5">
        <f>prices!G1061/prices!G1060-1</f>
        <v>6.6858788242927236E-3</v>
      </c>
      <c r="H1060" s="5">
        <f>prices!H1061/prices!H1060-1</f>
        <v>6.1025979926478957E-3</v>
      </c>
      <c r="I1060" s="5">
        <f>prices!I1061/prices!I1060-1</f>
        <v>1.1777789247957582E-3</v>
      </c>
      <c r="J1060" s="5">
        <f>prices!J1061/prices!J1060-1</f>
        <v>-2.6373973914048943E-3</v>
      </c>
      <c r="K1060" s="8">
        <f>SUMPRODUCT(B1060:I1060,weights!$B$5:$I$5)</f>
        <v>1.6211044569359968E-4</v>
      </c>
      <c r="L1060" s="4">
        <f t="shared" si="32"/>
        <v>196.21542440136813</v>
      </c>
      <c r="M1060" s="4">
        <f>L1060/MAX(L$2:L1060)-1</f>
        <v>-2.8359980294188847E-2</v>
      </c>
      <c r="N1060" s="4">
        <f t="shared" si="33"/>
        <v>2.2430703370564187E-2</v>
      </c>
    </row>
    <row r="1061" spans="1:14">
      <c r="A1061" s="3">
        <f>prices!A1062</f>
        <v>45035</v>
      </c>
      <c r="B1061" s="5">
        <f>prices!B1062/prices!B1061-1</f>
        <v>4.9838260738734874E-3</v>
      </c>
      <c r="C1061" s="5">
        <f>prices!C1062/prices!C1061-1</f>
        <v>-1.3145739315104765E-2</v>
      </c>
      <c r="D1061" s="5">
        <f>prices!D1062/prices!D1061-1</f>
        <v>3.6789510534021019E-3</v>
      </c>
      <c r="E1061" s="5">
        <f>prices!E1062/prices!E1061-1</f>
        <v>-2.1556451898241402E-2</v>
      </c>
      <c r="F1061" s="5">
        <f>prices!F1062/prices!F1061-1</f>
        <v>6.2772762599383469E-4</v>
      </c>
      <c r="G1061" s="5">
        <f>prices!G1062/prices!G1061-1</f>
        <v>-6.0351051080386187E-3</v>
      </c>
      <c r="H1061" s="5">
        <f>prices!H1062/prices!H1061-1</f>
        <v>-9.2471904346487221E-3</v>
      </c>
      <c r="I1061" s="5">
        <f>prices!I1062/prices!I1061-1</f>
        <v>1.3498059653924699E-3</v>
      </c>
      <c r="J1061" s="5">
        <f>prices!J1062/prices!J1061-1</f>
        <v>-2.3442609490860189E-3</v>
      </c>
      <c r="K1061" s="8">
        <f>SUMPRODUCT(B1061:I1061,weights!$B$5:$I$5)</f>
        <v>-4.3227169592505279E-3</v>
      </c>
      <c r="L1061" s="4">
        <f t="shared" si="32"/>
        <v>195.36724065864178</v>
      </c>
      <c r="M1061" s="4">
        <f>L1061/MAX(L$2:L1061)-1</f>
        <v>-3.2560105085657765E-2</v>
      </c>
      <c r="N1061" s="4">
        <f t="shared" si="33"/>
        <v>1.7614056926887889E-2</v>
      </c>
    </row>
    <row r="1062" spans="1:14">
      <c r="A1062" s="3">
        <f>prices!A1063</f>
        <v>45036</v>
      </c>
      <c r="B1062" s="5">
        <f>prices!B1063/prices!B1062-1</f>
        <v>-2.5356962404327055E-3</v>
      </c>
      <c r="C1062" s="5">
        <f>prices!C1063/prices!C1062-1</f>
        <v>4.9208962343665341E-3</v>
      </c>
      <c r="D1062" s="5">
        <f>prices!D1063/prices!D1062-1</f>
        <v>3.7288823499568302E-3</v>
      </c>
      <c r="E1062" s="5">
        <f>prices!E1063/prices!E1062-1</f>
        <v>-7.1418885322968029E-3</v>
      </c>
      <c r="F1062" s="5">
        <f>prices!F1063/prices!F1062-1</f>
        <v>3.8834951456310218E-3</v>
      </c>
      <c r="G1062" s="5">
        <f>prices!G1063/prices!G1062-1</f>
        <v>3.9982932944691019E-3</v>
      </c>
      <c r="H1062" s="5">
        <f>prices!H1063/prices!H1062-1</f>
        <v>-7.7900014502662041E-3</v>
      </c>
      <c r="I1062" s="5">
        <f>prices!I1063/prices!I1062-1</f>
        <v>5.9255237488999857E-3</v>
      </c>
      <c r="J1062" s="5">
        <f>prices!J1063/prices!J1062-1</f>
        <v>3.2351897836124799E-4</v>
      </c>
      <c r="K1062" s="8">
        <f>SUMPRODUCT(B1062:I1062,weights!$B$5:$I$5)</f>
        <v>8.7531538914991627E-4</v>
      </c>
      <c r="L1062" s="4">
        <f t="shared" si="32"/>
        <v>195.53824861092602</v>
      </c>
      <c r="M1062" s="4">
        <f>L1062/MAX(L$2:L1062)-1</f>
        <v>-3.1713290057561738E-2</v>
      </c>
      <c r="N1062" s="4">
        <f t="shared" si="33"/>
        <v>2.0442660223388476E-2</v>
      </c>
    </row>
    <row r="1063" spans="1:14">
      <c r="A1063" s="3">
        <f>prices!A1064</f>
        <v>45037</v>
      </c>
      <c r="B1063" s="5">
        <f>prices!B1064/prices!B1063-1</f>
        <v>1.2663808710826618E-3</v>
      </c>
      <c r="C1063" s="5">
        <f>prices!C1064/prices!C1063-1</f>
        <v>1.8052487124486483E-2</v>
      </c>
      <c r="D1063" s="5">
        <f>prices!D1064/prices!D1063-1</f>
        <v>1.6047916298111975E-3</v>
      </c>
      <c r="E1063" s="5">
        <f>prices!E1064/prices!E1063-1</f>
        <v>3.2233098110630021E-3</v>
      </c>
      <c r="F1063" s="5">
        <f>prices!F1064/prices!F1063-1</f>
        <v>1.9848236869513425E-2</v>
      </c>
      <c r="G1063" s="5">
        <f>prices!G1064/prices!G1063-1</f>
        <v>-1.7924249007988613E-2</v>
      </c>
      <c r="H1063" s="5">
        <f>prices!H1064/prices!H1063-1</f>
        <v>1.7226618780146197E-3</v>
      </c>
      <c r="I1063" s="5">
        <f>prices!I1064/prices!I1063-1</f>
        <v>-7.8588112675531674E-3</v>
      </c>
      <c r="J1063" s="5">
        <f>prices!J1064/prices!J1063-1</f>
        <v>-2.2695743697065396E-5</v>
      </c>
      <c r="K1063" s="8">
        <f>SUMPRODUCT(B1063:I1063,weights!$B$5:$I$5)</f>
        <v>-9.7435051928217869E-4</v>
      </c>
      <c r="L1063" s="4">
        <f t="shared" si="32"/>
        <v>195.34772581685243</v>
      </c>
      <c r="M1063" s="4">
        <f>L1063/MAX(L$2:L1063)-1</f>
        <v>-3.2656740716208277E-2</v>
      </c>
      <c r="N1063" s="4">
        <f t="shared" si="33"/>
        <v>2.602224262899222E-2</v>
      </c>
    </row>
    <row r="1064" spans="1:14">
      <c r="A1064" s="3">
        <f>prices!A1065</f>
        <v>45040</v>
      </c>
      <c r="B1064" s="5">
        <f>prices!B1065/prices!B1064-1</f>
        <v>3.8318124754070926E-3</v>
      </c>
      <c r="C1064" s="5">
        <f>prices!C1065/prices!C1064-1</f>
        <v>4.4138114787144467E-3</v>
      </c>
      <c r="D1064" s="5">
        <f>prices!D1065/prices!D1064-1</f>
        <v>8.0994133602474427E-3</v>
      </c>
      <c r="E1064" s="5">
        <f>prices!E1065/prices!E1064-1</f>
        <v>-8.5315713520728309E-4</v>
      </c>
      <c r="F1064" s="5">
        <f>prices!F1065/prices!F1064-1</f>
        <v>1.1087768440709578E-3</v>
      </c>
      <c r="G1064" s="5">
        <f>prices!G1065/prices!G1064-1</f>
        <v>-1.0784305383522375E-2</v>
      </c>
      <c r="H1064" s="5">
        <f>prices!H1065/prices!H1064-1</f>
        <v>-1.0411998290723035E-2</v>
      </c>
      <c r="I1064" s="5">
        <f>prices!I1065/prices!I1064-1</f>
        <v>6.1858377612802329E-3</v>
      </c>
      <c r="J1064" s="5">
        <f>prices!J1065/prices!J1064-1</f>
        <v>6.7719962210730511E-3</v>
      </c>
      <c r="K1064" s="8">
        <f>SUMPRODUCT(B1064:I1064,weights!$B$5:$I$5)</f>
        <v>-9.5033835518798407E-4</v>
      </c>
      <c r="L1064" s="4">
        <f t="shared" si="32"/>
        <v>195.16207938040992</v>
      </c>
      <c r="M1064" s="4">
        <f>L1064/MAX(L$2:L1064)-1</f>
        <v>-3.3576044118138193E-2</v>
      </c>
      <c r="N1064" s="4">
        <f t="shared" si="33"/>
        <v>2.0160537161439063E-2</v>
      </c>
    </row>
    <row r="1065" spans="1:14">
      <c r="A1065" s="3">
        <f>prices!A1066</f>
        <v>45041</v>
      </c>
      <c r="B1065" s="5">
        <f>prices!B1066/prices!B1065-1</f>
        <v>7.6530374158865211E-3</v>
      </c>
      <c r="C1065" s="5">
        <f>prices!C1066/prices!C1065-1</f>
        <v>3.7696335078529764E-4</v>
      </c>
      <c r="D1065" s="5">
        <f>prices!D1066/prices!D1065-1</f>
        <v>-1.4216526712303112E-2</v>
      </c>
      <c r="E1065" s="5">
        <f>prices!E1066/prices!E1065-1</f>
        <v>-1.1445701049188628E-3</v>
      </c>
      <c r="F1065" s="5">
        <f>prices!F1066/prices!F1065-1</f>
        <v>6.9950451763334254E-3</v>
      </c>
      <c r="G1065" s="5">
        <f>prices!G1066/prices!G1065-1</f>
        <v>3.2440203734296347E-4</v>
      </c>
      <c r="H1065" s="5">
        <f>prices!H1066/prices!H1065-1</f>
        <v>-6.7931920630239784E-3</v>
      </c>
      <c r="I1065" s="5">
        <f>prices!I1066/prices!I1065-1</f>
        <v>8.5435427037305889E-3</v>
      </c>
      <c r="J1065" s="5">
        <f>prices!J1066/prices!J1065-1</f>
        <v>1.4568797411995682E-3</v>
      </c>
      <c r="K1065" s="8">
        <f>SUMPRODUCT(B1065:I1065,weights!$B$5:$I$5)</f>
        <v>1.159545457935856E-3</v>
      </c>
      <c r="L1065" s="4">
        <f t="shared" si="32"/>
        <v>195.3883786831168</v>
      </c>
      <c r="M1065" s="4">
        <f>L1065/MAX(L$2:L1065)-1</f>
        <v>-3.2455431609655028E-2</v>
      </c>
      <c r="N1065" s="4">
        <f t="shared" si="33"/>
        <v>1.6707576530520241E-2</v>
      </c>
    </row>
    <row r="1066" spans="1:14">
      <c r="A1066" s="3">
        <f>prices!A1067</f>
        <v>45042</v>
      </c>
      <c r="B1066" s="5">
        <f>prices!B1067/prices!B1066-1</f>
        <v>-5.8721646429003016E-3</v>
      </c>
      <c r="C1066" s="5">
        <f>prices!C1067/prices!C1066-1</f>
        <v>6.9746831909787144E-3</v>
      </c>
      <c r="D1066" s="5">
        <f>prices!D1067/prices!D1066-1</f>
        <v>4.5955999035178774E-3</v>
      </c>
      <c r="E1066" s="5">
        <f>prices!E1067/prices!E1066-1</f>
        <v>2.1644431106140338E-3</v>
      </c>
      <c r="F1066" s="5">
        <f>prices!F1067/prices!F1066-1</f>
        <v>1.6787264833573179E-3</v>
      </c>
      <c r="G1066" s="5">
        <f>prices!G1067/prices!G1066-1</f>
        <v>4.4873346116853785E-3</v>
      </c>
      <c r="H1066" s="5">
        <f>prices!H1067/prices!H1066-1</f>
        <v>-1.2830980986818785E-3</v>
      </c>
      <c r="I1066" s="5">
        <f>prices!I1067/prices!I1066-1</f>
        <v>1.2547312379552755E-2</v>
      </c>
      <c r="J1066" s="5">
        <f>prices!J1067/prices!J1066-1</f>
        <v>2.4958847447134058E-3</v>
      </c>
      <c r="K1066" s="8">
        <f>SUMPRODUCT(B1066:I1066,weights!$B$5:$I$5)</f>
        <v>3.680766029103057E-3</v>
      </c>
      <c r="L1066" s="4">
        <f t="shared" si="32"/>
        <v>196.10755758985516</v>
      </c>
      <c r="M1066" s="4">
        <f>L1066/MAX(L$2:L1066)-1</f>
        <v>-2.8894126430680567E-2</v>
      </c>
      <c r="N1066" s="4">
        <f t="shared" si="33"/>
        <v>2.0492471786376143E-2</v>
      </c>
    </row>
    <row r="1067" spans="1:14">
      <c r="A1067" s="3">
        <f>prices!A1068</f>
        <v>45043</v>
      </c>
      <c r="B1067" s="5">
        <f>prices!B1068/prices!B1067-1</f>
        <v>6.3261066028155177E-3</v>
      </c>
      <c r="C1067" s="5">
        <f>prices!C1068/prices!C1067-1</f>
        <v>-3.1877258694350541E-3</v>
      </c>
      <c r="D1067" s="5">
        <f>prices!D1068/prices!D1067-1</f>
        <v>5.4970745453855052E-3</v>
      </c>
      <c r="E1067" s="5">
        <f>prices!E1068/prices!E1067-1</f>
        <v>1.5236349446899666E-2</v>
      </c>
      <c r="F1067" s="5">
        <f>prices!F1068/prices!F1067-1</f>
        <v>9.1019417475728392E-3</v>
      </c>
      <c r="G1067" s="5">
        <f>prices!G1068/prices!G1067-1</f>
        <v>4.2373814083516148E-3</v>
      </c>
      <c r="H1067" s="5">
        <f>prices!H1068/prices!H1067-1</f>
        <v>7.6766261068992314E-3</v>
      </c>
      <c r="I1067" s="5">
        <f>prices!I1068/prices!I1067-1</f>
        <v>1.2934969145945274E-2</v>
      </c>
      <c r="J1067" s="5">
        <f>prices!J1068/prices!J1067-1</f>
        <v>5.6950868998968396E-3</v>
      </c>
      <c r="K1067" s="8">
        <f>SUMPRODUCT(B1067:I1067,weights!$B$5:$I$5)</f>
        <v>7.5162407093440266E-3</v>
      </c>
      <c r="L1067" s="4">
        <f t="shared" si="32"/>
        <v>197.58154919762208</v>
      </c>
      <c r="M1067" s="4">
        <f>L1067/MAX(L$2:L1067)-1</f>
        <v>-2.1595060930675647E-2</v>
      </c>
      <c r="N1067" s="4">
        <f t="shared" si="33"/>
        <v>3.826467831111513E-2</v>
      </c>
    </row>
    <row r="1068" spans="1:14">
      <c r="A1068" s="3">
        <f>prices!A1069</f>
        <v>45044</v>
      </c>
      <c r="B1068" s="5">
        <f>prices!B1069/prices!B1068-1</f>
        <v>1.8275747139206766E-2</v>
      </c>
      <c r="C1068" s="5">
        <f>prices!C1069/prices!C1068-1</f>
        <v>9.8162238822054881E-3</v>
      </c>
      <c r="D1068" s="5">
        <f>prices!D1069/prices!D1068-1</f>
        <v>3.9337422079228634E-3</v>
      </c>
      <c r="E1068" s="5">
        <f>prices!E1069/prices!E1068-1</f>
        <v>5.2200650720439778E-3</v>
      </c>
      <c r="F1068" s="5">
        <f>prices!F1069/prices!F1068-1</f>
        <v>2.2964808292529115E-2</v>
      </c>
      <c r="G1068" s="5">
        <f>prices!G1069/prices!G1068-1</f>
        <v>5.4542996905697638E-3</v>
      </c>
      <c r="H1068" s="5">
        <f>prices!H1069/prices!H1068-1</f>
        <v>9.135451240714465E-3</v>
      </c>
      <c r="I1068" s="5">
        <f>prices!I1069/prices!I1068-1</f>
        <v>2.5503537151353894E-2</v>
      </c>
      <c r="J1068" s="5">
        <f>prices!J1069/prices!J1068-1</f>
        <v>8.3700575772884811E-3</v>
      </c>
      <c r="K1068" s="8">
        <f>SUMPRODUCT(B1068:I1068,weights!$B$5:$I$5)</f>
        <v>1.3305210466540011E-2</v>
      </c>
      <c r="L1068" s="4">
        <f t="shared" si="32"/>
        <v>200.21041329400148</v>
      </c>
      <c r="M1068" s="4">
        <f>L1068/MAX(L$2:L1068)-1</f>
        <v>-8.5771772948559644E-3</v>
      </c>
      <c r="N1068" s="4">
        <f t="shared" si="33"/>
        <v>4.7294208732683973E-2</v>
      </c>
    </row>
    <row r="1069" spans="1:14">
      <c r="A1069" s="3">
        <f>prices!A1070</f>
        <v>45048</v>
      </c>
      <c r="B1069" s="5">
        <f>prices!B1070/prices!B1069-1</f>
        <v>8.4919898896225199E-3</v>
      </c>
      <c r="C1069" s="5">
        <f>prices!C1070/prices!C1069-1</f>
        <v>4.8190946297932413E-5</v>
      </c>
      <c r="D1069" s="5">
        <f>prices!D1070/prices!D1069-1</f>
        <v>-2.1281656463989496E-4</v>
      </c>
      <c r="E1069" s="5">
        <f>prices!E1070/prices!E1069-1</f>
        <v>1.9713675973679567E-2</v>
      </c>
      <c r="F1069" s="5">
        <f>prices!F1070/prices!F1069-1</f>
        <v>-2.6032190342897277E-3</v>
      </c>
      <c r="G1069" s="5">
        <f>prices!G1070/prices!G1069-1</f>
        <v>2.1806638519692001E-2</v>
      </c>
      <c r="H1069" s="5">
        <f>prices!H1070/prices!H1069-1</f>
        <v>-1.4774673182140874E-2</v>
      </c>
      <c r="I1069" s="5">
        <f>prices!I1070/prices!I1069-1</f>
        <v>8.4801616942746794E-3</v>
      </c>
      <c r="J1069" s="5">
        <f>prices!J1070/prices!J1069-1</f>
        <v>4.5751453086078087E-3</v>
      </c>
      <c r="K1069" s="8">
        <f>SUMPRODUCT(B1069:I1069,weights!$B$5:$I$5)</f>
        <v>6.2034558403150277E-3</v>
      </c>
      <c r="L1069" s="4">
        <f t="shared" si="32"/>
        <v>201.45240975164205</v>
      </c>
      <c r="M1069" s="4">
        <f>L1069/MAX(L$2:L1069)-1</f>
        <v>-2.4269295951240277E-3</v>
      </c>
      <c r="N1069" s="4">
        <f t="shared" si="33"/>
        <v>5.7127978291681369E-2</v>
      </c>
    </row>
    <row r="1070" spans="1:14">
      <c r="A1070" s="3">
        <f>prices!A1071</f>
        <v>45049</v>
      </c>
      <c r="B1070" s="5">
        <f>prices!B1071/prices!B1070-1</f>
        <v>-8.5827623512441109E-3</v>
      </c>
      <c r="C1070" s="5">
        <f>prices!C1071/prices!C1070-1</f>
        <v>-1.2270888908011424E-2</v>
      </c>
      <c r="D1070" s="5">
        <f>prices!D1071/prices!D1070-1</f>
        <v>3.4934388460381438E-3</v>
      </c>
      <c r="E1070" s="5">
        <f>prices!E1071/prices!E1070-1</f>
        <v>-6.4965075821655782E-3</v>
      </c>
      <c r="F1070" s="5">
        <f>prices!F1071/prices!F1070-1</f>
        <v>6.3706780422092546E-3</v>
      </c>
      <c r="G1070" s="5">
        <f>prices!G1071/prices!G1070-1</f>
        <v>2.3291069623112559E-3</v>
      </c>
      <c r="H1070" s="5">
        <f>prices!H1071/prices!H1070-1</f>
        <v>-9.7184098689022669E-3</v>
      </c>
      <c r="I1070" s="5">
        <f>prices!I1071/prices!I1070-1</f>
        <v>-1.1802892994074443E-2</v>
      </c>
      <c r="J1070" s="5">
        <f>prices!J1071/prices!J1070-1</f>
        <v>-3.1849853837826458E-3</v>
      </c>
      <c r="K1070" s="8">
        <f>SUMPRODUCT(B1070:I1070,weights!$B$5:$I$5)</f>
        <v>-5.266080772754993E-3</v>
      </c>
      <c r="L1070" s="4">
        <f t="shared" si="32"/>
        <v>200.39154509002375</v>
      </c>
      <c r="M1070" s="4">
        <f>L1070/MAX(L$2:L1070)-1</f>
        <v>-7.6802299606013591E-3</v>
      </c>
      <c r="N1070" s="4">
        <f t="shared" si="33"/>
        <v>4.5509523741836588E-2</v>
      </c>
    </row>
    <row r="1071" spans="1:14">
      <c r="A1071" s="3">
        <f>prices!A1072</f>
        <v>45050</v>
      </c>
      <c r="B1071" s="5">
        <f>prices!B1072/prices!B1071-1</f>
        <v>1.153062709151742E-2</v>
      </c>
      <c r="C1071" s="5">
        <f>prices!C1072/prices!C1071-1</f>
        <v>1.2831056593253454E-2</v>
      </c>
      <c r="D1071" s="5">
        <f>prices!D1072/prices!D1071-1</f>
        <v>2.0475899329947866E-2</v>
      </c>
      <c r="E1071" s="5">
        <f>prices!E1072/prices!E1071-1</f>
        <v>3.466980304041023E-3</v>
      </c>
      <c r="F1071" s="5">
        <f>prices!F1072/prices!F1071-1</f>
        <v>-5.9678183998438383E-3</v>
      </c>
      <c r="G1071" s="5">
        <f>prices!G1072/prices!G1071-1</f>
        <v>3.7486578149459326E-4</v>
      </c>
      <c r="H1071" s="5">
        <f>prices!H1072/prices!H1071-1</f>
        <v>1.0798373287671303E-2</v>
      </c>
      <c r="I1071" s="5">
        <f>prices!I1072/prices!I1071-1</f>
        <v>2.5131056253879791E-4</v>
      </c>
      <c r="J1071" s="5">
        <f>prices!J1072/prices!J1071-1</f>
        <v>9.1736526284076358E-3</v>
      </c>
      <c r="K1071" s="8">
        <f>SUMPRODUCT(B1071:I1071,weights!$B$5:$I$5)</f>
        <v>5.6624175334468486E-3</v>
      </c>
      <c r="L1071" s="4">
        <f t="shared" si="32"/>
        <v>201.526245688496</v>
      </c>
      <c r="M1071" s="4">
        <f>L1071/MAX(L$2:L1071)-1</f>
        <v>-2.0613010959443789E-3</v>
      </c>
      <c r="N1071" s="4">
        <f t="shared" si="33"/>
        <v>3.9591579772823016E-2</v>
      </c>
    </row>
    <row r="1072" spans="1:14">
      <c r="A1072" s="3">
        <f>prices!A1073</f>
        <v>45051</v>
      </c>
      <c r="B1072" s="5">
        <f>prices!B1073/prices!B1072-1</f>
        <v>-2.5531302815634538E-3</v>
      </c>
      <c r="C1072" s="5">
        <f>prices!C1073/prices!C1072-1</f>
        <v>3.106915036367619E-3</v>
      </c>
      <c r="D1072" s="5">
        <f>prices!D1073/prices!D1072-1</f>
        <v>-5.9131370439205688E-2</v>
      </c>
      <c r="E1072" s="5">
        <f>prices!E1073/prices!E1072-1</f>
        <v>-1.1344651744557344E-2</v>
      </c>
      <c r="F1072" s="5">
        <f>prices!F1073/prices!F1072-1</f>
        <v>9.7629401038015207E-3</v>
      </c>
      <c r="G1072" s="5">
        <f>prices!G1073/prices!G1072-1</f>
        <v>1.6823629681554486E-2</v>
      </c>
      <c r="H1072" s="5">
        <f>prices!H1073/prices!H1072-1</f>
        <v>-3.6421772596851865E-3</v>
      </c>
      <c r="I1072" s="5">
        <f>prices!I1073/prices!I1072-1</f>
        <v>8.7407655553011221E-3</v>
      </c>
      <c r="J1072" s="5">
        <f>prices!J1073/prices!J1072-1</f>
        <v>-1.0232364508813596E-2</v>
      </c>
      <c r="K1072" s="8">
        <f>SUMPRODUCT(B1072:I1072,weights!$B$5:$I$5)</f>
        <v>-1.5126034493132706E-4</v>
      </c>
      <c r="L1072" s="4">
        <f t="shared" si="32"/>
        <v>201.49576275906045</v>
      </c>
      <c r="M1072" s="4">
        <f>L1072/MAX(L$2:L1072)-1</f>
        <v>-2.2122496477608999E-3</v>
      </c>
      <c r="N1072" s="4">
        <f t="shared" si="33"/>
        <v>3.6579472846068439E-2</v>
      </c>
    </row>
    <row r="1073" spans="1:14">
      <c r="A1073" s="3">
        <f>prices!A1074</f>
        <v>45054</v>
      </c>
      <c r="B1073" s="5">
        <f>prices!B1074/prices!B1073-1</f>
        <v>1.2347681880452877E-2</v>
      </c>
      <c r="C1073" s="5">
        <f>prices!C1074/prices!C1073-1</f>
        <v>6.1568540019552032E-3</v>
      </c>
      <c r="D1073" s="5">
        <f>prices!D1074/prices!D1073-1</f>
        <v>1.1566252534178867E-2</v>
      </c>
      <c r="E1073" s="5">
        <f>prices!E1074/prices!E1073-1</f>
        <v>5.1579226753959428E-3</v>
      </c>
      <c r="F1073" s="5">
        <f>prices!F1074/prices!F1073-1</f>
        <v>6.3067818742532644E-3</v>
      </c>
      <c r="G1073" s="5">
        <f>prices!G1074/prices!G1073-1</f>
        <v>1.4258560658462871E-2</v>
      </c>
      <c r="H1073" s="5">
        <f>prices!H1074/prices!H1073-1</f>
        <v>-8.8624408904945939E-3</v>
      </c>
      <c r="I1073" s="5">
        <f>prices!I1074/prices!I1073-1</f>
        <v>-5.0862788451876417E-3</v>
      </c>
      <c r="J1073" s="5">
        <f>prices!J1074/prices!J1073-1</f>
        <v>1.0814101499806439E-2</v>
      </c>
      <c r="K1073" s="8">
        <f>SUMPRODUCT(B1073:I1073,weights!$B$5:$I$5)</f>
        <v>4.369556393753824E-3</v>
      </c>
      <c r="L1073" s="4">
        <f t="shared" si="32"/>
        <v>202.37620985753861</v>
      </c>
      <c r="M1073" s="4">
        <f>L1073/MAX(L$2:L1073)-1</f>
        <v>0</v>
      </c>
      <c r="N1073" s="4">
        <f t="shared" si="33"/>
        <v>2.606954083867441E-2</v>
      </c>
    </row>
    <row r="1074" spans="1:14">
      <c r="A1074" s="3">
        <f>prices!A1075</f>
        <v>45055</v>
      </c>
      <c r="B1074" s="5">
        <f>prices!B1075/prices!B1074-1</f>
        <v>3.0982354302808712E-3</v>
      </c>
      <c r="C1074" s="5">
        <f>prices!C1075/prices!C1074-1</f>
        <v>1.0046362582668555E-2</v>
      </c>
      <c r="D1074" s="5">
        <f>prices!D1075/prices!D1074-1</f>
        <v>3.8541586371731995E-5</v>
      </c>
      <c r="E1074" s="5">
        <f>prices!E1075/prices!E1074-1</f>
        <v>4.0312288206454383E-3</v>
      </c>
      <c r="F1074" s="5">
        <f>prices!F1075/prices!F1074-1</f>
        <v>-1.7725013804527956E-2</v>
      </c>
      <c r="G1074" s="5">
        <f>prices!G1075/prices!G1074-1</f>
        <v>3.8890480829847363E-3</v>
      </c>
      <c r="H1074" s="5">
        <f>prices!H1075/prices!H1074-1</f>
        <v>-4.5780574883940162E-3</v>
      </c>
      <c r="I1074" s="5">
        <f>prices!I1075/prices!I1074-1</f>
        <v>3.7815070689148911E-3</v>
      </c>
      <c r="J1074" s="5">
        <f>prices!J1075/prices!J1074-1</f>
        <v>8.4864545235596722E-5</v>
      </c>
      <c r="K1074" s="8">
        <f>SUMPRODUCT(B1074:I1074,weights!$B$5:$I$5)</f>
        <v>9.4913973581118476E-4</v>
      </c>
      <c r="L1074" s="4">
        <f t="shared" si="32"/>
        <v>202.56829315989728</v>
      </c>
      <c r="M1074" s="4">
        <f>L1074/MAX(L$2:L1074)-1</f>
        <v>0</v>
      </c>
      <c r="N1074" s="4">
        <f t="shared" si="33"/>
        <v>2.0602018483561801E-2</v>
      </c>
    </row>
    <row r="1075" spans="1:14">
      <c r="A1075" s="3">
        <f>prices!A1076</f>
        <v>45056</v>
      </c>
      <c r="B1075" s="5">
        <f>prices!B1076/prices!B1075-1</f>
        <v>6.8696192420343305E-3</v>
      </c>
      <c r="C1075" s="5">
        <f>prices!C1076/prices!C1075-1</f>
        <v>1.0800338860632586E-3</v>
      </c>
      <c r="D1075" s="5">
        <f>prices!D1076/prices!D1075-1</f>
        <v>4.6119654166827395E-3</v>
      </c>
      <c r="E1075" s="5">
        <f>prices!E1076/prices!E1075-1</f>
        <v>-5.864768433694878E-3</v>
      </c>
      <c r="F1075" s="5">
        <f>prices!F1076/prices!F1075-1</f>
        <v>3.6539434481983601E-3</v>
      </c>
      <c r="G1075" s="5">
        <f>prices!G1076/prices!G1075-1</f>
        <v>6.2123006063872221E-3</v>
      </c>
      <c r="H1075" s="5">
        <f>prices!H1076/prices!H1075-1</f>
        <v>-3.8128473568567189E-3</v>
      </c>
      <c r="I1075" s="5">
        <f>prices!I1076/prices!I1075-1</f>
        <v>-4.1698024047466253E-3</v>
      </c>
      <c r="J1075" s="5">
        <f>prices!J1076/prices!J1075-1</f>
        <v>2.6907990003255389E-3</v>
      </c>
      <c r="K1075" s="8">
        <f>SUMPRODUCT(B1075:I1075,weights!$B$5:$I$5)</f>
        <v>9.3157178092602303E-4</v>
      </c>
      <c r="L1075" s="4">
        <f t="shared" si="32"/>
        <v>202.75700006551537</v>
      </c>
      <c r="M1075" s="4">
        <f>L1075/MAX(L$2:L1075)-1</f>
        <v>0</v>
      </c>
      <c r="N1075" s="4">
        <f t="shared" si="33"/>
        <v>1.8009760191456392E-2</v>
      </c>
    </row>
    <row r="1076" spans="1:14">
      <c r="A1076" s="3">
        <f>prices!A1077</f>
        <v>45057</v>
      </c>
      <c r="B1076" s="5">
        <f>prices!B1077/prices!B1076-1</f>
        <v>-6.5230422058460968E-3</v>
      </c>
      <c r="C1076" s="5">
        <f>prices!C1077/prices!C1076-1</f>
        <v>-1.4160151311332081E-3</v>
      </c>
      <c r="D1076" s="5">
        <f>prices!D1077/prices!D1076-1</f>
        <v>6.6496163682860931E-4</v>
      </c>
      <c r="E1076" s="5">
        <f>prices!E1077/prices!E1076-1</f>
        <v>-5.6612758152414511E-3</v>
      </c>
      <c r="F1076" s="5">
        <f>prices!F1077/prices!F1076-1</f>
        <v>-1.1650050408871904E-2</v>
      </c>
      <c r="G1076" s="5">
        <f>prices!G1077/prices!G1076-1</f>
        <v>1.011705647668637E-2</v>
      </c>
      <c r="H1076" s="5">
        <f>prices!H1077/prices!H1076-1</f>
        <v>7.6008217104550635E-3</v>
      </c>
      <c r="I1076" s="5">
        <f>prices!I1077/prices!I1076-1</f>
        <v>-5.172345613919449E-2</v>
      </c>
      <c r="J1076" s="5">
        <f>prices!J1077/prices!J1076-1</f>
        <v>-9.8825559238002736E-4</v>
      </c>
      <c r="K1076" s="8">
        <f>SUMPRODUCT(B1076:I1076,weights!$B$5:$I$5)</f>
        <v>-9.4352710912940507E-3</v>
      </c>
      <c r="L1076" s="4">
        <f t="shared" si="32"/>
        <v>200.8439328042397</v>
      </c>
      <c r="M1076" s="4">
        <f>L1076/MAX(L$2:L1076)-1</f>
        <v>-9.4352710912940507E-3</v>
      </c>
      <c r="N1076" s="4">
        <f t="shared" si="33"/>
        <v>6.3192033251318058E-3</v>
      </c>
    </row>
    <row r="1077" spans="1:14">
      <c r="A1077" s="3">
        <f>prices!A1078</f>
        <v>45058</v>
      </c>
      <c r="B1077" s="5">
        <f>prices!B1078/prices!B1077-1</f>
        <v>1.6325951164113395E-3</v>
      </c>
      <c r="C1077" s="5">
        <f>prices!C1078/prices!C1077-1</f>
        <v>-2.3903817520687376E-3</v>
      </c>
      <c r="D1077" s="5">
        <f>prices!D1078/prices!D1077-1</f>
        <v>8.8304452282368384E-3</v>
      </c>
      <c r="E1077" s="5">
        <f>prices!E1078/prices!E1077-1</f>
        <v>-8.6732884001419208E-3</v>
      </c>
      <c r="F1077" s="5">
        <f>prices!F1078/prices!F1077-1</f>
        <v>1.4167516717678019E-4</v>
      </c>
      <c r="G1077" s="5">
        <f>prices!G1078/prices!G1077-1</f>
        <v>3.7250056167152934E-3</v>
      </c>
      <c r="H1077" s="5">
        <f>prices!H1078/prices!H1077-1</f>
        <v>-5.2579056366893751E-3</v>
      </c>
      <c r="I1077" s="5">
        <f>prices!I1078/prices!I1077-1</f>
        <v>-9.3873220185060058E-3</v>
      </c>
      <c r="J1077" s="5">
        <f>prices!J1078/prices!J1077-1</f>
        <v>9.7283707711648404E-4</v>
      </c>
      <c r="K1077" s="8">
        <f>SUMPRODUCT(B1077:I1077,weights!$B$5:$I$5)</f>
        <v>-1.9870181265957162E-3</v>
      </c>
      <c r="L1077" s="4">
        <f t="shared" si="32"/>
        <v>200.44485226914091</v>
      </c>
      <c r="M1077" s="4">
        <f>L1077/MAX(L$2:L1077)-1</f>
        <v>-1.140354116320208E-2</v>
      </c>
      <c r="N1077" s="4">
        <f t="shared" si="33"/>
        <v>2.0741707257116992E-3</v>
      </c>
    </row>
    <row r="1078" spans="1:14">
      <c r="A1078" s="3">
        <f>prices!A1079</f>
        <v>45061</v>
      </c>
      <c r="B1078" s="5">
        <f>prices!B1079/prices!B1078-1</f>
        <v>1.9665509177235752E-3</v>
      </c>
      <c r="C1078" s="5">
        <f>prices!C1079/prices!C1078-1</f>
        <v>-5.8785903566750397E-3</v>
      </c>
      <c r="D1078" s="5">
        <f>prices!D1079/prices!D1078-1</f>
        <v>4.8009323182549579E-3</v>
      </c>
      <c r="E1078" s="5">
        <f>prices!E1079/prices!E1078-1</f>
        <v>1.0556261294304869E-2</v>
      </c>
      <c r="F1078" s="5">
        <f>prices!F1079/prices!F1078-1</f>
        <v>1.7480239113805585E-2</v>
      </c>
      <c r="G1078" s="5">
        <f>prices!G1079/prices!G1078-1</f>
        <v>-9.4782857833548562E-3</v>
      </c>
      <c r="H1078" s="5">
        <f>prices!H1079/prices!H1078-1</f>
        <v>-3.1390569884469643E-3</v>
      </c>
      <c r="I1078" s="5">
        <f>prices!I1079/prices!I1078-1</f>
        <v>1.1590433916285114E-2</v>
      </c>
      <c r="J1078" s="5">
        <f>prices!J1079/prices!J1078-1</f>
        <v>4.5891847030816724E-3</v>
      </c>
      <c r="K1078" s="8">
        <f>SUMPRODUCT(B1078:I1078,weights!$B$5:$I$5)</f>
        <v>2.4149664221332508E-3</v>
      </c>
      <c r="L1078" s="4">
        <f t="shared" si="32"/>
        <v>200.92891985686038</v>
      </c>
      <c r="M1078" s="4">
        <f>L1078/MAX(L$2:L1078)-1</f>
        <v>-9.0161139100711774E-3</v>
      </c>
      <c r="N1078" s="4">
        <f t="shared" si="33"/>
        <v>1.0452137341482537E-2</v>
      </c>
    </row>
    <row r="1079" spans="1:14">
      <c r="A1079" s="3">
        <f>prices!A1080</f>
        <v>45062</v>
      </c>
      <c r="B1079" s="5">
        <f>prices!B1080/prices!B1079-1</f>
        <v>-1.4233931571036917E-2</v>
      </c>
      <c r="C1079" s="5">
        <f>prices!C1080/prices!C1079-1</f>
        <v>9.5321744932608254E-4</v>
      </c>
      <c r="D1079" s="5">
        <f>prices!D1080/prices!D1079-1</f>
        <v>-5.736113562441747E-3</v>
      </c>
      <c r="E1079" s="5">
        <f>prices!E1080/prices!E1079-1</f>
        <v>4.7272534126521215E-3</v>
      </c>
      <c r="F1079" s="5">
        <f>prices!F1080/prices!F1079-1</f>
        <v>-9.021551484100887E-3</v>
      </c>
      <c r="G1079" s="5">
        <f>prices!G1080/prices!G1079-1</f>
        <v>-1.4765317548107393E-2</v>
      </c>
      <c r="H1079" s="5">
        <f>prices!H1080/prices!H1079-1</f>
        <v>-1.2639051205471041E-2</v>
      </c>
      <c r="I1079" s="5">
        <f>prices!I1080/prices!I1079-1</f>
        <v>-8.7434978615188452E-3</v>
      </c>
      <c r="J1079" s="5">
        <f>prices!J1080/prices!J1079-1</f>
        <v>-6.1063599083637232E-3</v>
      </c>
      <c r="K1079" s="8">
        <f>SUMPRODUCT(B1079:I1079,weights!$B$5:$I$5)</f>
        <v>-9.0070677398845309E-3</v>
      </c>
      <c r="L1079" s="4">
        <f t="shared" si="32"/>
        <v>199.1191394648078</v>
      </c>
      <c r="M1079" s="4">
        <f>L1079/MAX(L$2:L1079)-1</f>
        <v>-1.794197290121724E-2</v>
      </c>
      <c r="N1079" s="4">
        <f t="shared" si="33"/>
        <v>1.496311701713493E-2</v>
      </c>
    </row>
    <row r="1080" spans="1:14">
      <c r="A1080" s="3">
        <f>prices!A1081</f>
        <v>45063</v>
      </c>
      <c r="B1080" s="5">
        <f>prices!B1081/prices!B1080-1</f>
        <v>-5.9103139013452211E-3</v>
      </c>
      <c r="C1080" s="5">
        <f>prices!C1081/prices!C1080-1</f>
        <v>-1.5179136255110026E-2</v>
      </c>
      <c r="D1080" s="5">
        <f>prices!D1081/prices!D1080-1</f>
        <v>-5.363460002282161E-3</v>
      </c>
      <c r="E1080" s="5">
        <f>prices!E1081/prices!E1080-1</f>
        <v>-1.3762599562980316E-2</v>
      </c>
      <c r="F1080" s="5">
        <f>prices!F1081/prices!F1080-1</f>
        <v>8.6260185445350412E-3</v>
      </c>
      <c r="G1080" s="5">
        <f>prices!G1081/prices!G1080-1</f>
        <v>5.297145917504853E-3</v>
      </c>
      <c r="H1080" s="5">
        <f>prices!H1081/prices!H1080-1</f>
        <v>-5.3154180000877238E-3</v>
      </c>
      <c r="I1080" s="5">
        <f>prices!I1081/prices!I1080-1</f>
        <v>-3.4144339129786871E-3</v>
      </c>
      <c r="J1080" s="5">
        <f>prices!J1081/prices!J1080-1</f>
        <v>-5.7282694884204233E-3</v>
      </c>
      <c r="K1080" s="8">
        <f>SUMPRODUCT(B1080:I1080,weights!$B$5:$I$5)</f>
        <v>-3.3735415247281605E-3</v>
      </c>
      <c r="L1080" s="4">
        <f t="shared" si="32"/>
        <v>198.44740277945513</v>
      </c>
      <c r="M1080" s="4">
        <f>L1080/MAX(L$2:L1080)-1</f>
        <v>-2.1254986435327528E-2</v>
      </c>
      <c r="N1080" s="4">
        <f t="shared" si="33"/>
        <v>1.1375142320724896E-2</v>
      </c>
    </row>
    <row r="1081" spans="1:14">
      <c r="A1081" s="3">
        <f>prices!A1082</f>
        <v>45064</v>
      </c>
      <c r="B1081" s="5">
        <f>prices!B1082/prices!B1081-1</f>
        <v>-2.1562418238739722E-3</v>
      </c>
      <c r="C1081" s="5">
        <f>prices!C1082/prices!C1081-1</f>
        <v>-2.7559150294067525E-3</v>
      </c>
      <c r="D1081" s="5">
        <f>prices!D1082/prices!D1081-1</f>
        <v>3.9901075926775942E-3</v>
      </c>
      <c r="E1081" s="5">
        <f>prices!E1082/prices!E1081-1</f>
        <v>-7.1470688084041001E-4</v>
      </c>
      <c r="F1081" s="5">
        <f>prices!F1082/prices!F1081-1</f>
        <v>-1.8469509986907107E-2</v>
      </c>
      <c r="G1081" s="5">
        <f>prices!G1082/prices!G1081-1</f>
        <v>-7.2484764966380677E-3</v>
      </c>
      <c r="H1081" s="5">
        <f>prices!H1082/prices!H1081-1</f>
        <v>-6.7321147214050026E-3</v>
      </c>
      <c r="I1081" s="5">
        <f>prices!I1082/prices!I1081-1</f>
        <v>-1.414449665811679E-2</v>
      </c>
      <c r="J1081" s="5">
        <f>prices!J1082/prices!J1081-1</f>
        <v>-2.8490106837900653E-3</v>
      </c>
      <c r="K1081" s="8">
        <f>SUMPRODUCT(B1081:I1081,weights!$B$5:$I$5)</f>
        <v>-7.035338145746221E-3</v>
      </c>
      <c r="L1081" s="4">
        <f t="shared" si="32"/>
        <v>197.05125819675658</v>
      </c>
      <c r="M1081" s="4">
        <f>L1081/MAX(L$2:L1081)-1</f>
        <v>-2.8140788564217978E-2</v>
      </c>
      <c r="N1081" s="4">
        <f t="shared" si="33"/>
        <v>8.6197539179928562E-3</v>
      </c>
    </row>
    <row r="1082" spans="1:14">
      <c r="A1082" s="3">
        <f>prices!A1083</f>
        <v>45065</v>
      </c>
      <c r="B1082" s="5">
        <f>prices!B1083/prices!B1082-1</f>
        <v>3.2458725881989725E-3</v>
      </c>
      <c r="C1082" s="5">
        <f>prices!C1083/prices!C1082-1</f>
        <v>7.1858734385876755E-3</v>
      </c>
      <c r="D1082" s="5">
        <f>prices!D1083/prices!D1082-1</f>
        <v>1.1554528486357185E-3</v>
      </c>
      <c r="E1082" s="5">
        <f>prices!E1083/prices!E1082-1</f>
        <v>1.8372163713411993E-2</v>
      </c>
      <c r="F1082" s="5">
        <f>prices!F1083/prices!F1082-1</f>
        <v>3.4058012147353267E-4</v>
      </c>
      <c r="G1082" s="5">
        <f>prices!G1083/prices!G1082-1</f>
        <v>5.815610334572785E-3</v>
      </c>
      <c r="H1082" s="5">
        <f>prices!H1083/prices!H1082-1</f>
        <v>-4.0821759772818877E-3</v>
      </c>
      <c r="I1082" s="5">
        <f>prices!I1083/prices!I1082-1</f>
        <v>8.4508379623016161E-4</v>
      </c>
      <c r="J1082" s="5">
        <f>prices!J1083/prices!J1082-1</f>
        <v>4.0513073670915833E-3</v>
      </c>
      <c r="K1082" s="8">
        <f>SUMPRODUCT(B1082:I1082,weights!$B$5:$I$5)</f>
        <v>3.3968070933444753E-3</v>
      </c>
      <c r="L1082" s="4">
        <f t="shared" si="32"/>
        <v>197.7206033083518</v>
      </c>
      <c r="M1082" s="4">
        <f>L1082/MAX(L$2:L1082)-1</f>
        <v>-2.4839570301080638E-2</v>
      </c>
      <c r="N1082" s="4">
        <f t="shared" si="33"/>
        <v>1.1160756081886269E-2</v>
      </c>
    </row>
    <row r="1083" spans="1:14">
      <c r="A1083" s="3">
        <f>prices!A1084</f>
        <v>45068</v>
      </c>
      <c r="B1083" s="5">
        <f>prices!B1084/prices!B1083-1</f>
        <v>5.3442200412758822E-3</v>
      </c>
      <c r="C1083" s="5">
        <f>prices!C1084/prices!C1083-1</f>
        <v>2.3535600819705849E-2</v>
      </c>
      <c r="D1083" s="5">
        <f>prices!D1084/prices!D1083-1</f>
        <v>-3.5511363636364646E-3</v>
      </c>
      <c r="E1083" s="5">
        <f>prices!E1084/prices!E1083-1</f>
        <v>1.8839600031604231E-2</v>
      </c>
      <c r="F1083" s="5">
        <f>prices!F1084/prices!F1083-1</f>
        <v>1.168926970436357E-2</v>
      </c>
      <c r="G1083" s="5">
        <f>prices!G1084/prices!G1083-1</f>
        <v>5.5683447484020654E-3</v>
      </c>
      <c r="H1083" s="5">
        <f>prices!H1084/prices!H1083-1</f>
        <v>1.253063042993996E-2</v>
      </c>
      <c r="I1083" s="5">
        <f>prices!I1084/prices!I1083-1</f>
        <v>1.2124777048309276E-2</v>
      </c>
      <c r="J1083" s="5">
        <f>prices!J1084/prices!J1083-1</f>
        <v>6.0977619565576457E-3</v>
      </c>
      <c r="K1083" s="8">
        <f>SUMPRODUCT(B1083:I1083,weights!$B$5:$I$5)</f>
        <v>1.0417409137720721E-2</v>
      </c>
      <c r="L1083" s="4">
        <f t="shared" si="32"/>
        <v>199.78033972797186</v>
      </c>
      <c r="M1083" s="4">
        <f>L1083/MAX(L$2:L1083)-1</f>
        <v>-1.4680925129991418E-2</v>
      </c>
      <c r="N1083" s="4">
        <f t="shared" si="33"/>
        <v>2.2690890782497419E-2</v>
      </c>
    </row>
    <row r="1084" spans="1:14">
      <c r="A1084" s="3">
        <f>prices!A1085</f>
        <v>45069</v>
      </c>
      <c r="B1084" s="5">
        <f>prices!B1085/prices!B1084-1</f>
        <v>-1.7928536852107602E-4</v>
      </c>
      <c r="C1084" s="5">
        <f>prices!C1085/prices!C1084-1</f>
        <v>-5.00535808465985E-4</v>
      </c>
      <c r="D1084" s="5">
        <f>prices!D1085/prices!D1084-1</f>
        <v>-2.3419203747071515E-3</v>
      </c>
      <c r="E1084" s="5">
        <f>prices!E1085/prices!E1084-1</f>
        <v>5.6094093317824445E-3</v>
      </c>
      <c r="F1084" s="5">
        <f>prices!F1085/prices!F1084-1</f>
        <v>1.0348308934881256E-2</v>
      </c>
      <c r="G1084" s="5">
        <f>prices!G1085/prices!G1084-1</f>
        <v>4.8103851602909753E-3</v>
      </c>
      <c r="H1084" s="5">
        <f>prices!H1085/prices!H1084-1</f>
        <v>-6.2482811726527476E-3</v>
      </c>
      <c r="I1084" s="5">
        <f>prices!I1085/prices!I1084-1</f>
        <v>-8.5534579404210609E-3</v>
      </c>
      <c r="J1084" s="5">
        <f>prices!J1085/prices!J1084-1</f>
        <v>1.834621936836589E-3</v>
      </c>
      <c r="K1084" s="8">
        <f>SUMPRODUCT(B1084:I1084,weights!$B$5:$I$5)</f>
        <v>-5.9250095145148654E-4</v>
      </c>
      <c r="L1084" s="4">
        <f t="shared" si="32"/>
        <v>199.66196968660174</v>
      </c>
      <c r="M1084" s="4">
        <f>L1084/MAX(L$2:L1084)-1</f>
        <v>-1.5264727619335283E-2</v>
      </c>
      <c r="N1084" s="4">
        <f t="shared" si="33"/>
        <v>2.3057195949529818E-2</v>
      </c>
    </row>
    <row r="1085" spans="1:14">
      <c r="A1085" s="3">
        <f>prices!A1086</f>
        <v>45070</v>
      </c>
      <c r="B1085" s="5">
        <f>prices!B1086/prices!B1085-1</f>
        <v>-5.8278193196693584E-3</v>
      </c>
      <c r="C1085" s="5">
        <f>prices!C1086/prices!C1085-1</f>
        <v>1.9123993385585791E-3</v>
      </c>
      <c r="D1085" s="5">
        <f>prices!D1086/prices!D1085-1</f>
        <v>-1.3076648295570537E-2</v>
      </c>
      <c r="E1085" s="5">
        <f>prices!E1086/prices!E1085-1</f>
        <v>-1.0796360084314172E-3</v>
      </c>
      <c r="F1085" s="5">
        <f>prices!F1086/prices!F1085-1</f>
        <v>1.013129042107308E-2</v>
      </c>
      <c r="G1085" s="5">
        <f>prices!G1086/prices!G1085-1</f>
        <v>7.6129591039479916E-3</v>
      </c>
      <c r="H1085" s="5">
        <f>prices!H1086/prices!H1085-1</f>
        <v>2.2061835128463381E-2</v>
      </c>
      <c r="I1085" s="5">
        <f>prices!I1086/prices!I1085-1</f>
        <v>-5.6868946151772404E-3</v>
      </c>
      <c r="J1085" s="5">
        <f>prices!J1086/prices!J1085-1</f>
        <v>-3.4118160017440058E-3</v>
      </c>
      <c r="K1085" s="8">
        <f>SUMPRODUCT(B1085:I1085,weights!$B$5:$I$5)</f>
        <v>2.8965511602965319E-3</v>
      </c>
      <c r="L1085" s="4">
        <f t="shared" si="32"/>
        <v>200.24030079656455</v>
      </c>
      <c r="M1085" s="4">
        <f>L1085/MAX(L$2:L1085)-1</f>
        <v>-1.2412391523536126E-2</v>
      </c>
      <c r="N1085" s="4">
        <f t="shared" si="33"/>
        <v>2.4832193941875413E-2</v>
      </c>
    </row>
    <row r="1086" spans="1:14">
      <c r="A1086" s="3">
        <f>prices!A1087</f>
        <v>45071</v>
      </c>
      <c r="B1086" s="5">
        <f>prices!B1087/prices!B1086-1</f>
        <v>-1.2625807149801993E-4</v>
      </c>
      <c r="C1086" s="5">
        <f>prices!C1087/prices!C1086-1</f>
        <v>-2.9822107272368115E-3</v>
      </c>
      <c r="D1086" s="5">
        <f>prices!D1087/prices!D1086-1</f>
        <v>-3.839243009863158E-3</v>
      </c>
      <c r="E1086" s="5">
        <f>prices!E1087/prices!E1086-1</f>
        <v>4.3918339337793988E-3</v>
      </c>
      <c r="F1086" s="5">
        <f>prices!F1087/prices!F1086-1</f>
        <v>1.76412398329302E-2</v>
      </c>
      <c r="G1086" s="5">
        <f>prices!G1087/prices!G1086-1</f>
        <v>1.1973346679443608E-3</v>
      </c>
      <c r="H1086" s="5">
        <f>prices!H1087/prices!H1086-1</f>
        <v>-7.5056861258528951E-3</v>
      </c>
      <c r="I1086" s="5">
        <f>prices!I1087/prices!I1086-1</f>
        <v>8.9475886201124677E-3</v>
      </c>
      <c r="J1086" s="5">
        <f>prices!J1087/prices!J1086-1</f>
        <v>1.955111728482839E-3</v>
      </c>
      <c r="K1086" s="8">
        <f>SUMPRODUCT(B1086:I1086,weights!$B$5:$I$5)</f>
        <v>2.1472723889736805E-3</v>
      </c>
      <c r="L1086" s="4">
        <f t="shared" si="32"/>
        <v>200.67027126562482</v>
      </c>
      <c r="M1086" s="4">
        <f>L1086/MAX(L$2:L1086)-1</f>
        <v>-1.0291771920161952E-2</v>
      </c>
      <c r="N1086" s="4">
        <f t="shared" si="33"/>
        <v>2.3266383671516788E-2</v>
      </c>
    </row>
    <row r="1087" spans="1:14">
      <c r="A1087" s="3">
        <f>prices!A1088</f>
        <v>45072</v>
      </c>
      <c r="B1087" s="5">
        <f>prices!B1088/prices!B1087-1</f>
        <v>2.7275187156128755E-2</v>
      </c>
      <c r="C1087" s="5">
        <f>prices!C1088/prices!C1087-1</f>
        <v>1.0746537824852354E-2</v>
      </c>
      <c r="D1087" s="5">
        <f>prices!D1088/prices!D1087-1</f>
        <v>3.8540396044743908E-3</v>
      </c>
      <c r="E1087" s="5">
        <f>prices!E1088/prices!E1087-1</f>
        <v>1.0043384688962487E-2</v>
      </c>
      <c r="F1087" s="5">
        <f>prices!F1088/prices!F1087-1</f>
        <v>5.5624561214020485E-3</v>
      </c>
      <c r="G1087" s="5">
        <f>prices!G1088/prices!G1087-1</f>
        <v>1.2724539992132078E-2</v>
      </c>
      <c r="H1087" s="5">
        <f>prices!H1088/prices!H1087-1</f>
        <v>2.634307103026079E-2</v>
      </c>
      <c r="I1087" s="5">
        <f>prices!I1088/prices!I1087-1</f>
        <v>6.2388675795645998E-3</v>
      </c>
      <c r="J1087" s="5">
        <f>prices!J1088/prices!J1087-1</f>
        <v>9.7264636772254054E-3</v>
      </c>
      <c r="K1087" s="8">
        <f>SUMPRODUCT(B1087:I1087,weights!$B$5:$I$5)</f>
        <v>1.3693834839213799E-2</v>
      </c>
      <c r="L1087" s="4">
        <f t="shared" si="32"/>
        <v>203.41821681747649</v>
      </c>
      <c r="M1087" s="4">
        <f>L1087/MAX(L$2:L1087)-1</f>
        <v>0</v>
      </c>
      <c r="N1087" s="4">
        <f t="shared" si="33"/>
        <v>2.954054993270927E-2</v>
      </c>
    </row>
    <row r="1088" spans="1:14">
      <c r="A1088" s="3">
        <f>prices!A1089</f>
        <v>45075</v>
      </c>
      <c r="B1088" s="5">
        <f>prices!B1089/prices!B1088-1</f>
        <v>5.6280401074682018E-3</v>
      </c>
      <c r="C1088" s="5">
        <f>prices!C1089/prices!C1088-1</f>
        <v>-2.5665266339554016E-3</v>
      </c>
      <c r="D1088" s="5">
        <f>prices!D1089/prices!D1088-1</f>
        <v>1.2189919724918896E-2</v>
      </c>
      <c r="E1088" s="5">
        <f>prices!E1089/prices!E1088-1</f>
        <v>-2.316772076977669E-3</v>
      </c>
      <c r="F1088" s="5">
        <f>prices!F1089/prices!F1088-1</f>
        <v>1.2406015037593976E-2</v>
      </c>
      <c r="G1088" s="5">
        <f>prices!G1089/prices!G1088-1</f>
        <v>-7.0697657946402481E-3</v>
      </c>
      <c r="H1088" s="5">
        <f>prices!H1089/prices!H1088-1</f>
        <v>-1.4885540823595944E-3</v>
      </c>
      <c r="I1088" s="5">
        <f>prices!I1089/prices!I1088-1</f>
        <v>2.7488737578555966E-3</v>
      </c>
      <c r="J1088" s="5">
        <f>prices!J1089/prices!J1088-1</f>
        <v>5.3677561644058791E-3</v>
      </c>
      <c r="K1088" s="8">
        <f>SUMPRODUCT(B1088:I1088,weights!$B$5:$I$5)</f>
        <v>1.1811184682048591E-3</v>
      </c>
      <c r="L1088" s="4">
        <f t="shared" si="32"/>
        <v>203.65847783012893</v>
      </c>
      <c r="M1088" s="4">
        <f>L1088/MAX(L$2:L1088)-1</f>
        <v>0</v>
      </c>
      <c r="N1088" s="4">
        <f t="shared" si="33"/>
        <v>1.7222203777503386E-2</v>
      </c>
    </row>
    <row r="1089" spans="1:14">
      <c r="A1089" s="3">
        <f>prices!A1090</f>
        <v>45076</v>
      </c>
      <c r="B1089" s="5">
        <f>prices!B1090/prices!B1089-1</f>
        <v>-2.6192866809271464E-4</v>
      </c>
      <c r="C1089" s="5">
        <f>prices!C1090/prices!C1089-1</f>
        <v>-1.2515226859345363E-3</v>
      </c>
      <c r="D1089" s="5">
        <f>prices!D1090/prices!D1089-1</f>
        <v>7.6626395238954537E-4</v>
      </c>
      <c r="E1089" s="5">
        <f>prices!E1090/prices!E1089-1</f>
        <v>7.1868061087851931E-3</v>
      </c>
      <c r="F1089" s="5">
        <f>prices!F1090/prices!F1089-1</f>
        <v>2.4269269534772819E-2</v>
      </c>
      <c r="G1089" s="5">
        <f>prices!G1090/prices!G1089-1</f>
        <v>5.3411920488464215E-3</v>
      </c>
      <c r="H1089" s="5">
        <f>prices!H1090/prices!H1089-1</f>
        <v>-9.1469582902962143E-3</v>
      </c>
      <c r="I1089" s="5">
        <f>prices!I1090/prices!I1089-1</f>
        <v>-6.1831886386243262E-3</v>
      </c>
      <c r="J1089" s="5">
        <f>prices!J1090/prices!J1089-1</f>
        <v>1.8926104851695325E-3</v>
      </c>
      <c r="K1089" s="8">
        <f>SUMPRODUCT(B1089:I1089,weights!$B$5:$I$5)</f>
        <v>9.9274130850009017E-4</v>
      </c>
      <c r="L1089" s="4">
        <f t="shared" si="32"/>
        <v>203.86065801389714</v>
      </c>
      <c r="M1089" s="4">
        <f>L1089/MAX(L$2:L1089)-1</f>
        <v>0</v>
      </c>
      <c r="N1089" s="4">
        <f t="shared" si="33"/>
        <v>1.1954427674625734E-2</v>
      </c>
    </row>
    <row r="1090" spans="1:14">
      <c r="A1090" s="3">
        <f>prices!A1091</f>
        <v>45077</v>
      </c>
      <c r="B1090" s="5">
        <f>prices!B1091/prices!B1090-1</f>
        <v>-1.985939478625387E-2</v>
      </c>
      <c r="C1090" s="5">
        <f>prices!C1091/prices!C1090-1</f>
        <v>-8.0498563122367583E-3</v>
      </c>
      <c r="D1090" s="5">
        <f>prices!D1091/prices!D1090-1</f>
        <v>-1.5823996324749179E-2</v>
      </c>
      <c r="E1090" s="5">
        <f>prices!E1091/prices!E1090-1</f>
        <v>-4.1904377240369328E-3</v>
      </c>
      <c r="F1090" s="5">
        <f>prices!F1091/prices!F1090-1</f>
        <v>-9.7625398140716024E-3</v>
      </c>
      <c r="G1090" s="5">
        <f>prices!G1091/prices!G1090-1</f>
        <v>-1.6674612237658204E-3</v>
      </c>
      <c r="H1090" s="5">
        <f>prices!H1091/prices!H1090-1</f>
        <v>1.6420925933886332E-2</v>
      </c>
      <c r="I1090" s="5">
        <f>prices!I1091/prices!I1090-1</f>
        <v>-2.3260731655742051E-3</v>
      </c>
      <c r="J1090" s="5">
        <f>prices!J1091/prices!J1090-1</f>
        <v>-5.3370613158310043E-3</v>
      </c>
      <c r="K1090" s="8">
        <f>SUMPRODUCT(B1090:I1090,weights!$B$5:$I$5)</f>
        <v>-3.8880629542008228E-3</v>
      </c>
      <c r="L1090" s="4">
        <f t="shared" si="32"/>
        <v>203.0680349416543</v>
      </c>
      <c r="M1090" s="4">
        <f>L1090/MAX(L$2:L1090)-1</f>
        <v>-3.8880629542008549E-3</v>
      </c>
      <c r="N1090" s="4">
        <f t="shared" si="33"/>
        <v>1.3356301287203332E-2</v>
      </c>
    </row>
    <row r="1091" spans="1:14">
      <c r="A1091" s="3">
        <f>prices!A1092</f>
        <v>45078</v>
      </c>
      <c r="B1091" s="5">
        <f>prices!B1092/prices!B1091-1</f>
        <v>-2.6908786342454416E-3</v>
      </c>
      <c r="C1091" s="5">
        <f>prices!C1092/prices!C1091-1</f>
        <v>1.0486742507183511E-2</v>
      </c>
      <c r="D1091" s="5">
        <f>prices!D1092/prices!D1091-1</f>
        <v>-4.2530017375067564E-3</v>
      </c>
      <c r="E1091" s="5">
        <f>prices!E1092/prices!E1091-1</f>
        <v>9.1259379436214871E-4</v>
      </c>
      <c r="F1091" s="5">
        <f>prices!F1092/prices!F1091-1</f>
        <v>-1.3023012552301205E-2</v>
      </c>
      <c r="G1091" s="5">
        <f>prices!G1092/prices!G1091-1</f>
        <v>-4.206710747546194E-3</v>
      </c>
      <c r="H1091" s="5">
        <f>prices!H1092/prices!H1091-1</f>
        <v>1.2655952632691925E-2</v>
      </c>
      <c r="I1091" s="5">
        <f>prices!I1092/prices!I1091-1</f>
        <v>9.7498940228923914E-4</v>
      </c>
      <c r="J1091" s="5">
        <f>prices!J1092/prices!J1091-1</f>
        <v>-2.5169414709945714E-3</v>
      </c>
      <c r="K1091" s="8">
        <f>SUMPRODUCT(B1091:I1091,weights!$B$5:$I$5)</f>
        <v>5.3355147280097453E-4</v>
      </c>
      <c r="L1091" s="4">
        <f t="shared" si="32"/>
        <v>203.1763821907762</v>
      </c>
      <c r="M1091" s="4">
        <f>L1091/MAX(L$2:L1091)-1</f>
        <v>-3.3565859631154993E-3</v>
      </c>
      <c r="N1091" s="4">
        <f t="shared" si="33"/>
        <v>8.1881965132761803E-3</v>
      </c>
    </row>
    <row r="1092" spans="1:14">
      <c r="A1092" s="3">
        <f>prices!A1093</f>
        <v>45079</v>
      </c>
      <c r="B1092" s="5">
        <f>prices!B1093/prices!B1092-1</f>
        <v>-3.2699300449390289E-3</v>
      </c>
      <c r="C1092" s="5">
        <f>prices!C1093/prices!C1092-1</f>
        <v>-5.5339974130228509E-3</v>
      </c>
      <c r="D1092" s="5">
        <f>prices!D1093/prices!D1092-1</f>
        <v>1.562622079849918E-3</v>
      </c>
      <c r="E1092" s="5">
        <f>prices!E1093/prices!E1092-1</f>
        <v>-2.3047310302907187E-3</v>
      </c>
      <c r="F1092" s="5">
        <f>prices!F1093/prices!F1092-1</f>
        <v>8.3991309416564519E-3</v>
      </c>
      <c r="G1092" s="5">
        <f>prices!G1093/prices!G1092-1</f>
        <v>1.6836590169492238E-2</v>
      </c>
      <c r="H1092" s="5">
        <f>prices!H1093/prices!H1092-1</f>
        <v>1.2048821742171922E-2</v>
      </c>
      <c r="I1092" s="5">
        <f>prices!I1093/prices!I1092-1</f>
        <v>1.211197221869309E-2</v>
      </c>
      <c r="J1092" s="5">
        <f>prices!J1093/prices!J1092-1</f>
        <v>2.507065489310456E-3</v>
      </c>
      <c r="K1092" s="8">
        <f>SUMPRODUCT(B1092:I1092,weights!$B$5:$I$5)</f>
        <v>7.1970754318871587E-3</v>
      </c>
      <c r="L1092" s="4">
        <f t="shared" ref="L1092:L1155" si="34">L1091*(1+K1092)</f>
        <v>204.63865793938112</v>
      </c>
      <c r="M1092" s="4">
        <f>L1092/MAX(L$2:L1092)-1</f>
        <v>0</v>
      </c>
      <c r="N1092" s="4">
        <f t="shared" si="33"/>
        <v>1.5597822690091911E-2</v>
      </c>
    </row>
    <row r="1093" spans="1:14">
      <c r="A1093" s="3">
        <f>prices!A1094</f>
        <v>45082</v>
      </c>
      <c r="B1093" s="5">
        <f>prices!B1094/prices!B1093-1</f>
        <v>8.9814723519445749E-3</v>
      </c>
      <c r="C1093" s="5">
        <f>prices!C1094/prices!C1093-1</f>
        <v>-5.0518933705213653E-3</v>
      </c>
      <c r="D1093" s="5">
        <f>prices!D1094/prices!D1093-1</f>
        <v>-1.3131549522843455E-3</v>
      </c>
      <c r="E1093" s="5">
        <f>prices!E1094/prices!E1093-1</f>
        <v>4.2308701207489641E-3</v>
      </c>
      <c r="F1093" s="5">
        <f>prices!F1094/prices!F1093-1</f>
        <v>-6.2008986047976666E-3</v>
      </c>
      <c r="G1093" s="5">
        <f>prices!G1094/prices!G1093-1</f>
        <v>1.0199884840009776E-2</v>
      </c>
      <c r="H1093" s="5">
        <f>prices!H1094/prices!H1093-1</f>
        <v>9.1611558737660914E-3</v>
      </c>
      <c r="I1093" s="5">
        <f>prices!I1094/prices!I1093-1</f>
        <v>1.5105234528641542E-2</v>
      </c>
      <c r="J1093" s="5">
        <f>prices!J1094/prices!J1093-1</f>
        <v>3.223787505193032E-3</v>
      </c>
      <c r="K1093" s="8">
        <f>SUMPRODUCT(B1093:I1093,weights!$B$5:$I$5)</f>
        <v>6.7822876278346138E-3</v>
      </c>
      <c r="L1093" s="4">
        <f t="shared" si="34"/>
        <v>206.02657617730003</v>
      </c>
      <c r="M1093" s="4">
        <f>L1093/MAX(L$2:L1093)-1</f>
        <v>0</v>
      </c>
      <c r="N1093" s="4">
        <f t="shared" si="33"/>
        <v>1.8037526853235786E-2</v>
      </c>
    </row>
    <row r="1094" spans="1:14">
      <c r="A1094" s="3">
        <f>prices!A1095</f>
        <v>45083</v>
      </c>
      <c r="B1094" s="5">
        <f>prices!B1095/prices!B1094-1</f>
        <v>8.5284058099754922E-4</v>
      </c>
      <c r="C1094" s="5">
        <f>prices!C1095/prices!C1094-1</f>
        <v>-1.7210416547337015E-2</v>
      </c>
      <c r="D1094" s="5">
        <f>prices!D1095/prices!D1094-1</f>
        <v>-3.1114524885110795E-3</v>
      </c>
      <c r="E1094" s="5">
        <f>prices!E1095/prices!E1094-1</f>
        <v>-1.95485300685041E-2</v>
      </c>
      <c r="F1094" s="5">
        <f>prices!F1095/prices!F1094-1</f>
        <v>4.8912037649049278E-3</v>
      </c>
      <c r="G1094" s="5">
        <f>prices!G1095/prices!G1094-1</f>
        <v>1.6082295144260739E-2</v>
      </c>
      <c r="H1094" s="5">
        <f>prices!H1095/prices!H1094-1</f>
        <v>4.9990288185322029E-3</v>
      </c>
      <c r="I1094" s="5">
        <f>prices!I1095/prices!I1094-1</f>
        <v>4.2548319135293777E-3</v>
      </c>
      <c r="J1094" s="5">
        <f>prices!J1095/prices!J1094-1</f>
        <v>2.7697330031184464E-4</v>
      </c>
      <c r="K1094" s="8">
        <f>SUMPRODUCT(B1094:I1094,weights!$B$5:$I$5)</f>
        <v>1.8366588104410902E-3</v>
      </c>
      <c r="L1094" s="4">
        <f t="shared" si="34"/>
        <v>206.40497670362106</v>
      </c>
      <c r="M1094" s="4">
        <f>L1094/MAX(L$2:L1094)-1</f>
        <v>0</v>
      </c>
      <c r="N1094" s="4">
        <f t="shared" si="33"/>
        <v>1.8940197816127657E-2</v>
      </c>
    </row>
    <row r="1095" spans="1:14">
      <c r="A1095" s="3">
        <f>prices!A1096</f>
        <v>45084</v>
      </c>
      <c r="B1095" s="5">
        <f>prices!B1096/prices!B1095-1</f>
        <v>7.5802629126318077E-3</v>
      </c>
      <c r="C1095" s="5">
        <f>prices!C1096/prices!C1095-1</f>
        <v>1.3178419481022718E-2</v>
      </c>
      <c r="D1095" s="5">
        <f>prices!D1096/prices!D1095-1</f>
        <v>5.1845273852744178E-3</v>
      </c>
      <c r="E1095" s="5">
        <f>prices!E1096/prices!E1095-1</f>
        <v>7.7776536408873387E-3</v>
      </c>
      <c r="F1095" s="5">
        <f>prices!F1096/prices!F1095-1</f>
        <v>2.6047147968848439E-3</v>
      </c>
      <c r="G1095" s="5">
        <f>prices!G1096/prices!G1095-1</f>
        <v>-2.9480023250643139E-3</v>
      </c>
      <c r="H1095" s="5">
        <f>prices!H1096/prices!H1095-1</f>
        <v>7.9342474671428853E-4</v>
      </c>
      <c r="I1095" s="5">
        <f>prices!I1096/prices!I1095-1</f>
        <v>1.6482038044593583E-2</v>
      </c>
      <c r="J1095" s="5">
        <f>prices!J1096/prices!J1095-1</f>
        <v>6.8498306360558203E-3</v>
      </c>
      <c r="K1095" s="8">
        <f>SUMPRODUCT(B1095:I1095,weights!$B$5:$I$5)</f>
        <v>6.1777138338445711E-3</v>
      </c>
      <c r="L1095" s="4">
        <f t="shared" si="34"/>
        <v>207.68008758357738</v>
      </c>
      <c r="M1095" s="4">
        <f>L1095/MAX(L$2:L1095)-1</f>
        <v>0</v>
      </c>
      <c r="N1095" s="4">
        <f t="shared" si="33"/>
        <v>2.4280727750318087E-2</v>
      </c>
    </row>
    <row r="1096" spans="1:14">
      <c r="A1096" s="3">
        <f>prices!A1097</f>
        <v>45085</v>
      </c>
      <c r="B1096" s="5">
        <f>prices!B1097/prices!B1096-1</f>
        <v>5.9903977447905987E-4</v>
      </c>
      <c r="C1096" s="5">
        <f>prices!C1097/prices!C1096-1</f>
        <v>-1.1741497565415648E-2</v>
      </c>
      <c r="D1096" s="5">
        <f>prices!D1097/prices!D1096-1</f>
        <v>6.2361149004175331E-4</v>
      </c>
      <c r="E1096" s="5">
        <f>prices!E1097/prices!E1096-1</f>
        <v>-4.7670214217493401E-3</v>
      </c>
      <c r="F1096" s="5">
        <f>prices!F1097/prices!F1096-1</f>
        <v>-2.388012701078468E-3</v>
      </c>
      <c r="G1096" s="5">
        <f>prices!G1097/prices!G1096-1</f>
        <v>-5.0378886520513477E-3</v>
      </c>
      <c r="H1096" s="5">
        <f>prices!H1097/prices!H1096-1</f>
        <v>-2.720915577419547E-2</v>
      </c>
      <c r="I1096" s="5">
        <f>prices!I1097/prices!I1096-1</f>
        <v>1.0714141500248964E-2</v>
      </c>
      <c r="J1096" s="5">
        <f>prices!J1097/prices!J1096-1</f>
        <v>-4.9048402255640333E-3</v>
      </c>
      <c r="K1096" s="8">
        <f>SUMPRODUCT(B1096:I1096,weights!$B$5:$I$5)</f>
        <v>-4.4844596012038798E-3</v>
      </c>
      <c r="L1096" s="4">
        <f t="shared" si="34"/>
        <v>206.74875462083432</v>
      </c>
      <c r="M1096" s="4">
        <f>L1096/MAX(L$2:L1096)-1</f>
        <v>-4.4844596012040272E-3</v>
      </c>
      <c r="N1096" s="4">
        <f t="shared" si="33"/>
        <v>2.9400050746616113E-2</v>
      </c>
    </row>
    <row r="1097" spans="1:14">
      <c r="A1097" s="3">
        <f>prices!A1098</f>
        <v>45086</v>
      </c>
      <c r="B1097" s="5">
        <f>prices!B1098/prices!B1097-1</f>
        <v>-7.0785240749055012E-3</v>
      </c>
      <c r="C1097" s="5">
        <f>prices!C1098/prices!C1097-1</f>
        <v>-8.3886010894909102E-3</v>
      </c>
      <c r="D1097" s="5">
        <f>prices!D1098/prices!D1097-1</f>
        <v>1.1815266362844579E-3</v>
      </c>
      <c r="E1097" s="5">
        <f>prices!E1098/prices!E1097-1</f>
        <v>-1.3135683989546232E-2</v>
      </c>
      <c r="F1097" s="5">
        <f>prices!F1098/prices!F1097-1</f>
        <v>-1.0022095959595911E-2</v>
      </c>
      <c r="G1097" s="5">
        <f>prices!G1098/prices!G1097-1</f>
        <v>-3.1881847596152424E-3</v>
      </c>
      <c r="H1097" s="5">
        <f>prices!H1098/prices!H1097-1</f>
        <v>-3.0822597665841611E-3</v>
      </c>
      <c r="I1097" s="5">
        <f>prices!I1098/prices!I1097-1</f>
        <v>9.699428688113354E-3</v>
      </c>
      <c r="J1097" s="5">
        <f>prices!J1098/prices!J1097-1</f>
        <v>-3.8181764518058214E-3</v>
      </c>
      <c r="K1097" s="8">
        <f>SUMPRODUCT(B1097:I1097,weights!$B$5:$I$5)</f>
        <v>-2.6748505432951926E-3</v>
      </c>
      <c r="L1097" s="4">
        <f t="shared" si="34"/>
        <v>206.19573260221117</v>
      </c>
      <c r="M1097" s="4">
        <f>L1097/MAX(L$2:L1097)-1</f>
        <v>-7.1473148852985169E-3</v>
      </c>
      <c r="N1097" s="4">
        <f t="shared" si="33"/>
        <v>2.8690586303251386E-2</v>
      </c>
    </row>
    <row r="1098" spans="1:14">
      <c r="A1098" s="3">
        <f>prices!A1099</f>
        <v>45089</v>
      </c>
      <c r="B1098" s="5">
        <f>prices!B1099/prices!B1098-1</f>
        <v>8.8668989794205011E-4</v>
      </c>
      <c r="C1098" s="5">
        <f>prices!C1099/prices!C1098-1</f>
        <v>1.1715634311995515E-2</v>
      </c>
      <c r="D1098" s="5">
        <f>prices!D1099/prices!D1098-1</f>
        <v>-6.0822202049021223E-3</v>
      </c>
      <c r="E1098" s="5">
        <f>prices!E1099/prices!E1098-1</f>
        <v>2.0534504914388796E-2</v>
      </c>
      <c r="F1098" s="5">
        <f>prices!F1099/prices!F1098-1</f>
        <v>-3.4276604224791063E-3</v>
      </c>
      <c r="G1098" s="5">
        <f>prices!G1099/prices!G1098-1</f>
        <v>-8.0337731828653558E-3</v>
      </c>
      <c r="H1098" s="5">
        <f>prices!H1099/prices!H1098-1</f>
        <v>1.5196931267948965E-3</v>
      </c>
      <c r="I1098" s="5">
        <f>prices!I1099/prices!I1098-1</f>
        <v>-9.7557329769274448E-3</v>
      </c>
      <c r="J1098" s="5">
        <f>prices!J1099/prices!J1098-1</f>
        <v>2.0524257409741953E-3</v>
      </c>
      <c r="K1098" s="8">
        <f>SUMPRODUCT(B1098:I1098,weights!$B$5:$I$5)</f>
        <v>-1.1111455108960468E-3</v>
      </c>
      <c r="L1098" s="4">
        <f t="shared" si="34"/>
        <v>205.9666191395643</v>
      </c>
      <c r="M1098" s="4">
        <f>L1098/MAX(L$2:L1098)-1</f>
        <v>-8.2505186893447879E-3</v>
      </c>
      <c r="N1098" s="4">
        <f t="shared" si="33"/>
        <v>2.5072046802882886E-2</v>
      </c>
    </row>
    <row r="1099" spans="1:14">
      <c r="A1099" s="3">
        <f>prices!A1100</f>
        <v>45090</v>
      </c>
      <c r="B1099" s="5">
        <f>prices!B1100/prices!B1099-1</f>
        <v>1.4768025939280172E-2</v>
      </c>
      <c r="C1099" s="5">
        <f>prices!C1100/prices!C1099-1</f>
        <v>-9.8291502563085942E-4</v>
      </c>
      <c r="D1099" s="5">
        <f>prices!D1100/prices!D1099-1</f>
        <v>1.6831721924297494E-3</v>
      </c>
      <c r="E1099" s="5">
        <f>prices!E1100/prices!E1099-1</f>
        <v>9.9883440959016578E-3</v>
      </c>
      <c r="F1099" s="5">
        <f>prices!F1100/prices!F1099-1</f>
        <v>1.9330240494854101E-2</v>
      </c>
      <c r="G1099" s="5">
        <f>prices!G1100/prices!G1099-1</f>
        <v>-3.4508563417655624E-3</v>
      </c>
      <c r="H1099" s="5">
        <f>prices!H1100/prices!H1099-1</f>
        <v>2.6894379388648915E-3</v>
      </c>
      <c r="I1099" s="5">
        <f>prices!I1100/prices!I1099-1</f>
        <v>6.175717133508396E-3</v>
      </c>
      <c r="J1099" s="5">
        <f>prices!J1100/prices!J1099-1</f>
        <v>6.1634814396689386E-3</v>
      </c>
      <c r="K1099" s="8">
        <f>SUMPRODUCT(B1099:I1099,weights!$B$5:$I$5)</f>
        <v>5.3330021253662607E-3</v>
      </c>
      <c r="L1099" s="4">
        <f t="shared" si="34"/>
        <v>207.06503955719012</v>
      </c>
      <c r="M1099" s="4">
        <f>L1099/MAX(L$2:L1099)-1</f>
        <v>-2.9615165976841773E-3</v>
      </c>
      <c r="N1099" s="4">
        <f t="shared" si="33"/>
        <v>3.9905255284546248E-2</v>
      </c>
    </row>
    <row r="1100" spans="1:14">
      <c r="A1100" s="3">
        <f>prices!A1101</f>
        <v>45091</v>
      </c>
      <c r="B1100" s="5">
        <f>prices!B1101/prices!B1100-1</f>
        <v>1.2300735075864599E-2</v>
      </c>
      <c r="C1100" s="5">
        <f>prices!C1101/prices!C1100-1</f>
        <v>2.264978580066801E-3</v>
      </c>
      <c r="D1100" s="5">
        <f>prices!D1101/prices!D1100-1</f>
        <v>-1.0811514914680354E-3</v>
      </c>
      <c r="E1100" s="5">
        <f>prices!E1101/prices!E1100-1</f>
        <v>-3.411646772413679E-3</v>
      </c>
      <c r="F1100" s="5">
        <f>prices!F1101/prices!F1100-1</f>
        <v>-2.0140723496638868E-3</v>
      </c>
      <c r="G1100" s="5">
        <f>prices!G1101/prices!G1100-1</f>
        <v>1.5761888366043753E-3</v>
      </c>
      <c r="H1100" s="5">
        <f>prices!H1101/prices!H1100-1</f>
        <v>-1.4193871587209195E-3</v>
      </c>
      <c r="I1100" s="5">
        <f>prices!I1101/prices!I1100-1</f>
        <v>2.7357608062539285E-4</v>
      </c>
      <c r="J1100" s="5">
        <f>prices!J1101/prices!J1100-1</f>
        <v>2.123834228727528E-3</v>
      </c>
      <c r="K1100" s="8">
        <f>SUMPRODUCT(B1100:I1100,weights!$B$5:$I$5)</f>
        <v>1.3727732207266211E-3</v>
      </c>
      <c r="L1100" s="4">
        <f t="shared" si="34"/>
        <v>207.34929289844294</v>
      </c>
      <c r="M1100" s="4">
        <f>L1100/MAX(L$2:L1100)-1</f>
        <v>-1.5928088676354646E-3</v>
      </c>
      <c r="N1100" s="4">
        <f t="shared" si="33"/>
        <v>4.485768014248559E-2</v>
      </c>
    </row>
    <row r="1101" spans="1:14">
      <c r="A1101" s="3">
        <f>prices!A1102</f>
        <v>45092</v>
      </c>
      <c r="B1101" s="5">
        <f>prices!B1102/prices!B1101-1</f>
        <v>2.7596912595395651E-4</v>
      </c>
      <c r="C1101" s="5">
        <f>prices!C1102/prices!C1101-1</f>
        <v>-3.3301406703228897E-3</v>
      </c>
      <c r="D1101" s="5">
        <f>prices!D1102/prices!D1101-1</f>
        <v>-1.2309778710863695E-2</v>
      </c>
      <c r="E1101" s="5">
        <f>prices!E1102/prices!E1101-1</f>
        <v>-1.0455936300779234E-2</v>
      </c>
      <c r="F1101" s="5">
        <f>prices!F1102/prices!F1101-1</f>
        <v>8.0987576662996386E-3</v>
      </c>
      <c r="G1101" s="5">
        <f>prices!G1102/prices!G1101-1</f>
        <v>6.5403843908209414E-3</v>
      </c>
      <c r="H1101" s="5">
        <f>prices!H1102/prices!H1101-1</f>
        <v>1.7244983277593384E-3</v>
      </c>
      <c r="I1101" s="5">
        <f>prices!I1102/prices!I1101-1</f>
        <v>2.65560898142847E-3</v>
      </c>
      <c r="J1101" s="5">
        <f>prices!J1102/prices!J1101-1</f>
        <v>-3.6148625232594878E-3</v>
      </c>
      <c r="K1101" s="8">
        <f>SUMPRODUCT(B1101:I1101,weights!$B$5:$I$5)</f>
        <v>6.7302411725840778E-4</v>
      </c>
      <c r="L1101" s="4">
        <f t="shared" si="34"/>
        <v>207.48884397326006</v>
      </c>
      <c r="M1101" s="4">
        <f>L1101/MAX(L$2:L1101)-1</f>
        <v>-9.2085674915920457E-4</v>
      </c>
      <c r="N1101" s="4">
        <f t="shared" si="33"/>
        <v>5.2968886735458076E-2</v>
      </c>
    </row>
    <row r="1102" spans="1:14">
      <c r="A1102" s="3">
        <f>prices!A1103</f>
        <v>45093</v>
      </c>
      <c r="B1102" s="5">
        <f>prices!B1103/prices!B1102-1</f>
        <v>9.733849483131829E-3</v>
      </c>
      <c r="C1102" s="5">
        <f>prices!C1103/prices!C1102-1</f>
        <v>-1.2872600922011923E-2</v>
      </c>
      <c r="D1102" s="5">
        <f>prices!D1103/prices!D1102-1</f>
        <v>1.308371730721003E-2</v>
      </c>
      <c r="E1102" s="5">
        <f>prices!E1103/prices!E1102-1</f>
        <v>3.7670091997026312E-3</v>
      </c>
      <c r="F1102" s="5">
        <f>prices!F1103/prices!F1102-1</f>
        <v>1.1153576164105727E-2</v>
      </c>
      <c r="G1102" s="5">
        <f>prices!G1103/prices!G1102-1</f>
        <v>9.2269326683291908E-4</v>
      </c>
      <c r="H1102" s="5">
        <f>prices!H1103/prices!H1102-1</f>
        <v>3.6412958422453734E-3</v>
      </c>
      <c r="I1102" s="5">
        <f>prices!I1103/prices!I1102-1</f>
        <v>2.3274026362565259E-3</v>
      </c>
      <c r="J1102" s="5">
        <f>prices!J1103/prices!J1102-1</f>
        <v>7.3790272954448177E-3</v>
      </c>
      <c r="K1102" s="8">
        <f>SUMPRODUCT(B1102:I1102,weights!$B$5:$I$5)</f>
        <v>3.5207092128177204E-3</v>
      </c>
      <c r="L1102" s="4">
        <f t="shared" si="34"/>
        <v>208.21935185779364</v>
      </c>
      <c r="M1102" s="4">
        <f>L1102/MAX(L$2:L1102)-1</f>
        <v>0</v>
      </c>
      <c r="N1102" s="4">
        <f t="shared" si="33"/>
        <v>5.3098910147814538E-2</v>
      </c>
    </row>
    <row r="1103" spans="1:14">
      <c r="A1103" s="3">
        <f>prices!A1104</f>
        <v>45096</v>
      </c>
      <c r="B1103" s="5">
        <f>prices!B1104/prices!B1103-1</f>
        <v>-9.9303254892586512E-3</v>
      </c>
      <c r="C1103" s="5">
        <f>prices!C1104/prices!C1103-1</f>
        <v>1.1180016629711798E-2</v>
      </c>
      <c r="D1103" s="5">
        <f>prices!D1104/prices!D1103-1</f>
        <v>8.7314619334311061E-4</v>
      </c>
      <c r="E1103" s="5">
        <f>prices!E1104/prices!E1103-1</f>
        <v>1.821121606671916E-3</v>
      </c>
      <c r="F1103" s="5">
        <f>prices!F1104/prices!F1103-1</f>
        <v>1.1056258356474391E-3</v>
      </c>
      <c r="G1103" s="5">
        <f>prices!G1104/prices!G1103-1</f>
        <v>-7.4657342081630995E-3</v>
      </c>
      <c r="H1103" s="5">
        <f>prices!H1104/prices!H1103-1</f>
        <v>9.8862714930245676E-3</v>
      </c>
      <c r="I1103" s="5">
        <f>prices!I1104/prices!I1103-1</f>
        <v>-1.8874467235230341E-4</v>
      </c>
      <c r="J1103" s="5">
        <f>prices!J1104/prices!J1103-1</f>
        <v>-3.7474768936576197E-3</v>
      </c>
      <c r="K1103" s="8">
        <f>SUMPRODUCT(B1103:I1103,weights!$B$5:$I$5)</f>
        <v>3.1933889233031184E-5</v>
      </c>
      <c r="L1103" s="4">
        <f t="shared" si="34"/>
        <v>208.22600111151203</v>
      </c>
      <c r="M1103" s="4">
        <f>L1103/MAX(L$2:L1103)-1</f>
        <v>0</v>
      </c>
      <c r="N1103" s="4">
        <f t="shared" si="33"/>
        <v>4.2274737319198064E-2</v>
      </c>
    </row>
    <row r="1104" spans="1:14">
      <c r="A1104" s="3">
        <f>prices!A1105</f>
        <v>45097</v>
      </c>
      <c r="B1104" s="5">
        <f>prices!B1105/prices!B1104-1</f>
        <v>2.0784283287194061E-3</v>
      </c>
      <c r="C1104" s="5">
        <f>prices!C1105/prices!C1104-1</f>
        <v>5.3894410810404469E-3</v>
      </c>
      <c r="D1104" s="5">
        <f>prices!D1105/prices!D1104-1</f>
        <v>2.0963268707439031E-3</v>
      </c>
      <c r="E1104" s="5">
        <f>prices!E1105/prices!E1104-1</f>
        <v>7.2627501613944379E-3</v>
      </c>
      <c r="F1104" s="5">
        <f>prices!F1105/prices!F1104-1</f>
        <v>-1.6437652497753863E-3</v>
      </c>
      <c r="G1104" s="5">
        <f>prices!G1105/prices!G1104-1</f>
        <v>-4.1854977686440753E-3</v>
      </c>
      <c r="H1104" s="5">
        <f>prices!H1105/prices!H1104-1</f>
        <v>-9.8409593906017001E-3</v>
      </c>
      <c r="I1104" s="5">
        <f>prices!I1105/prices!I1104-1</f>
        <v>6.6160911062524974E-3</v>
      </c>
      <c r="J1104" s="5">
        <f>prices!J1105/prices!J1104-1</f>
        <v>3.2657174314665305E-3</v>
      </c>
      <c r="K1104" s="8">
        <f>SUMPRODUCT(B1104:I1104,weights!$B$5:$I$5)</f>
        <v>3.7712015324042479E-4</v>
      </c>
      <c r="L1104" s="4">
        <f t="shared" si="34"/>
        <v>208.30452733295982</v>
      </c>
      <c r="M1104" s="4">
        <f>L1104/MAX(L$2:L1104)-1</f>
        <v>0</v>
      </c>
      <c r="N1104" s="4">
        <f t="shared" si="33"/>
        <v>4.3285948044706979E-2</v>
      </c>
    </row>
    <row r="1105" spans="1:14">
      <c r="A1105" s="3">
        <f>prices!A1106</f>
        <v>45098</v>
      </c>
      <c r="B1105" s="5">
        <f>prices!B1106/prices!B1105-1</f>
        <v>2.8142589118198558E-3</v>
      </c>
      <c r="C1105" s="5">
        <f>prices!C1106/prices!C1105-1</f>
        <v>9.4499727371863962E-3</v>
      </c>
      <c r="D1105" s="5">
        <f>prices!D1106/prices!D1105-1</f>
        <v>1.7476157064525433E-2</v>
      </c>
      <c r="E1105" s="5">
        <f>prices!E1106/prices!E1105-1</f>
        <v>-3.1034162878756932E-3</v>
      </c>
      <c r="F1105" s="5">
        <f>prices!F1106/prices!F1105-1</f>
        <v>-1.2811607625221821E-2</v>
      </c>
      <c r="G1105" s="5">
        <f>prices!G1106/prices!G1105-1</f>
        <v>-5.399901800040352E-3</v>
      </c>
      <c r="H1105" s="5">
        <f>prices!H1106/prices!H1105-1</f>
        <v>-4.1584796598326257E-5</v>
      </c>
      <c r="I1105" s="5">
        <f>prices!I1106/prices!I1105-1</f>
        <v>5.2249383954467987E-3</v>
      </c>
      <c r="J1105" s="5">
        <f>prices!J1106/prices!J1105-1</f>
        <v>2.1337428985952478E-3</v>
      </c>
      <c r="K1105" s="8">
        <f>SUMPRODUCT(B1105:I1105,weights!$B$5:$I$5)</f>
        <v>1.1262142998301069E-3</v>
      </c>
      <c r="L1105" s="4">
        <f t="shared" si="34"/>
        <v>208.53912287036155</v>
      </c>
      <c r="M1105" s="4">
        <f>L1105/MAX(L$2:L1105)-1</f>
        <v>0</v>
      </c>
      <c r="N1105" s="4">
        <f t="shared" si="33"/>
        <v>4.144431485961575E-2</v>
      </c>
    </row>
    <row r="1106" spans="1:14">
      <c r="A1106" s="3">
        <f>prices!A1107</f>
        <v>45099</v>
      </c>
      <c r="B1106" s="5">
        <f>prices!B1107/prices!B1106-1</f>
        <v>-1.1234026484496451E-2</v>
      </c>
      <c r="C1106" s="5">
        <f>prices!C1107/prices!C1106-1</f>
        <v>-6.0463247730518921E-3</v>
      </c>
      <c r="D1106" s="5">
        <f>prices!D1107/prices!D1106-1</f>
        <v>4.8910059126259231E-3</v>
      </c>
      <c r="E1106" s="5">
        <f>prices!E1107/prices!E1106-1</f>
        <v>-1.3704308397695542E-2</v>
      </c>
      <c r="F1106" s="5">
        <f>prices!F1107/prices!F1106-1</f>
        <v>1.3290594949573187E-3</v>
      </c>
      <c r="G1106" s="5">
        <f>prices!G1107/prices!G1106-1</f>
        <v>-4.0033190192364509E-3</v>
      </c>
      <c r="H1106" s="5">
        <f>prices!H1107/prices!H1106-1</f>
        <v>-1.6218745126579392E-3</v>
      </c>
      <c r="I1106" s="5">
        <f>prices!I1107/prices!I1106-1</f>
        <v>9.1026236208311406E-3</v>
      </c>
      <c r="J1106" s="5">
        <f>prices!J1107/prices!J1106-1</f>
        <v>-4.5394644386521632E-3</v>
      </c>
      <c r="K1106" s="8">
        <f>SUMPRODUCT(B1106:I1106,weights!$B$5:$I$5)</f>
        <v>-1.8771947652733857E-3</v>
      </c>
      <c r="L1106" s="4">
        <f t="shared" si="34"/>
        <v>208.14765432055461</v>
      </c>
      <c r="M1106" s="4">
        <f>L1106/MAX(L$2:L1106)-1</f>
        <v>-1.8771947652733711E-3</v>
      </c>
      <c r="N1106" s="4">
        <f t="shared" si="33"/>
        <v>3.7262036911446916E-2</v>
      </c>
    </row>
    <row r="1107" spans="1:14">
      <c r="A1107" s="3">
        <f>prices!A1108</f>
        <v>45100</v>
      </c>
      <c r="B1107" s="5">
        <f>prices!B1108/prices!B1107-1</f>
        <v>-8.1849112939622604E-3</v>
      </c>
      <c r="C1107" s="5">
        <f>prices!C1108/prices!C1107-1</f>
        <v>-6.8405214284258387E-3</v>
      </c>
      <c r="D1107" s="5">
        <f>prices!D1108/prices!D1107-1</f>
        <v>-6.3540475282675146E-5</v>
      </c>
      <c r="E1107" s="5">
        <f>prices!E1108/prices!E1107-1</f>
        <v>-1.2908372001269597E-2</v>
      </c>
      <c r="F1107" s="5">
        <f>prices!F1108/prices!F1107-1</f>
        <v>-6.4803247970018907E-3</v>
      </c>
      <c r="G1107" s="5">
        <f>prices!G1108/prices!G1107-1</f>
        <v>-8.0565217776125131E-3</v>
      </c>
      <c r="H1107" s="5">
        <f>prices!H1108/prices!H1107-1</f>
        <v>1.1663143425424405E-3</v>
      </c>
      <c r="I1107" s="5">
        <f>prices!I1108/prices!I1107-1</f>
        <v>-1.1049913793473976E-2</v>
      </c>
      <c r="J1107" s="5">
        <f>prices!J1108/prices!J1107-1</f>
        <v>-5.6336152360657588E-3</v>
      </c>
      <c r="K1107" s="8">
        <f>SUMPRODUCT(B1107:I1107,weights!$B$5:$I$5)</f>
        <v>-6.8498915657778797E-3</v>
      </c>
      <c r="L1107" s="4">
        <f t="shared" si="34"/>
        <v>206.72186545878779</v>
      </c>
      <c r="M1107" s="4">
        <f>L1107/MAX(L$2:L1107)-1</f>
        <v>-8.7142277504612675E-3</v>
      </c>
      <c r="N1107" s="4">
        <f t="shared" si="33"/>
        <v>1.6240672507102039E-2</v>
      </c>
    </row>
    <row r="1108" spans="1:14">
      <c r="A1108" s="3">
        <f>prices!A1109</f>
        <v>45103</v>
      </c>
      <c r="B1108" s="5">
        <f>prices!B1109/prices!B1108-1</f>
        <v>-7.6311160507224196E-3</v>
      </c>
      <c r="C1108" s="5">
        <f>prices!C1109/prices!C1108-1</f>
        <v>-8.30004651035543E-3</v>
      </c>
      <c r="D1108" s="5">
        <f>prices!D1109/prices!D1108-1</f>
        <v>-4.8293829827795731E-3</v>
      </c>
      <c r="E1108" s="5">
        <f>prices!E1109/prices!E1108-1</f>
        <v>4.2229289400970149E-3</v>
      </c>
      <c r="F1108" s="5">
        <f>prices!F1109/prices!F1108-1</f>
        <v>2.1480026195153101E-3</v>
      </c>
      <c r="G1108" s="5">
        <f>prices!G1109/prices!G1108-1</f>
        <v>1.5321521065557953E-2</v>
      </c>
      <c r="H1108" s="5">
        <f>prices!H1109/prices!H1108-1</f>
        <v>3.5260710830966602E-3</v>
      </c>
      <c r="I1108" s="5">
        <f>prices!I1109/prices!I1108-1</f>
        <v>-5.0214989717883851E-3</v>
      </c>
      <c r="J1108" s="5">
        <f>prices!J1109/prices!J1108-1</f>
        <v>1.3768717687712151E-3</v>
      </c>
      <c r="K1108" s="8">
        <f>SUMPRODUCT(B1108:I1108,weights!$B$5:$I$5)</f>
        <v>9.9935715269132289E-4</v>
      </c>
      <c r="L1108" s="4">
        <f t="shared" si="34"/>
        <v>206.92845443365172</v>
      </c>
      <c r="M1108" s="4">
        <f>L1108/MAX(L$2:L1108)-1</f>
        <v>-7.7235792236025613E-3</v>
      </c>
      <c r="N1108" s="4">
        <f t="shared" si="33"/>
        <v>1.605617717643093E-2</v>
      </c>
    </row>
    <row r="1109" spans="1:14">
      <c r="A1109" s="3">
        <f>prices!A1110</f>
        <v>45104</v>
      </c>
      <c r="B1109" s="5">
        <f>prices!B1110/prices!B1109-1</f>
        <v>3.6156159334033156E-4</v>
      </c>
      <c r="C1109" s="5">
        <f>prices!C1110/prices!C1109-1</f>
        <v>2.4139512588756684E-3</v>
      </c>
      <c r="D1109" s="5">
        <f>prices!D1110/prices!D1109-1</f>
        <v>1.4085945980461201E-2</v>
      </c>
      <c r="E1109" s="5">
        <f>prices!E1110/prices!E1109-1</f>
        <v>6.9307444709791888E-3</v>
      </c>
      <c r="F1109" s="5">
        <f>prices!F1110/prices!F1109-1</f>
        <v>-1.3592283765062607E-3</v>
      </c>
      <c r="G1109" s="5">
        <f>prices!G1110/prices!G1109-1</f>
        <v>-9.7218667302345629E-4</v>
      </c>
      <c r="H1109" s="5">
        <f>prices!H1110/prices!H1109-1</f>
        <v>6.8926202321726304E-3</v>
      </c>
      <c r="I1109" s="5">
        <f>prices!I1110/prices!I1109-1</f>
        <v>4.4176250568044306E-3</v>
      </c>
      <c r="J1109" s="5">
        <f>prices!J1110/prices!J1109-1</f>
        <v>6.7518404382811426E-3</v>
      </c>
      <c r="K1109" s="8">
        <f>SUMPRODUCT(B1109:I1109,weights!$B$5:$I$5)</f>
        <v>3.4999131454225389E-3</v>
      </c>
      <c r="L1109" s="4">
        <f t="shared" si="34"/>
        <v>207.65268605148603</v>
      </c>
      <c r="M1109" s="4">
        <f>L1109/MAX(L$2:L1109)-1</f>
        <v>-4.2506979346343954E-3</v>
      </c>
      <c r="N1109" s="4">
        <f t="shared" si="33"/>
        <v>1.8601078180226382E-2</v>
      </c>
    </row>
    <row r="1110" spans="1:14">
      <c r="A1110" s="3">
        <f>prices!A1111</f>
        <v>45105</v>
      </c>
      <c r="B1110" s="5">
        <f>prices!B1111/prices!B1110-1</f>
        <v>1.3231897600451292E-2</v>
      </c>
      <c r="C1110" s="5">
        <f>prices!C1111/prices!C1110-1</f>
        <v>5.6591246073876E-3</v>
      </c>
      <c r="D1110" s="5">
        <f>prices!D1111/prices!D1110-1</f>
        <v>1.0590872456175626E-2</v>
      </c>
      <c r="E1110" s="5">
        <f>prices!E1111/prices!E1110-1</f>
        <v>1.1102231617299507E-2</v>
      </c>
      <c r="F1110" s="5">
        <f>prices!F1111/prices!F1110-1</f>
        <v>9.5537233346421058E-3</v>
      </c>
      <c r="G1110" s="5">
        <f>prices!G1111/prices!G1110-1</f>
        <v>8.4195224722189987E-3</v>
      </c>
      <c r="H1110" s="5">
        <f>prices!H1111/prices!H1110-1</f>
        <v>1.9959853826753804E-2</v>
      </c>
      <c r="I1110" s="5">
        <f>prices!I1111/prices!I1110-1</f>
        <v>1.3986348627684775E-2</v>
      </c>
      <c r="J1110" s="5">
        <f>prices!J1111/prices!J1110-1</f>
        <v>8.2211145004089659E-3</v>
      </c>
      <c r="K1110" s="8">
        <f>SUMPRODUCT(B1110:I1110,weights!$B$5:$I$5)</f>
        <v>1.2110675198042223E-2</v>
      </c>
      <c r="L1110" s="4">
        <f t="shared" si="34"/>
        <v>210.1675002862566</v>
      </c>
      <c r="M1110" s="4">
        <f>L1110/MAX(L$2:L1110)-1</f>
        <v>0</v>
      </c>
      <c r="N1110" s="4">
        <f t="shared" si="33"/>
        <v>3.496101858986389E-2</v>
      </c>
    </row>
    <row r="1111" spans="1:14">
      <c r="A1111" s="3">
        <f>prices!A1112</f>
        <v>45107</v>
      </c>
      <c r="B1111" s="5">
        <f>prices!B1112/prices!B1111-1</f>
        <v>8.2043518736023557E-3</v>
      </c>
      <c r="C1111" s="5">
        <f>prices!C1112/prices!C1111-1</f>
        <v>2.6997256487619747E-2</v>
      </c>
      <c r="D1111" s="5">
        <f>prices!D1112/prices!D1111-1</f>
        <v>1.5053147079714391E-2</v>
      </c>
      <c r="E1111" s="5">
        <f>prices!E1112/prices!E1111-1</f>
        <v>3.2584030935282282E-2</v>
      </c>
      <c r="F1111" s="5">
        <f>prices!F1112/prices!F1111-1</f>
        <v>5.0038890329271446E-3</v>
      </c>
      <c r="G1111" s="5">
        <f>prices!G1112/prices!G1111-1</f>
        <v>2.6035584254997746E-2</v>
      </c>
      <c r="H1111" s="5">
        <f>prices!H1112/prices!H1111-1</f>
        <v>2.9167171289007365E-2</v>
      </c>
      <c r="I1111" s="5">
        <f>prices!I1112/prices!I1111-1</f>
        <v>2.2339777417389461E-2</v>
      </c>
      <c r="J1111" s="5">
        <f>prices!J1112/prices!J1111-1</f>
        <v>1.1435212759789426E-2</v>
      </c>
      <c r="K1111" s="8">
        <f>SUMPRODUCT(B1111:I1111,weights!$B$5:$I$5)</f>
        <v>2.1574566703189631E-2</v>
      </c>
      <c r="L1111" s="4">
        <f t="shared" si="34"/>
        <v>214.70177304002507</v>
      </c>
      <c r="M1111" s="4">
        <f>L1111/MAX(L$2:L1111)-1</f>
        <v>0</v>
      </c>
      <c r="N1111" s="4">
        <f t="shared" ref="N1111:N1174" si="35">L1111/L1091-1</f>
        <v>5.6726036387570344E-2</v>
      </c>
    </row>
    <row r="1112" spans="1:14">
      <c r="A1112" s="3">
        <f>prices!A1113</f>
        <v>45110</v>
      </c>
      <c r="B1112" s="5">
        <f>prices!B1113/prices!B1112-1</f>
        <v>2.5664037555444441E-2</v>
      </c>
      <c r="C1112" s="5">
        <f>prices!C1113/prices!C1112-1</f>
        <v>-9.0700757449586611E-3</v>
      </c>
      <c r="D1112" s="5">
        <f>prices!D1113/prices!D1112-1</f>
        <v>1.0815522300109182E-2</v>
      </c>
      <c r="E1112" s="5">
        <f>prices!E1113/prices!E1112-1</f>
        <v>-1.341574827776415E-3</v>
      </c>
      <c r="F1112" s="5">
        <f>prices!F1113/prices!F1112-1</f>
        <v>2.5797796868147538E-2</v>
      </c>
      <c r="G1112" s="5">
        <f>prices!G1113/prices!G1112-1</f>
        <v>-1.1854813341155235E-2</v>
      </c>
      <c r="H1112" s="5">
        <f>prices!H1113/prices!H1112-1</f>
        <v>-1.7975170141408592E-2</v>
      </c>
      <c r="I1112" s="5">
        <f>prices!I1113/prices!I1112-1</f>
        <v>-8.6827339910781065E-3</v>
      </c>
      <c r="J1112" s="5">
        <f>prices!J1113/prices!J1112-1</f>
        <v>6.9570927169402275E-3</v>
      </c>
      <c r="K1112" s="8">
        <f>SUMPRODUCT(B1112:I1112,weights!$B$5:$I$5)</f>
        <v>-1.4079743387023689E-3</v>
      </c>
      <c r="L1112" s="4">
        <f t="shared" si="34"/>
        <v>214.39947845311082</v>
      </c>
      <c r="M1112" s="4">
        <f>L1112/MAX(L$2:L1112)-1</f>
        <v>-1.4079743387024335E-3</v>
      </c>
      <c r="N1112" s="4">
        <f t="shared" si="35"/>
        <v>4.7697832912005689E-2</v>
      </c>
    </row>
    <row r="1113" spans="1:14">
      <c r="A1113" s="3">
        <f>prices!A1114</f>
        <v>45111</v>
      </c>
      <c r="B1113" s="5">
        <f>prices!B1114/prices!B1113-1</f>
        <v>-1.029817594399951E-2</v>
      </c>
      <c r="C1113" s="5">
        <f>prices!C1114/prices!C1113-1</f>
        <v>1.1169935629170347E-2</v>
      </c>
      <c r="D1113" s="5">
        <f>prices!D1114/prices!D1113-1</f>
        <v>4.8944594233524263E-3</v>
      </c>
      <c r="E1113" s="5">
        <f>prices!E1114/prices!E1113-1</f>
        <v>8.5794817696314141E-3</v>
      </c>
      <c r="F1113" s="5">
        <f>prices!F1114/prices!F1113-1</f>
        <v>6.6896360938561994E-3</v>
      </c>
      <c r="G1113" s="5">
        <f>prices!G1114/prices!G1113-1</f>
        <v>-2.6467687588793698E-3</v>
      </c>
      <c r="H1113" s="5">
        <f>prices!H1114/prices!H1113-1</f>
        <v>1.5588020890544341E-2</v>
      </c>
      <c r="I1113" s="5">
        <f>prices!I1114/prices!I1113-1</f>
        <v>3.1792396918128851E-3</v>
      </c>
      <c r="J1113" s="5">
        <f>prices!J1114/prices!J1113-1</f>
        <v>3.4389870902133968E-3</v>
      </c>
      <c r="K1113" s="8">
        <f>SUMPRODUCT(B1113:I1113,weights!$B$5:$I$5)</f>
        <v>3.7831383528865105E-3</v>
      </c>
      <c r="L1113" s="4">
        <f t="shared" si="34"/>
        <v>215.21058134288566</v>
      </c>
      <c r="M1113" s="4">
        <f>L1113/MAX(L$2:L1113)-1</f>
        <v>0</v>
      </c>
      <c r="N1113" s="4">
        <f t="shared" si="35"/>
        <v>4.4576798469349699E-2</v>
      </c>
    </row>
    <row r="1114" spans="1:14">
      <c r="A1114" s="3">
        <f>prices!A1115</f>
        <v>45112</v>
      </c>
      <c r="B1114" s="5">
        <f>prices!B1115/prices!B1114-1</f>
        <v>-1.6407100108812855E-3</v>
      </c>
      <c r="C1114" s="5">
        <f>prices!C1115/prices!C1114-1</f>
        <v>3.3541875818601241E-3</v>
      </c>
      <c r="D1114" s="5">
        <f>prices!D1115/prices!D1114-1</f>
        <v>-3.1773848515246339E-2</v>
      </c>
      <c r="E1114" s="5">
        <f>prices!E1115/prices!E1114-1</f>
        <v>1.6016081453213982E-3</v>
      </c>
      <c r="F1114" s="5">
        <f>prices!F1115/prices!F1114-1</f>
        <v>1.8761397986459816E-2</v>
      </c>
      <c r="G1114" s="5">
        <f>prices!G1115/prices!G1114-1</f>
        <v>3.5750179004304661E-2</v>
      </c>
      <c r="H1114" s="5">
        <f>prices!H1115/prices!H1114-1</f>
        <v>-3.9035613852235196E-3</v>
      </c>
      <c r="I1114" s="5">
        <f>prices!I1115/prices!I1114-1</f>
        <v>3.6333559802677051E-3</v>
      </c>
      <c r="J1114" s="5">
        <f>prices!J1115/prices!J1114-1</f>
        <v>4.8996853886218439E-4</v>
      </c>
      <c r="K1114" s="8">
        <f>SUMPRODUCT(B1114:I1114,weights!$B$5:$I$5)</f>
        <v>6.5037639613662133E-3</v>
      </c>
      <c r="L1114" s="4">
        <f t="shared" si="34"/>
        <v>216.61026016592822</v>
      </c>
      <c r="M1114" s="4">
        <f>L1114/MAX(L$2:L1114)-1</f>
        <v>0</v>
      </c>
      <c r="N1114" s="4">
        <f t="shared" si="35"/>
        <v>4.9443010654539821E-2</v>
      </c>
    </row>
    <row r="1115" spans="1:14">
      <c r="A1115" s="3">
        <f>prices!A1116</f>
        <v>45113</v>
      </c>
      <c r="B1115" s="5">
        <f>prices!B1116/prices!B1115-1</f>
        <v>2.0989620143223142E-2</v>
      </c>
      <c r="C1115" s="5">
        <f>prices!C1116/prices!C1115-1</f>
        <v>8.879258648164523E-4</v>
      </c>
      <c r="D1115" s="5">
        <f>prices!D1116/prices!D1115-1</f>
        <v>1.0110844817254883E-3</v>
      </c>
      <c r="E1115" s="5">
        <f>prices!E1116/prices!E1115-1</f>
        <v>-2.5209467011494402E-3</v>
      </c>
      <c r="F1115" s="5">
        <f>prices!F1116/prices!F1115-1</f>
        <v>-2.5257479156449714E-3</v>
      </c>
      <c r="G1115" s="5">
        <f>prices!G1116/prices!G1115-1</f>
        <v>-1.3300295157234965E-2</v>
      </c>
      <c r="H1115" s="5">
        <f>prices!H1116/prices!H1115-1</f>
        <v>-2.1124327525788855E-3</v>
      </c>
      <c r="I1115" s="5">
        <f>prices!I1116/prices!I1115-1</f>
        <v>7.2067678024823056E-3</v>
      </c>
      <c r="J1115" s="5">
        <f>prices!J1116/prices!J1115-1</f>
        <v>5.0931773075237885E-3</v>
      </c>
      <c r="K1115" s="8">
        <f>SUMPRODUCT(B1115:I1115,weights!$B$5:$I$5)</f>
        <v>9.1571423807094402E-4</v>
      </c>
      <c r="L1115" s="4">
        <f t="shared" si="34"/>
        <v>216.8086132652744</v>
      </c>
      <c r="M1115" s="4">
        <f>L1115/MAX(L$2:L1115)-1</f>
        <v>0</v>
      </c>
      <c r="N1115" s="4">
        <f t="shared" si="35"/>
        <v>4.3954746879733442E-2</v>
      </c>
    </row>
    <row r="1116" spans="1:14">
      <c r="A1116" s="3">
        <f>prices!A1117</f>
        <v>45114</v>
      </c>
      <c r="B1116" s="5">
        <f>prices!B1117/prices!B1116-1</f>
        <v>-1.9515612489990897E-3</v>
      </c>
      <c r="C1116" s="5">
        <f>prices!C1117/prices!C1116-1</f>
        <v>1.9099952001853104E-3</v>
      </c>
      <c r="D1116" s="5">
        <f>prices!D1117/prices!D1116-1</f>
        <v>-8.7040015961491468E-3</v>
      </c>
      <c r="E1116" s="5">
        <f>prices!E1117/prices!E1116-1</f>
        <v>-1.0199240986717317E-2</v>
      </c>
      <c r="F1116" s="5">
        <f>prices!F1117/prices!F1116-1</f>
        <v>-1.1603608919045105E-2</v>
      </c>
      <c r="G1116" s="5">
        <f>prices!G1117/prices!G1116-1</f>
        <v>-9.2853449822194456E-4</v>
      </c>
      <c r="H1116" s="5">
        <f>prices!H1117/prices!H1116-1</f>
        <v>-6.5188790297849852E-3</v>
      </c>
      <c r="I1116" s="5">
        <f>prices!I1117/prices!I1116-1</f>
        <v>-1.5775675653110444E-2</v>
      </c>
      <c r="J1116" s="5">
        <f>prices!J1117/prices!J1116-1</f>
        <v>-8.4883547978438223E-3</v>
      </c>
      <c r="K1116" s="8">
        <f>SUMPRODUCT(B1116:I1116,weights!$B$5:$I$5)</f>
        <v>-6.834039189756648E-3</v>
      </c>
      <c r="L1116" s="4">
        <f t="shared" si="34"/>
        <v>215.32693470554273</v>
      </c>
      <c r="M1116" s="4">
        <f>L1116/MAX(L$2:L1116)-1</f>
        <v>-6.8340391897566688E-3</v>
      </c>
      <c r="N1116" s="4">
        <f t="shared" si="35"/>
        <v>4.1490842836951147E-2</v>
      </c>
    </row>
    <row r="1117" spans="1:14">
      <c r="A1117" s="3">
        <f>prices!A1118</f>
        <v>45117</v>
      </c>
      <c r="B1117" s="5">
        <f>prices!B1118/prices!B1117-1</f>
        <v>3.8514247513996791E-2</v>
      </c>
      <c r="C1117" s="5">
        <f>prices!C1118/prices!C1117-1</f>
        <v>-1.7210049162129204E-2</v>
      </c>
      <c r="D1117" s="5">
        <f>prices!D1118/prices!D1117-1</f>
        <v>-2.3900874268822925E-3</v>
      </c>
      <c r="E1117" s="5">
        <f>prices!E1118/prices!E1117-1</f>
        <v>-7.850136757645565E-4</v>
      </c>
      <c r="F1117" s="5">
        <f>prices!F1118/prices!F1117-1</f>
        <v>-5.4470836960577307E-3</v>
      </c>
      <c r="G1117" s="5">
        <f>prices!G1118/prices!G1117-1</f>
        <v>-1.1567830173734084E-2</v>
      </c>
      <c r="H1117" s="5">
        <f>prices!H1118/prices!H1117-1</f>
        <v>8.9812012107695072E-3</v>
      </c>
      <c r="I1117" s="5">
        <f>prices!I1118/prices!I1117-1</f>
        <v>-4.3263052081081721E-3</v>
      </c>
      <c r="J1117" s="5">
        <f>prices!J1118/prices!J1117-1</f>
        <v>1.2466505964268126E-3</v>
      </c>
      <c r="K1117" s="8">
        <f>SUMPRODUCT(B1117:I1117,weights!$B$5:$I$5)</f>
        <v>9.4574016912055375E-4</v>
      </c>
      <c r="L1117" s="4">
        <f t="shared" si="34"/>
        <v>215.53057803718738</v>
      </c>
      <c r="M1117" s="4">
        <f>L1117/MAX(L$2:L1117)-1</f>
        <v>-5.8947622460150395E-3</v>
      </c>
      <c r="N1117" s="4">
        <f t="shared" si="35"/>
        <v>4.5271768320175765E-2</v>
      </c>
    </row>
    <row r="1118" spans="1:14">
      <c r="A1118" s="3">
        <f>prices!A1119</f>
        <v>45118</v>
      </c>
      <c r="B1118" s="5">
        <f>prices!B1119/prices!B1118-1</f>
        <v>1.0846562975241225E-2</v>
      </c>
      <c r="C1118" s="5">
        <f>prices!C1119/prices!C1118-1</f>
        <v>1.3783226821484362E-4</v>
      </c>
      <c r="D1118" s="5">
        <f>prices!D1119/prices!D1118-1</f>
        <v>-4.8546749889665231E-3</v>
      </c>
      <c r="E1118" s="5">
        <f>prices!E1119/prices!E1118-1</f>
        <v>1.4629265146127279E-2</v>
      </c>
      <c r="F1118" s="5">
        <f>prices!F1119/prices!F1118-1</f>
        <v>1.5680488170859652E-2</v>
      </c>
      <c r="G1118" s="5">
        <f>prices!G1119/prices!G1118-1</f>
        <v>1.6828774961347159E-2</v>
      </c>
      <c r="H1118" s="5">
        <f>prices!H1119/prices!H1118-1</f>
        <v>2.6072196893441424E-2</v>
      </c>
      <c r="I1118" s="5">
        <f>prices!I1119/prices!I1118-1</f>
        <v>1.4679633818536653E-2</v>
      </c>
      <c r="J1118" s="5">
        <f>prices!J1119/prices!J1118-1</f>
        <v>4.3139301194985435E-3</v>
      </c>
      <c r="K1118" s="8">
        <f>SUMPRODUCT(B1118:I1118,weights!$B$5:$I$5)</f>
        <v>1.3678319553312052E-2</v>
      </c>
      <c r="L1118" s="4">
        <f t="shared" si="34"/>
        <v>218.4786741570901</v>
      </c>
      <c r="M1118" s="4">
        <f>L1118/MAX(L$2:L1118)-1</f>
        <v>0</v>
      </c>
      <c r="N1118" s="4">
        <f t="shared" si="35"/>
        <v>6.0747974937858995E-2</v>
      </c>
    </row>
    <row r="1119" spans="1:14">
      <c r="A1119" s="3">
        <f>prices!A1120</f>
        <v>45119</v>
      </c>
      <c r="B1119" s="5">
        <f>prices!B1120/prices!B1119-1</f>
        <v>1.0984899742889631E-3</v>
      </c>
      <c r="C1119" s="5">
        <f>prices!C1120/prices!C1119-1</f>
        <v>-3.8217973539851346E-3</v>
      </c>
      <c r="D1119" s="5">
        <f>prices!D1120/prices!D1119-1</f>
        <v>-9.3765838824126924E-3</v>
      </c>
      <c r="E1119" s="5">
        <f>prices!E1120/prices!E1119-1</f>
        <v>-1.1345575470083413E-2</v>
      </c>
      <c r="F1119" s="5">
        <f>prices!F1120/prices!F1119-1</f>
        <v>-1.7974540171866726E-3</v>
      </c>
      <c r="G1119" s="5">
        <f>prices!G1120/prices!G1119-1</f>
        <v>-6.4992586536812835E-3</v>
      </c>
      <c r="H1119" s="5">
        <f>prices!H1120/prices!H1119-1</f>
        <v>6.0590905593598254E-3</v>
      </c>
      <c r="I1119" s="5">
        <f>prices!I1120/prices!I1119-1</f>
        <v>-7.9221471663734055E-3</v>
      </c>
      <c r="J1119" s="5">
        <f>prices!J1120/prices!J1119-1</f>
        <v>-2.8344496229308902E-3</v>
      </c>
      <c r="K1119" s="8">
        <f>SUMPRODUCT(B1119:I1119,weights!$B$5:$I$5)</f>
        <v>-3.9148174855005002E-3</v>
      </c>
      <c r="L1119" s="4">
        <f t="shared" si="34"/>
        <v>217.62337002329096</v>
      </c>
      <c r="M1119" s="4">
        <f>L1119/MAX(L$2:L1119)-1</f>
        <v>-3.914817485500488E-3</v>
      </c>
      <c r="N1119" s="4">
        <f t="shared" si="35"/>
        <v>5.0990406148135436E-2</v>
      </c>
    </row>
    <row r="1120" spans="1:14">
      <c r="A1120" s="3">
        <f>prices!A1121</f>
        <v>45120</v>
      </c>
      <c r="B1120" s="5">
        <f>prices!B1121/prices!B1120-1</f>
        <v>-8.9373037013477097E-3</v>
      </c>
      <c r="C1120" s="5">
        <f>prices!C1121/prices!C1120-1</f>
        <v>2.4742970708614642E-2</v>
      </c>
      <c r="D1120" s="5">
        <f>prices!D1121/prices!D1120-1</f>
        <v>4.9884881043746887E-3</v>
      </c>
      <c r="E1120" s="5">
        <f>prices!E1121/prices!E1120-1</f>
        <v>2.3850155401116346E-2</v>
      </c>
      <c r="F1120" s="5">
        <f>prices!F1121/prices!F1120-1</f>
        <v>-6.4134188455844399E-4</v>
      </c>
      <c r="G1120" s="5">
        <f>prices!G1121/prices!G1120-1</f>
        <v>-1.9139849089651495E-2</v>
      </c>
      <c r="H1120" s="5">
        <f>prices!H1121/prices!H1120-1</f>
        <v>-2.8679043267116899E-3</v>
      </c>
      <c r="I1120" s="5">
        <f>prices!I1121/prices!I1120-1</f>
        <v>-1.9550921263107313E-3</v>
      </c>
      <c r="J1120" s="5">
        <f>prices!J1121/prices!J1120-1</f>
        <v>1.5192707500399916E-3</v>
      </c>
      <c r="K1120" s="8">
        <f>SUMPRODUCT(B1120:I1120,weights!$B$5:$I$5)</f>
        <v>-1.1648025921185967E-3</v>
      </c>
      <c r="L1120" s="4">
        <f t="shared" si="34"/>
        <v>217.36988175778225</v>
      </c>
      <c r="M1120" s="4">
        <f>L1120/MAX(L$2:L1120)-1</f>
        <v>-5.0750600880642427E-3</v>
      </c>
      <c r="N1120" s="4">
        <f t="shared" si="35"/>
        <v>4.832709443695693E-2</v>
      </c>
    </row>
    <row r="1121" spans="1:14">
      <c r="A1121" s="3">
        <f>prices!A1122</f>
        <v>45121</v>
      </c>
      <c r="B1121" s="5">
        <f>prices!B1122/prices!B1121-1</f>
        <v>-8.4241942859908381E-4</v>
      </c>
      <c r="C1121" s="5">
        <f>prices!C1122/prices!C1121-1</f>
        <v>5.2117220941718889E-2</v>
      </c>
      <c r="D1121" s="5">
        <f>prices!D1122/prices!D1121-1</f>
        <v>2.0745831742394749E-3</v>
      </c>
      <c r="E1121" s="5">
        <f>prices!E1122/prices!E1121-1</f>
        <v>4.4576140170059286E-2</v>
      </c>
      <c r="F1121" s="5">
        <f>prices!F1122/prices!F1121-1</f>
        <v>1.9252604038111354E-3</v>
      </c>
      <c r="G1121" s="5">
        <f>prices!G1122/prices!G1121-1</f>
        <v>-4.5505226631126217E-3</v>
      </c>
      <c r="H1121" s="5">
        <f>prices!H1122/prices!H1121-1</f>
        <v>-2.5118401625984221E-3</v>
      </c>
      <c r="I1121" s="5">
        <f>prices!I1122/prices!I1121-1</f>
        <v>9.0229134512642695E-3</v>
      </c>
      <c r="J1121" s="5">
        <f>prices!J1122/prices!J1121-1</f>
        <v>7.7651149314275081E-3</v>
      </c>
      <c r="K1121" s="8">
        <f>SUMPRODUCT(B1121:I1121,weights!$B$5:$I$5)</f>
        <v>9.0754859829293467E-3</v>
      </c>
      <c r="L1121" s="4">
        <f t="shared" si="34"/>
        <v>219.34261907278602</v>
      </c>
      <c r="M1121" s="4">
        <f>L1121/MAX(L$2:L1121)-1</f>
        <v>0</v>
      </c>
      <c r="N1121" s="4">
        <f t="shared" si="35"/>
        <v>5.7129698505880233E-2</v>
      </c>
    </row>
    <row r="1122" spans="1:14">
      <c r="A1122" s="3">
        <f>prices!A1123</f>
        <v>45124</v>
      </c>
      <c r="B1122" s="5">
        <f>prices!B1123/prices!B1122-1</f>
        <v>2.043585790454161E-2</v>
      </c>
      <c r="C1122" s="5">
        <f>prices!C1123/prices!C1122-1</f>
        <v>-6.5315089757392863E-3</v>
      </c>
      <c r="D1122" s="5">
        <f>prices!D1123/prices!D1122-1</f>
        <v>2.0918801519058006E-2</v>
      </c>
      <c r="E1122" s="5">
        <f>prices!E1123/prices!E1122-1</f>
        <v>-2.1044030587075158E-3</v>
      </c>
      <c r="F1122" s="5">
        <f>prices!F1123/prices!F1122-1</f>
        <v>-1.1824990145842262E-3</v>
      </c>
      <c r="G1122" s="5">
        <f>prices!G1123/prices!G1122-1</f>
        <v>8.9444139930197064E-3</v>
      </c>
      <c r="H1122" s="5">
        <f>prices!H1123/prices!H1122-1</f>
        <v>4.3347045480757185E-3</v>
      </c>
      <c r="I1122" s="5">
        <f>prices!I1123/prices!I1122-1</f>
        <v>-1.3951221152067594E-3</v>
      </c>
      <c r="J1122" s="5">
        <f>prices!J1123/prices!J1122-1</f>
        <v>7.5110531830611116E-3</v>
      </c>
      <c r="K1122" s="8">
        <f>SUMPRODUCT(B1122:I1122,weights!$B$5:$I$5)</f>
        <v>5.423515244099673E-3</v>
      </c>
      <c r="L1122" s="4">
        <f t="shared" si="34"/>
        <v>220.53222711100801</v>
      </c>
      <c r="M1122" s="4">
        <f>L1122/MAX(L$2:L1122)-1</f>
        <v>0</v>
      </c>
      <c r="N1122" s="4">
        <f t="shared" si="35"/>
        <v>5.9134154166533115E-2</v>
      </c>
    </row>
    <row r="1123" spans="1:14">
      <c r="A1123" s="3">
        <f>prices!A1124</f>
        <v>45125</v>
      </c>
      <c r="B1123" s="5">
        <f>prices!B1124/prices!B1123-1</f>
        <v>8.4906476971380318E-3</v>
      </c>
      <c r="C1123" s="5">
        <f>prices!C1124/prices!C1123-1</f>
        <v>1.4742897105288755E-3</v>
      </c>
      <c r="D1123" s="5">
        <f>prices!D1124/prices!D1123-1</f>
        <v>-8.335406817615576E-4</v>
      </c>
      <c r="E1123" s="5">
        <f>prices!E1124/prices!E1123-1</f>
        <v>3.6723185662971725E-2</v>
      </c>
      <c r="F1123" s="5">
        <f>prices!F1124/prices!F1123-1</f>
        <v>3.2063930544601327E-4</v>
      </c>
      <c r="G1123" s="5">
        <f>prices!G1124/prices!G1123-1</f>
        <v>-2.4661720007345123E-3</v>
      </c>
      <c r="H1123" s="5">
        <f>prices!H1124/prices!H1123-1</f>
        <v>-9.6942437437198548E-3</v>
      </c>
      <c r="I1123" s="5">
        <f>prices!I1124/prices!I1123-1</f>
        <v>2.3901700050494856E-3</v>
      </c>
      <c r="J1123" s="5">
        <f>prices!J1124/prices!J1123-1</f>
        <v>1.9176671427012515E-3</v>
      </c>
      <c r="K1123" s="8">
        <f>SUMPRODUCT(B1123:I1123,weights!$B$5:$I$5)</f>
        <v>2.8170248332825445E-3</v>
      </c>
      <c r="L1123" s="4">
        <f t="shared" si="34"/>
        <v>221.15347187131886</v>
      </c>
      <c r="M1123" s="4">
        <f>L1123/MAX(L$2:L1123)-1</f>
        <v>0</v>
      </c>
      <c r="N1123" s="4">
        <f t="shared" si="35"/>
        <v>6.2083844912738551E-2</v>
      </c>
    </row>
    <row r="1124" spans="1:14">
      <c r="A1124" s="3">
        <f>prices!A1125</f>
        <v>45126</v>
      </c>
      <c r="B1124" s="5">
        <f>prices!B1125/prices!B1124-1</f>
        <v>7.5842696629213613E-3</v>
      </c>
      <c r="C1124" s="5">
        <f>prices!C1125/prices!C1124-1</f>
        <v>-7.6625701065399232E-3</v>
      </c>
      <c r="D1124" s="5">
        <f>prices!D1125/prices!D1124-1</f>
        <v>4.5322675033929727E-3</v>
      </c>
      <c r="E1124" s="5">
        <f>prices!E1125/prices!E1124-1</f>
        <v>-1.713744979845444E-4</v>
      </c>
      <c r="F1124" s="5">
        <f>prices!F1125/prices!F1124-1</f>
        <v>1.3437877555045885E-2</v>
      </c>
      <c r="G1124" s="5">
        <f>prices!G1125/prices!G1124-1</f>
        <v>-6.0111548090314715E-3</v>
      </c>
      <c r="H1124" s="5">
        <f>prices!H1125/prices!H1124-1</f>
        <v>1.3770510813474912E-2</v>
      </c>
      <c r="I1124" s="5">
        <f>prices!I1125/prices!I1124-1</f>
        <v>7.8586781300378217E-3</v>
      </c>
      <c r="J1124" s="5">
        <f>prices!J1125/prices!J1124-1</f>
        <v>4.248262592250418E-3</v>
      </c>
      <c r="K1124" s="8">
        <f>SUMPRODUCT(B1124:I1124,weights!$B$5:$I$5)</f>
        <v>4.1954385459154024E-3</v>
      </c>
      <c r="L1124" s="4">
        <f t="shared" si="34"/>
        <v>222.08130767177079</v>
      </c>
      <c r="M1124" s="4">
        <f>L1124/MAX(L$2:L1124)-1</f>
        <v>0</v>
      </c>
      <c r="N1124" s="4">
        <f t="shared" si="35"/>
        <v>6.6137690405498439E-2</v>
      </c>
    </row>
    <row r="1125" spans="1:14">
      <c r="A1125" s="3">
        <f>prices!A1126</f>
        <v>45127</v>
      </c>
      <c r="B1125" s="5">
        <f>prices!B1126/prices!B1125-1</f>
        <v>-1.208066164854471E-3</v>
      </c>
      <c r="C1125" s="5">
        <f>prices!C1126/prices!C1125-1</f>
        <v>6.4981789249807242E-4</v>
      </c>
      <c r="D1125" s="5">
        <f>prices!D1126/prices!D1125-1</f>
        <v>2.1691436220980798E-3</v>
      </c>
      <c r="E1125" s="5">
        <f>prices!E1126/prices!E1125-1</f>
        <v>-1.7252172357771989E-2</v>
      </c>
      <c r="F1125" s="5">
        <f>prices!F1126/prices!F1125-1</f>
        <v>2.7784536032309903E-2</v>
      </c>
      <c r="G1125" s="5">
        <f>prices!G1126/prices!G1125-1</f>
        <v>1.71690735781862E-2</v>
      </c>
      <c r="H1125" s="5">
        <f>prices!H1126/prices!H1125-1</f>
        <v>1.4603410639900227E-2</v>
      </c>
      <c r="I1125" s="5">
        <f>prices!I1126/prices!I1125-1</f>
        <v>-1.7869043652115613E-3</v>
      </c>
      <c r="J1125" s="5">
        <f>prices!J1126/prices!J1125-1</f>
        <v>7.3614125844860823E-3</v>
      </c>
      <c r="K1125" s="8">
        <f>SUMPRODUCT(B1125:I1125,weights!$B$5:$I$5)</f>
        <v>6.1133554009510493E-3</v>
      </c>
      <c r="L1125" s="4">
        <f t="shared" si="34"/>
        <v>223.43896963347629</v>
      </c>
      <c r="M1125" s="4">
        <f>L1125/MAX(L$2:L1125)-1</f>
        <v>0</v>
      </c>
      <c r="N1125" s="4">
        <f t="shared" si="35"/>
        <v>7.1448688179134745E-2</v>
      </c>
    </row>
    <row r="1126" spans="1:14">
      <c r="A1126" s="3">
        <f>prices!A1127</f>
        <v>45128</v>
      </c>
      <c r="B1126" s="5">
        <f>prices!B1127/prices!B1126-1</f>
        <v>-3.0959248232229286E-2</v>
      </c>
      <c r="C1126" s="5">
        <f>prices!C1127/prices!C1126-1</f>
        <v>-2.7429849403506124E-2</v>
      </c>
      <c r="D1126" s="5">
        <f>prices!D1127/prices!D1126-1</f>
        <v>-7.7054370949388717E-3</v>
      </c>
      <c r="E1126" s="5">
        <f>prices!E1127/prices!E1126-1</f>
        <v>-8.1337064252185787E-2</v>
      </c>
      <c r="F1126" s="5">
        <f>prices!F1127/prices!F1126-1</f>
        <v>-3.4561121105954884E-3</v>
      </c>
      <c r="G1126" s="5">
        <f>prices!G1127/prices!G1126-1</f>
        <v>-2.5123033670193529E-4</v>
      </c>
      <c r="H1126" s="5">
        <f>prices!H1127/prices!H1126-1</f>
        <v>-4.5096252313536755E-4</v>
      </c>
      <c r="I1126" s="5">
        <f>prices!I1127/prices!I1126-1</f>
        <v>3.8781394611330455E-2</v>
      </c>
      <c r="J1126" s="5">
        <f>prices!J1127/prices!J1126-1</f>
        <v>-1.1719717805812602E-2</v>
      </c>
      <c r="K1126" s="8">
        <f>SUMPRODUCT(B1126:I1126,weights!$B$5:$I$5)</f>
        <v>-6.5820242028238824E-3</v>
      </c>
      <c r="L1126" s="4">
        <f t="shared" si="34"/>
        <v>221.96828892749474</v>
      </c>
      <c r="M1126" s="4">
        <f>L1126/MAX(L$2:L1126)-1</f>
        <v>-6.5820242028238329E-3</v>
      </c>
      <c r="N1126" s="4">
        <f t="shared" si="35"/>
        <v>6.6398224145518769E-2</v>
      </c>
    </row>
    <row r="1127" spans="1:14">
      <c r="A1127" s="3">
        <f>prices!A1128</f>
        <v>45131</v>
      </c>
      <c r="B1127" s="5">
        <f>prices!B1128/prices!B1127-1</f>
        <v>-2.0226750838113983E-2</v>
      </c>
      <c r="C1127" s="5">
        <f>prices!C1128/prices!C1127-1</f>
        <v>7.8529341832265231E-3</v>
      </c>
      <c r="D1127" s="5">
        <f>prices!D1128/prices!D1127-1</f>
        <v>1.5829687519475222E-3</v>
      </c>
      <c r="E1127" s="5">
        <f>prices!E1128/prices!E1127-1</f>
        <v>3.7558297907465121E-3</v>
      </c>
      <c r="F1127" s="5">
        <f>prices!F1128/prices!F1127-1</f>
        <v>-3.8932965936624209E-2</v>
      </c>
      <c r="G1127" s="5">
        <f>prices!G1128/prices!G1127-1</f>
        <v>-7.7017189112178475E-3</v>
      </c>
      <c r="H1127" s="5">
        <f>prices!H1128/prices!H1127-1</f>
        <v>2.9607767574324484E-3</v>
      </c>
      <c r="I1127" s="5">
        <f>prices!I1128/prices!I1127-1</f>
        <v>7.3470043583923061E-3</v>
      </c>
      <c r="J1127" s="5">
        <f>prices!J1128/prices!J1127-1</f>
        <v>-3.679412509496105E-3</v>
      </c>
      <c r="K1127" s="8">
        <f>SUMPRODUCT(B1127:I1127,weights!$B$5:$I$5)</f>
        <v>-4.3077389575596836E-3</v>
      </c>
      <c r="L1127" s="4">
        <f t="shared" si="34"/>
        <v>221.01210748193893</v>
      </c>
      <c r="M1127" s="4">
        <f>L1127/MAX(L$2:L1127)-1</f>
        <v>-1.0861409518305276E-2</v>
      </c>
      <c r="N1127" s="4">
        <f t="shared" si="35"/>
        <v>6.9127868943307469E-2</v>
      </c>
    </row>
    <row r="1128" spans="1:14">
      <c r="A1128" s="3">
        <f>prices!A1129</f>
        <v>45132</v>
      </c>
      <c r="B1128" s="5">
        <f>prices!B1129/prices!B1128-1</f>
        <v>-6.3696868237306248E-4</v>
      </c>
      <c r="C1128" s="5">
        <f>prices!C1129/prices!C1128-1</f>
        <v>1.295931228387559E-3</v>
      </c>
      <c r="D1128" s="5">
        <f>prices!D1129/prices!D1128-1</f>
        <v>1.0851709890985051E-2</v>
      </c>
      <c r="E1128" s="5">
        <f>prices!E1129/prices!E1128-1</f>
        <v>-1.4967105263157254E-3</v>
      </c>
      <c r="F1128" s="5">
        <f>prices!F1129/prices!F1128-1</f>
        <v>-1.9204626906250688E-2</v>
      </c>
      <c r="G1128" s="5">
        <f>prices!G1129/prices!G1128-1</f>
        <v>6.5811217416311685E-3</v>
      </c>
      <c r="H1128" s="5">
        <f>prices!H1129/prices!H1128-1</f>
        <v>-4.8638314621484158E-3</v>
      </c>
      <c r="I1128" s="5">
        <f>prices!I1129/prices!I1128-1</f>
        <v>-1.7023295875967848E-2</v>
      </c>
      <c r="J1128" s="5">
        <f>prices!J1129/prices!J1128-1</f>
        <v>4.1937033450500927E-4</v>
      </c>
      <c r="K1128" s="8">
        <f>SUMPRODUCT(B1128:I1128,weights!$B$5:$I$5)</f>
        <v>-3.7009719541905867E-3</v>
      </c>
      <c r="L1128" s="4">
        <f t="shared" si="34"/>
        <v>220.19414787061172</v>
      </c>
      <c r="M1128" s="4">
        <f>L1128/MAX(L$2:L1128)-1</f>
        <v>-1.4522183700485636E-2</v>
      </c>
      <c r="N1128" s="4">
        <f t="shared" si="35"/>
        <v>6.4107633110522366E-2</v>
      </c>
    </row>
    <row r="1129" spans="1:14">
      <c r="A1129" s="3">
        <f>prices!A1130</f>
        <v>45133</v>
      </c>
      <c r="B1129" s="5">
        <f>prices!B1130/prices!B1129-1</f>
        <v>1.6253054086960761E-2</v>
      </c>
      <c r="C1129" s="5">
        <f>prices!C1130/prices!C1129-1</f>
        <v>-3.1920627697034076E-3</v>
      </c>
      <c r="D1129" s="5">
        <f>prices!D1130/prices!D1129-1</f>
        <v>-3.4840202885703109E-3</v>
      </c>
      <c r="E1129" s="5">
        <f>prices!E1130/prices!E1129-1</f>
        <v>1.0673870431072929E-2</v>
      </c>
      <c r="F1129" s="5">
        <f>prices!F1130/prices!F1129-1</f>
        <v>2.1521092686860532E-2</v>
      </c>
      <c r="G1129" s="5">
        <f>prices!G1130/prices!G1129-1</f>
        <v>-2.313331720041889E-4</v>
      </c>
      <c r="H1129" s="5">
        <f>prices!H1130/prices!H1129-1</f>
        <v>1.5482121163607587E-2</v>
      </c>
      <c r="I1129" s="5">
        <f>prices!I1130/prices!I1129-1</f>
        <v>3.3325896026449531E-2</v>
      </c>
      <c r="J1129" s="5">
        <f>prices!J1130/prices!J1129-1</f>
        <v>4.9642795443227694E-3</v>
      </c>
      <c r="K1129" s="8">
        <f>SUMPRODUCT(B1129:I1129,weights!$B$5:$I$5)</f>
        <v>1.3088914008805274E-2</v>
      </c>
      <c r="L1129" s="4">
        <f t="shared" si="34"/>
        <v>223.07625013733232</v>
      </c>
      <c r="M1129" s="4">
        <f>L1129/MAX(L$2:L1129)-1</f>
        <v>-1.6233493053560144E-3</v>
      </c>
      <c r="N1129" s="4">
        <f t="shared" si="35"/>
        <v>7.4275774511397996E-2</v>
      </c>
    </row>
    <row r="1130" spans="1:14">
      <c r="A1130" s="3">
        <f>prices!A1131</f>
        <v>45134</v>
      </c>
      <c r="B1130" s="5">
        <f>prices!B1131/prices!B1130-1</f>
        <v>-9.3031857581655775E-3</v>
      </c>
      <c r="C1130" s="5">
        <f>prices!C1131/prices!C1130-1</f>
        <v>2.5385148393028967E-3</v>
      </c>
      <c r="D1130" s="5">
        <f>prices!D1131/prices!D1130-1</f>
        <v>-1.0377416764469793E-2</v>
      </c>
      <c r="E1130" s="5">
        <f>prices!E1131/prices!E1130-1</f>
        <v>3.1862705151814996E-3</v>
      </c>
      <c r="F1130" s="5">
        <f>prices!F1131/prices!F1130-1</f>
        <v>-1.5245707519242147E-2</v>
      </c>
      <c r="G1130" s="5">
        <f>prices!G1131/prices!G1130-1</f>
        <v>-2.8150271266247362E-4</v>
      </c>
      <c r="H1130" s="5">
        <f>prices!H1131/prices!H1130-1</f>
        <v>2.0634140460535466E-2</v>
      </c>
      <c r="I1130" s="5">
        <f>prices!I1131/prices!I1130-1</f>
        <v>5.2724560301509182E-3</v>
      </c>
      <c r="J1130" s="5">
        <f>prices!J1131/prices!J1130-1</f>
        <v>-5.9863587871554769E-3</v>
      </c>
      <c r="K1130" s="8">
        <f>SUMPRODUCT(B1130:I1130,weights!$B$5:$I$5)</f>
        <v>1.3585785186566077E-3</v>
      </c>
      <c r="L1130" s="4">
        <f t="shared" si="34"/>
        <v>223.37931673879135</v>
      </c>
      <c r="M1130" s="4">
        <f>L1130/MAX(L$2:L1130)-1</f>
        <v>-2.6697623419402738E-4</v>
      </c>
      <c r="N1130" s="4">
        <f t="shared" si="35"/>
        <v>6.2863270650979519E-2</v>
      </c>
    </row>
    <row r="1131" spans="1:14">
      <c r="A1131" s="3">
        <f>prices!A1132</f>
        <v>45135</v>
      </c>
      <c r="B1131" s="5">
        <f>prices!B1132/prices!B1131-1</f>
        <v>1.0047967275117919E-2</v>
      </c>
      <c r="C1131" s="5">
        <f>prices!C1132/prices!C1131-1</f>
        <v>-1.2217966191469865E-2</v>
      </c>
      <c r="D1131" s="5">
        <f>prices!D1132/prices!D1131-1</f>
        <v>-1.772673366206845E-2</v>
      </c>
      <c r="E1131" s="5">
        <f>prices!E1132/prices!E1131-1</f>
        <v>-9.3497420900856554E-3</v>
      </c>
      <c r="F1131" s="5">
        <f>prices!F1132/prices!F1131-1</f>
        <v>7.3149957412697031E-3</v>
      </c>
      <c r="G1131" s="5">
        <f>prices!G1132/prices!G1131-1</f>
        <v>-8.5402534237808414E-3</v>
      </c>
      <c r="H1131" s="5">
        <f>prices!H1132/prices!H1131-1</f>
        <v>6.7238496765285038E-3</v>
      </c>
      <c r="I1131" s="5">
        <f>prices!I1132/prices!I1131-1</f>
        <v>-4.0029211561217748E-3</v>
      </c>
      <c r="J1131" s="5">
        <f>prices!J1132/prices!J1131-1</f>
        <v>-7.044796769059003E-4</v>
      </c>
      <c r="K1131" s="8">
        <f>SUMPRODUCT(B1131:I1131,weights!$B$5:$I$5)</f>
        <v>-2.7268511075805185E-3</v>
      </c>
      <c r="L1131" s="4">
        <f t="shared" si="34"/>
        <v>222.77019460153159</v>
      </c>
      <c r="M1131" s="4">
        <f>L1131/MAX(L$2:L1131)-1</f>
        <v>-2.9930993373347148E-3</v>
      </c>
      <c r="N1131" s="4">
        <f t="shared" si="35"/>
        <v>3.7579668985790793E-2</v>
      </c>
    </row>
    <row r="1132" spans="1:14">
      <c r="A1132" s="3">
        <f>prices!A1133</f>
        <v>45138</v>
      </c>
      <c r="B1132" s="5">
        <f>prices!B1133/prices!B1132-1</f>
        <v>8.4614333812786935E-3</v>
      </c>
      <c r="C1132" s="5">
        <f>prices!C1133/prices!C1132-1</f>
        <v>1.9683301563220512E-2</v>
      </c>
      <c r="D1132" s="5">
        <f>prices!D1133/prices!D1132-1</f>
        <v>4.6895850543304807E-3</v>
      </c>
      <c r="E1132" s="5">
        <f>prices!E1133/prices!E1132-1</f>
        <v>1.1340341440215118E-2</v>
      </c>
      <c r="F1132" s="5">
        <f>prices!F1133/prices!F1132-1</f>
        <v>-5.869186769460355E-3</v>
      </c>
      <c r="G1132" s="5">
        <f>prices!G1133/prices!G1132-1</f>
        <v>1.5558015519287149E-2</v>
      </c>
      <c r="H1132" s="5">
        <f>prices!H1133/prices!H1132-1</f>
        <v>4.2600815913931278E-3</v>
      </c>
      <c r="I1132" s="5">
        <f>prices!I1133/prices!I1132-1</f>
        <v>1.2002133015472038E-2</v>
      </c>
      <c r="J1132" s="5">
        <f>prices!J1133/prices!J1132-1</f>
        <v>5.4845630546598301E-3</v>
      </c>
      <c r="K1132" s="8">
        <f>SUMPRODUCT(B1132:I1132,weights!$B$5:$I$5)</f>
        <v>9.6551030805760857E-3</v>
      </c>
      <c r="L1132" s="4">
        <f t="shared" si="34"/>
        <v>224.92106379368937</v>
      </c>
      <c r="M1132" s="4">
        <f>L1132/MAX(L$2:L1132)-1</f>
        <v>0</v>
      </c>
      <c r="N1132" s="4">
        <f t="shared" si="35"/>
        <v>4.9074677869981986E-2</v>
      </c>
    </row>
    <row r="1133" spans="1:14">
      <c r="A1133" s="3">
        <f>prices!A1134</f>
        <v>45139</v>
      </c>
      <c r="B1133" s="5">
        <f>prices!B1134/prices!B1133-1</f>
        <v>-1.4135458167330639E-2</v>
      </c>
      <c r="C1133" s="5">
        <f>prices!C1134/prices!C1133-1</f>
        <v>8.9430294712742331E-3</v>
      </c>
      <c r="D1133" s="5">
        <f>prices!D1134/prices!D1133-1</f>
        <v>6.691628507096592E-3</v>
      </c>
      <c r="E1133" s="5">
        <f>prices!E1134/prices!E1133-1</f>
        <v>7.0051971427878001E-3</v>
      </c>
      <c r="F1133" s="5">
        <f>prices!F1134/prices!F1133-1</f>
        <v>-1.9512683244109486E-3</v>
      </c>
      <c r="G1133" s="5">
        <f>prices!G1134/prices!G1133-1</f>
        <v>-1.0589874101576746E-2</v>
      </c>
      <c r="H1133" s="5">
        <f>prices!H1134/prices!H1133-1</f>
        <v>4.493654959203397E-5</v>
      </c>
      <c r="I1133" s="5">
        <f>prices!I1134/prices!I1133-1</f>
        <v>-5.4823924153133419E-3</v>
      </c>
      <c r="J1133" s="5">
        <f>prices!J1134/prices!J1133-1</f>
        <v>-1.0251192175683155E-3</v>
      </c>
      <c r="K1133" s="8">
        <f>SUMPRODUCT(B1133:I1133,weights!$B$5:$I$5)</f>
        <v>-3.2177268034558346E-3</v>
      </c>
      <c r="L1133" s="4">
        <f t="shared" si="34"/>
        <v>224.1973292580586</v>
      </c>
      <c r="M1133" s="4">
        <f>L1133/MAX(L$2:L1133)-1</f>
        <v>-3.2177268034558892E-3</v>
      </c>
      <c r="N1133" s="4">
        <f t="shared" si="35"/>
        <v>4.1757927789130234E-2</v>
      </c>
    </row>
    <row r="1134" spans="1:14">
      <c r="A1134" s="3">
        <f>prices!A1135</f>
        <v>45140</v>
      </c>
      <c r="B1134" s="5">
        <f>prices!B1135/prices!B1134-1</f>
        <v>-1.0684900505956718E-2</v>
      </c>
      <c r="C1134" s="5">
        <f>prices!C1135/prices!C1134-1</f>
        <v>-3.3020606892694149E-3</v>
      </c>
      <c r="D1134" s="5">
        <f>prices!D1135/prices!D1134-1</f>
        <v>-1.3080683060452736E-2</v>
      </c>
      <c r="E1134" s="5">
        <f>prices!E1135/prices!E1134-1</f>
        <v>-6.1110619077140438E-3</v>
      </c>
      <c r="F1134" s="5">
        <f>prices!F1135/prices!F1134-1</f>
        <v>-1.0101263284539752E-2</v>
      </c>
      <c r="G1134" s="5">
        <f>prices!G1135/prices!G1134-1</f>
        <v>-6.4784618711845043E-3</v>
      </c>
      <c r="H1134" s="5">
        <f>prices!H1135/prices!H1134-1</f>
        <v>-7.1715510501200175E-3</v>
      </c>
      <c r="I1134" s="5">
        <f>prices!I1135/prices!I1134-1</f>
        <v>-5.5009272101106399E-3</v>
      </c>
      <c r="J1134" s="5">
        <f>prices!J1135/prices!J1134-1</f>
        <v>-1.0489749690248296E-2</v>
      </c>
      <c r="K1134" s="8">
        <f>SUMPRODUCT(B1134:I1134,weights!$B$5:$I$5)</f>
        <v>-7.4096752582842353E-3</v>
      </c>
      <c r="L1134" s="4">
        <f t="shared" si="34"/>
        <v>222.53609985448176</v>
      </c>
      <c r="M1134" s="4">
        <f>L1134/MAX(L$2:L1134)-1</f>
        <v>-1.0603559751056646E-2</v>
      </c>
      <c r="N1134" s="4">
        <f t="shared" si="35"/>
        <v>2.7357151429550086E-2</v>
      </c>
    </row>
    <row r="1135" spans="1:14">
      <c r="A1135" s="3">
        <f>prices!A1136</f>
        <v>45141</v>
      </c>
      <c r="B1135" s="5">
        <f>prices!B1136/prices!B1135-1</f>
        <v>-4.2073788438284909E-3</v>
      </c>
      <c r="C1135" s="5">
        <f>prices!C1136/prices!C1135-1</f>
        <v>-1.182667810326743E-2</v>
      </c>
      <c r="D1135" s="5">
        <f>prices!D1136/prices!D1135-1</f>
        <v>-7.2317995467392482E-3</v>
      </c>
      <c r="E1135" s="5">
        <f>prices!E1136/prices!E1135-1</f>
        <v>5.4924579964679143E-3</v>
      </c>
      <c r="F1135" s="5">
        <f>prices!F1136/prices!F1135-1</f>
        <v>-8.8116881472666275E-3</v>
      </c>
      <c r="G1135" s="5">
        <f>prices!G1136/prices!G1135-1</f>
        <v>-2.1013678288128723E-3</v>
      </c>
      <c r="H1135" s="5">
        <f>prices!H1136/prices!H1135-1</f>
        <v>5.0599683186240973E-3</v>
      </c>
      <c r="I1135" s="5">
        <f>prices!I1136/prices!I1135-1</f>
        <v>-9.1706101726785061E-3</v>
      </c>
      <c r="J1135" s="5">
        <f>prices!J1136/prices!J1135-1</f>
        <v>-7.4206657089961325E-3</v>
      </c>
      <c r="K1135" s="8">
        <f>SUMPRODUCT(B1135:I1135,weights!$B$5:$I$5)</f>
        <v>-3.8344663021279697E-3</v>
      </c>
      <c r="L1135" s="4">
        <f t="shared" si="34"/>
        <v>221.68279267858279</v>
      </c>
      <c r="M1135" s="4">
        <f>L1135/MAX(L$2:L1135)-1</f>
        <v>-1.4397367060636546E-2</v>
      </c>
      <c r="N1135" s="4">
        <f t="shared" si="35"/>
        <v>2.2481484198898505E-2</v>
      </c>
    </row>
    <row r="1136" spans="1:14">
      <c r="A1136" s="3">
        <f>prices!A1137</f>
        <v>45142</v>
      </c>
      <c r="B1136" s="5">
        <f>prices!B1137/prices!B1136-1</f>
        <v>1.3594335830140469E-2</v>
      </c>
      <c r="C1136" s="5">
        <f>prices!C1137/prices!C1136-1</f>
        <v>1.2823325933192242E-2</v>
      </c>
      <c r="D1136" s="5">
        <f>prices!D1137/prices!D1136-1</f>
        <v>1.446636058173234E-2</v>
      </c>
      <c r="E1136" s="5">
        <f>prices!E1137/prices!E1136-1</f>
        <v>1.0296487270383459E-2</v>
      </c>
      <c r="F1136" s="5">
        <f>prices!F1137/prices!F1136-1</f>
        <v>-2.4013283944309682E-3</v>
      </c>
      <c r="G1136" s="5">
        <f>prices!G1137/prices!G1136-1</f>
        <v>-7.6812844688595172E-3</v>
      </c>
      <c r="H1136" s="5">
        <f>prices!H1137/prices!H1136-1</f>
        <v>-1.7922438172091049E-3</v>
      </c>
      <c r="I1136" s="5">
        <f>prices!I1137/prices!I1136-1</f>
        <v>1.1086027414591415E-2</v>
      </c>
      <c r="J1136" s="5">
        <f>prices!J1137/prices!J1136-1</f>
        <v>6.983409565233023E-3</v>
      </c>
      <c r="K1136" s="8">
        <f>SUMPRODUCT(B1136:I1136,weights!$B$5:$I$5)</f>
        <v>5.0240646025167968E-3</v>
      </c>
      <c r="L1136" s="4">
        <f t="shared" si="34"/>
        <v>222.79654135026632</v>
      </c>
      <c r="M1136" s="4">
        <f>L1136/MAX(L$2:L1136)-1</f>
        <v>-9.4456357603385221E-3</v>
      </c>
      <c r="N1136" s="4">
        <f t="shared" si="35"/>
        <v>3.4689606550793117E-2</v>
      </c>
    </row>
    <row r="1137" spans="1:14">
      <c r="A1137" s="3">
        <f>prices!A1138</f>
        <v>45145</v>
      </c>
      <c r="B1137" s="5">
        <f>prices!B1138/prices!B1137-1</f>
        <v>5.6982824211224692E-3</v>
      </c>
      <c r="C1137" s="5">
        <f>prices!C1138/prices!C1137-1</f>
        <v>1.1759345987931491E-2</v>
      </c>
      <c r="D1137" s="5">
        <f>prices!D1138/prices!D1137-1</f>
        <v>-5.815276478471354E-4</v>
      </c>
      <c r="E1137" s="5">
        <f>prices!E1138/prices!E1137-1</f>
        <v>1.0630153590966307E-2</v>
      </c>
      <c r="F1137" s="5">
        <f>prices!F1138/prices!F1137-1</f>
        <v>-1.0243015543764944E-4</v>
      </c>
      <c r="G1137" s="5">
        <f>prices!G1138/prices!G1137-1</f>
        <v>5.6393268502477056E-3</v>
      </c>
      <c r="H1137" s="5">
        <f>prices!H1138/prices!H1137-1</f>
        <v>1.9181666441106193E-2</v>
      </c>
      <c r="I1137" s="5">
        <f>prices!I1138/prices!I1137-1</f>
        <v>3.4254208457975555E-3</v>
      </c>
      <c r="J1137" s="5">
        <f>prices!J1138/prices!J1137-1</f>
        <v>4.1143618383971958E-3</v>
      </c>
      <c r="K1137" s="8">
        <f>SUMPRODUCT(B1137:I1137,weights!$B$5:$I$5)</f>
        <v>7.2709601362990076E-3</v>
      </c>
      <c r="L1137" s="4">
        <f t="shared" si="34"/>
        <v>224.41648612092942</v>
      </c>
      <c r="M1137" s="4">
        <f>L1137/MAX(L$2:L1137)-1</f>
        <v>-2.2433544651148107E-3</v>
      </c>
      <c r="N1137" s="4">
        <f t="shared" si="35"/>
        <v>4.1228062229800466E-2</v>
      </c>
    </row>
    <row r="1138" spans="1:14">
      <c r="A1138" s="3">
        <f>prices!A1139</f>
        <v>45146</v>
      </c>
      <c r="B1138" s="5">
        <f>prices!B1139/prices!B1138-1</f>
        <v>-6.0201207243461008E-3</v>
      </c>
      <c r="C1138" s="5">
        <f>prices!C1139/prices!C1138-1</f>
        <v>-3.8605783310085018E-3</v>
      </c>
      <c r="D1138" s="5">
        <f>prices!D1139/prices!D1138-1</f>
        <v>-8.0955272212102081E-4</v>
      </c>
      <c r="E1138" s="5">
        <f>prices!E1139/prices!E1138-1</f>
        <v>-2.012135941482307E-3</v>
      </c>
      <c r="F1138" s="5">
        <f>prices!F1139/prices!F1138-1</f>
        <v>-5.6086255025995513E-3</v>
      </c>
      <c r="G1138" s="5">
        <f>prices!G1139/prices!G1138-1</f>
        <v>1.9684315096213378E-3</v>
      </c>
      <c r="H1138" s="5">
        <f>prices!H1139/prices!H1138-1</f>
        <v>-1.0463788387142459E-2</v>
      </c>
      <c r="I1138" s="5">
        <f>prices!I1139/prices!I1138-1</f>
        <v>-1.4029016682838291E-3</v>
      </c>
      <c r="J1138" s="5">
        <f>prices!J1139/prices!J1138-1</f>
        <v>-1.3496757206350463E-3</v>
      </c>
      <c r="K1138" s="8">
        <f>SUMPRODUCT(B1138:I1138,weights!$B$5:$I$5)</f>
        <v>-3.2768807678947086E-3</v>
      </c>
      <c r="L1138" s="4">
        <f t="shared" si="34"/>
        <v>223.68110005356124</v>
      </c>
      <c r="M1138" s="4">
        <f>L1138/MAX(L$2:L1138)-1</f>
        <v>-5.5128840279071722E-3</v>
      </c>
      <c r="N1138" s="4">
        <f t="shared" si="35"/>
        <v>2.3812053586202753E-2</v>
      </c>
    </row>
    <row r="1139" spans="1:14">
      <c r="A1139" s="3">
        <f>prices!A1140</f>
        <v>45147</v>
      </c>
      <c r="B1139" s="5">
        <f>prices!B1140/prices!B1139-1</f>
        <v>6.590986380787367E-3</v>
      </c>
      <c r="C1139" s="5">
        <f>prices!C1140/prices!C1139-1</f>
        <v>-2.3329107961925777E-3</v>
      </c>
      <c r="D1139" s="5">
        <f>prices!D1140/prices!D1139-1</f>
        <v>3.6712578488962144E-4</v>
      </c>
      <c r="E1139" s="5">
        <f>prices!E1140/prices!E1139-1</f>
        <v>3.0203358739997466E-3</v>
      </c>
      <c r="F1139" s="5">
        <f>prices!F1140/prices!F1139-1</f>
        <v>1.3907489440609933E-2</v>
      </c>
      <c r="G1139" s="5">
        <f>prices!G1140/prices!G1139-1</f>
        <v>-8.325908165524587E-3</v>
      </c>
      <c r="H1139" s="5">
        <f>prices!H1140/prices!H1139-1</f>
        <v>3.6053283711610096E-3</v>
      </c>
      <c r="I1139" s="5">
        <f>prices!I1140/prices!I1139-1</f>
        <v>7.3716785495470116E-3</v>
      </c>
      <c r="J1139" s="5">
        <f>prices!J1140/prices!J1139-1</f>
        <v>3.152647943242215E-3</v>
      </c>
      <c r="K1139" s="8">
        <f>SUMPRODUCT(B1139:I1139,weights!$B$5:$I$5)</f>
        <v>2.4578982887624957E-3</v>
      </c>
      <c r="L1139" s="4">
        <f t="shared" si="34"/>
        <v>224.23088544661138</v>
      </c>
      <c r="M1139" s="4">
        <f>L1139/MAX(L$2:L1139)-1</f>
        <v>-3.0685358473631075E-3</v>
      </c>
      <c r="N1139" s="4">
        <f t="shared" si="35"/>
        <v>3.036215927826702E-2</v>
      </c>
    </row>
    <row r="1140" spans="1:14">
      <c r="A1140" s="3">
        <f>prices!A1141</f>
        <v>45148</v>
      </c>
      <c r="B1140" s="5">
        <f>prices!B1141/prices!B1140-1</f>
        <v>4.4563853405836795E-3</v>
      </c>
      <c r="C1140" s="5">
        <f>prices!C1141/prices!C1140-1</f>
        <v>-5.8902742351990556E-3</v>
      </c>
      <c r="D1140" s="5">
        <f>prices!D1141/prices!D1140-1</f>
        <v>-8.8837144556510594E-3</v>
      </c>
      <c r="E1140" s="5">
        <f>prices!E1141/prices!E1140-1</f>
        <v>-3.7995238770908157E-3</v>
      </c>
      <c r="F1140" s="5">
        <f>prices!F1141/prices!F1140-1</f>
        <v>-1.5037593984962405E-2</v>
      </c>
      <c r="G1140" s="5">
        <f>prices!G1141/prices!G1140-1</f>
        <v>-6.921180227315249E-3</v>
      </c>
      <c r="H1140" s="5">
        <f>prices!H1141/prices!H1140-1</f>
        <v>-2.1661229074181332E-3</v>
      </c>
      <c r="I1140" s="5">
        <f>prices!I1141/prices!I1140-1</f>
        <v>-3.0564809793135472E-3</v>
      </c>
      <c r="J1140" s="5">
        <f>prices!J1141/prices!J1140-1</f>
        <v>-4.5562089489139534E-3</v>
      </c>
      <c r="K1140" s="8">
        <f>SUMPRODUCT(B1140:I1140,weights!$B$5:$I$5)</f>
        <v>-4.4639099097430442E-3</v>
      </c>
      <c r="L1140" s="4">
        <f t="shared" si="34"/>
        <v>223.2299389749958</v>
      </c>
      <c r="M1140" s="4">
        <f>L1140/MAX(L$2:L1140)-1</f>
        <v>-7.5187480895286818E-3</v>
      </c>
      <c r="N1140" s="4">
        <f t="shared" si="35"/>
        <v>2.6958919836665762E-2</v>
      </c>
    </row>
    <row r="1141" spans="1:14">
      <c r="A1141" s="3">
        <f>prices!A1142</f>
        <v>45149</v>
      </c>
      <c r="B1141" s="5">
        <f>prices!B1142/prices!B1141-1</f>
        <v>4.2203892047729674E-3</v>
      </c>
      <c r="C1141" s="5">
        <f>prices!C1142/prices!C1141-1</f>
        <v>1.9442478947937492E-3</v>
      </c>
      <c r="D1141" s="5">
        <f>prices!D1142/prices!D1141-1</f>
        <v>-1.0418927718689019E-2</v>
      </c>
      <c r="E1141" s="5">
        <f>prices!E1142/prices!E1141-1</f>
        <v>-1.2423244919921528E-2</v>
      </c>
      <c r="F1141" s="5">
        <f>prices!F1142/prices!F1141-1</f>
        <v>-6.6278110171239524E-3</v>
      </c>
      <c r="G1141" s="5">
        <f>prices!G1142/prices!G1141-1</f>
        <v>-4.3362823123767047E-3</v>
      </c>
      <c r="H1141" s="5">
        <f>prices!H1142/prices!H1141-1</f>
        <v>-1.5606714371220076E-2</v>
      </c>
      <c r="I1141" s="5">
        <f>prices!I1142/prices!I1141-1</f>
        <v>-1.8923571309225062E-3</v>
      </c>
      <c r="J1141" s="5">
        <f>prices!J1142/prices!J1141-1</f>
        <v>-5.8741960077981492E-3</v>
      </c>
      <c r="K1141" s="8">
        <f>SUMPRODUCT(B1141:I1141,weights!$B$5:$I$5)</f>
        <v>-5.243600152721262E-3</v>
      </c>
      <c r="L1141" s="4">
        <f t="shared" si="34"/>
        <v>222.05941043289454</v>
      </c>
      <c r="M1141" s="4">
        <f>L1141/MAX(L$2:L1141)-1</f>
        <v>-1.272292293361954E-2</v>
      </c>
      <c r="N1141" s="4">
        <f t="shared" si="35"/>
        <v>1.2386062369424744E-2</v>
      </c>
    </row>
    <row r="1142" spans="1:14">
      <c r="A1142" s="3">
        <f>prices!A1143</f>
        <v>45152</v>
      </c>
      <c r="B1142" s="5">
        <f>prices!B1143/prices!B1142-1</f>
        <v>1.1818464556568209E-2</v>
      </c>
      <c r="C1142" s="5">
        <f>prices!C1143/prices!C1142-1</f>
        <v>3.0538624998399655E-4</v>
      </c>
      <c r="D1142" s="5">
        <f>prices!D1143/prices!D1142-1</f>
        <v>-4.8772305588170584E-3</v>
      </c>
      <c r="E1142" s="5">
        <f>prices!E1143/prices!E1142-1</f>
        <v>1.5824559716680398E-2</v>
      </c>
      <c r="F1142" s="5">
        <f>prices!F1143/prices!F1142-1</f>
        <v>9.8652612996175115E-4</v>
      </c>
      <c r="G1142" s="5">
        <f>prices!G1143/prices!G1142-1</f>
        <v>-3.7625827883868146E-3</v>
      </c>
      <c r="H1142" s="5">
        <f>prices!H1143/prices!H1142-1</f>
        <v>1.6788877595468321E-3</v>
      </c>
      <c r="I1142" s="5">
        <f>prices!I1143/prices!I1142-1</f>
        <v>8.1132428055314953E-3</v>
      </c>
      <c r="J1142" s="5">
        <f>prices!J1143/prices!J1142-1</f>
        <v>3.2169567074835648E-4</v>
      </c>
      <c r="K1142" s="8">
        <f>SUMPRODUCT(B1142:I1142,weights!$B$5:$I$5)</f>
        <v>3.7124370359873722E-3</v>
      </c>
      <c r="L1142" s="4">
        <f t="shared" si="34"/>
        <v>222.88379201237512</v>
      </c>
      <c r="M1142" s="4">
        <f>L1142/MAX(L$2:L1142)-1</f>
        <v>-9.0577189479369435E-3</v>
      </c>
      <c r="N1142" s="4">
        <f t="shared" si="35"/>
        <v>1.066313496296134E-2</v>
      </c>
    </row>
    <row r="1143" spans="1:14">
      <c r="A1143" s="3">
        <f>prices!A1144</f>
        <v>45154</v>
      </c>
      <c r="B1143" s="5">
        <f>prices!B1144/prices!B1143-1</f>
        <v>-8.1967859141385269E-4</v>
      </c>
      <c r="C1143" s="5">
        <f>prices!C1144/prices!C1143-1</f>
        <v>2.4773256331649396E-3</v>
      </c>
      <c r="D1143" s="5">
        <f>prices!D1144/prices!D1143-1</f>
        <v>-2.9173419773095288E-3</v>
      </c>
      <c r="E1143" s="5">
        <f>prices!E1144/prices!E1143-1</f>
        <v>1.790489111144411E-2</v>
      </c>
      <c r="F1143" s="5">
        <f>prices!F1144/prices!F1143-1</f>
        <v>2.3342064994684719E-3</v>
      </c>
      <c r="G1143" s="5">
        <f>prices!G1144/prices!G1143-1</f>
        <v>1.0503377112146106E-2</v>
      </c>
      <c r="H1143" s="5">
        <f>prices!H1144/prices!H1143-1</f>
        <v>8.2897705137847666E-3</v>
      </c>
      <c r="I1143" s="5">
        <f>prices!I1144/prices!I1143-1</f>
        <v>1.1708914531102899E-2</v>
      </c>
      <c r="J1143" s="5">
        <f>prices!J1144/prices!J1143-1</f>
        <v>1.5667972759854099E-3</v>
      </c>
      <c r="K1143" s="8">
        <f>SUMPRODUCT(B1143:I1143,weights!$B$5:$I$5)</f>
        <v>7.2076114277917144E-3</v>
      </c>
      <c r="L1143" s="4">
        <f t="shared" si="34"/>
        <v>224.49025177875308</v>
      </c>
      <c r="M1143" s="4">
        <f>L1143/MAX(L$2:L1143)-1</f>
        <v>-1.9153920387441348E-3</v>
      </c>
      <c r="N1143" s="4">
        <f t="shared" si="35"/>
        <v>1.5088073812269842E-2</v>
      </c>
    </row>
    <row r="1144" spans="1:14">
      <c r="A1144" s="3">
        <f>prices!A1145</f>
        <v>45155</v>
      </c>
      <c r="B1144" s="5">
        <f>prices!B1145/prices!B1144-1</f>
        <v>-1.4419246696903976E-2</v>
      </c>
      <c r="C1144" s="5">
        <f>prices!C1145/prices!C1144-1</f>
        <v>-6.5475793941585092E-3</v>
      </c>
      <c r="D1144" s="5">
        <f>prices!D1145/prices!D1144-1</f>
        <v>-5.5526657997398976E-3</v>
      </c>
      <c r="E1144" s="5">
        <f>prices!E1145/prices!E1144-1</f>
        <v>-4.9050375432967419E-3</v>
      </c>
      <c r="F1144" s="5">
        <f>prices!F1145/prices!F1144-1</f>
        <v>-2.0544932336274635E-2</v>
      </c>
      <c r="G1144" s="5">
        <f>prices!G1145/prices!G1144-1</f>
        <v>-4.6981797015439586E-3</v>
      </c>
      <c r="H1144" s="5">
        <f>prices!H1145/prices!H1144-1</f>
        <v>1.0063616432447464E-3</v>
      </c>
      <c r="I1144" s="5">
        <f>prices!I1145/prices!I1144-1</f>
        <v>-1.432552103213991E-2</v>
      </c>
      <c r="J1144" s="5">
        <f>prices!J1145/prices!J1144-1</f>
        <v>-5.1245825841254034E-3</v>
      </c>
      <c r="K1144" s="8">
        <f>SUMPRODUCT(B1144:I1144,weights!$B$5:$I$5)</f>
        <v>-8.5400731349767958E-3</v>
      </c>
      <c r="L1144" s="4">
        <f t="shared" si="34"/>
        <v>222.57308861047315</v>
      </c>
      <c r="M1144" s="4">
        <f>L1144/MAX(L$2:L1144)-1</f>
        <v>-1.0439107585628049E-2</v>
      </c>
      <c r="N1144" s="4">
        <f t="shared" si="35"/>
        <v>2.2144184211541074E-3</v>
      </c>
    </row>
    <row r="1145" spans="1:14">
      <c r="A1145" s="3">
        <f>prices!A1146</f>
        <v>45156</v>
      </c>
      <c r="B1145" s="5">
        <f>prices!B1146/prices!B1145-1</f>
        <v>7.4031389309066054E-3</v>
      </c>
      <c r="C1145" s="5">
        <f>prices!C1146/prices!C1145-1</f>
        <v>-1.9982948394945854E-2</v>
      </c>
      <c r="D1145" s="5">
        <f>prices!D1146/prices!D1145-1</f>
        <v>-4.0929478377990103E-3</v>
      </c>
      <c r="E1145" s="5">
        <f>prices!E1146/prices!E1145-1</f>
        <v>-1.6111448550826246E-2</v>
      </c>
      <c r="F1145" s="5">
        <f>prices!F1146/prices!F1145-1</f>
        <v>1.4794071804085096E-3</v>
      </c>
      <c r="G1145" s="5">
        <f>prices!G1146/prices!G1145-1</f>
        <v>8.6129472329190548E-3</v>
      </c>
      <c r="H1145" s="5">
        <f>prices!H1146/prices!H1145-1</f>
        <v>-8.6442138522853096E-3</v>
      </c>
      <c r="I1145" s="5">
        <f>prices!I1146/prices!I1145-1</f>
        <v>-3.9771209052500422E-3</v>
      </c>
      <c r="J1145" s="5">
        <f>prices!J1146/prices!J1145-1</f>
        <v>-2.8453027975366973E-3</v>
      </c>
      <c r="K1145" s="8">
        <f>SUMPRODUCT(B1145:I1145,weights!$B$5:$I$5)</f>
        <v>-2.7712031151473793E-3</v>
      </c>
      <c r="L1145" s="4">
        <f t="shared" si="34"/>
        <v>221.95629337396784</v>
      </c>
      <c r="M1145" s="4">
        <f>L1145/MAX(L$2:L1145)-1</f>
        <v>-1.3181381813314741E-2</v>
      </c>
      <c r="N1145" s="4">
        <f t="shared" si="35"/>
        <v>-6.6357102431173765E-3</v>
      </c>
    </row>
    <row r="1146" spans="1:14">
      <c r="A1146" s="3">
        <f>prices!A1147</f>
        <v>45159</v>
      </c>
      <c r="B1146" s="5">
        <f>prices!B1147/prices!B1146-1</f>
        <v>-1.0907906444642235E-2</v>
      </c>
      <c r="C1146" s="5">
        <f>prices!C1147/prices!C1146-1</f>
        <v>1.0260370337787261E-2</v>
      </c>
      <c r="D1146" s="5">
        <f>prices!D1147/prices!D1146-1</f>
        <v>-7.8781512605041737E-4</v>
      </c>
      <c r="E1146" s="5">
        <f>prices!E1147/prices!E1146-1</f>
        <v>1.1951024543130462E-2</v>
      </c>
      <c r="F1146" s="5">
        <f>prices!F1147/prices!F1146-1</f>
        <v>1.3928090954654637E-2</v>
      </c>
      <c r="G1146" s="5">
        <f>prices!G1147/prices!G1146-1</f>
        <v>-1.8244992981020225E-3</v>
      </c>
      <c r="H1146" s="5">
        <f>prices!H1147/prices!H1146-1</f>
        <v>2.2002698273284604E-3</v>
      </c>
      <c r="I1146" s="5">
        <f>prices!I1147/prices!I1146-1</f>
        <v>7.6827371695180613E-3</v>
      </c>
      <c r="J1146" s="5">
        <f>prices!J1147/prices!J1146-1</f>
        <v>4.3215614586109563E-3</v>
      </c>
      <c r="K1146" s="8">
        <f>SUMPRODUCT(B1146:I1146,weights!$B$5:$I$5)</f>
        <v>3.1219322606711028E-3</v>
      </c>
      <c r="L1146" s="4">
        <f t="shared" si="34"/>
        <v>222.64922588671098</v>
      </c>
      <c r="M1146" s="4">
        <f>L1146/MAX(L$2:L1146)-1</f>
        <v>-1.0100600933766968E-2</v>
      </c>
      <c r="N1146" s="4">
        <f t="shared" si="35"/>
        <v>3.0677218016428309E-3</v>
      </c>
    </row>
    <row r="1147" spans="1:14">
      <c r="A1147" s="3">
        <f>prices!A1148</f>
        <v>45160</v>
      </c>
      <c r="B1147" s="5">
        <f>prices!B1148/prices!B1147-1</f>
        <v>-2.409657908898355E-4</v>
      </c>
      <c r="C1147" s="5">
        <f>prices!C1148/prices!C1147-1</f>
        <v>-5.7311857781446873E-3</v>
      </c>
      <c r="D1147" s="5">
        <f>prices!D1148/prices!D1147-1</f>
        <v>-4.2838370565045913E-3</v>
      </c>
      <c r="E1147" s="5">
        <f>prices!E1148/prices!E1147-1</f>
        <v>-1.173167317122803E-3</v>
      </c>
      <c r="F1147" s="5">
        <f>prices!F1148/prices!F1147-1</f>
        <v>1.4413195618804941E-2</v>
      </c>
      <c r="G1147" s="5">
        <f>prices!G1148/prices!G1147-1</f>
        <v>5.6265409384630427E-3</v>
      </c>
      <c r="H1147" s="5">
        <f>prices!H1148/prices!H1147-1</f>
        <v>1.2648621300281881E-4</v>
      </c>
      <c r="I1147" s="5">
        <f>prices!I1148/prices!I1147-1</f>
        <v>6.2197117017006587E-3</v>
      </c>
      <c r="J1147" s="5">
        <f>prices!J1148/prices!J1147-1</f>
        <v>1.4695569672484865E-4</v>
      </c>
      <c r="K1147" s="8">
        <f>SUMPRODUCT(B1147:I1147,weights!$B$5:$I$5)</f>
        <v>2.5914252230387824E-3</v>
      </c>
      <c r="L1147" s="4">
        <f t="shared" si="34"/>
        <v>223.22620470656386</v>
      </c>
      <c r="M1147" s="4">
        <f>L1147/MAX(L$2:L1147)-1</f>
        <v>-7.5353506627557909E-3</v>
      </c>
      <c r="N1147" s="4">
        <f t="shared" si="35"/>
        <v>1.0017990642462227E-2</v>
      </c>
    </row>
    <row r="1148" spans="1:14">
      <c r="A1148" s="3">
        <f>prices!A1149</f>
        <v>45161</v>
      </c>
      <c r="B1148" s="5">
        <f>prices!B1149/prices!B1148-1</f>
        <v>1.1087097992270589E-3</v>
      </c>
      <c r="C1148" s="5">
        <f>prices!C1149/prices!C1148-1</f>
        <v>4.7618893152674424E-3</v>
      </c>
      <c r="D1148" s="5">
        <f>prices!D1149/prices!D1148-1</f>
        <v>2.4678649668752328E-3</v>
      </c>
      <c r="E1148" s="5">
        <f>prices!E1149/prices!E1148-1</f>
        <v>2.9911752499824917E-3</v>
      </c>
      <c r="F1148" s="5">
        <f>prices!F1149/prices!F1148-1</f>
        <v>-8.3609037983125578E-3</v>
      </c>
      <c r="G1148" s="5">
        <f>prices!G1149/prices!G1148-1</f>
        <v>1.1488711616074454E-2</v>
      </c>
      <c r="H1148" s="5">
        <f>prices!H1149/prices!H1148-1</f>
        <v>-1.2168241521978707E-2</v>
      </c>
      <c r="I1148" s="5">
        <f>prices!I1149/prices!I1148-1</f>
        <v>1.4483028360200656E-2</v>
      </c>
      <c r="J1148" s="5">
        <f>prices!J1149/prices!J1148-1</f>
        <v>2.4514795233148146E-3</v>
      </c>
      <c r="K1148" s="8">
        <f>SUMPRODUCT(B1148:I1148,weights!$B$5:$I$5)</f>
        <v>3.5479499571767119E-3</v>
      </c>
      <c r="L1148" s="4">
        <f t="shared" si="34"/>
        <v>224.01820010999322</v>
      </c>
      <c r="M1148" s="4">
        <f>L1148/MAX(L$2:L1148)-1</f>
        <v>-4.0141357526404242E-3</v>
      </c>
      <c r="N1148" s="4">
        <f t="shared" si="35"/>
        <v>1.7366729662718239E-2</v>
      </c>
    </row>
    <row r="1149" spans="1:14">
      <c r="A1149" s="3">
        <f>prices!A1150</f>
        <v>45162</v>
      </c>
      <c r="B1149" s="5">
        <f>prices!B1150/prices!B1149-1</f>
        <v>-1.6804834399351432E-2</v>
      </c>
      <c r="C1149" s="5">
        <f>prices!C1150/prices!C1149-1</f>
        <v>-3.0895983522141179E-3</v>
      </c>
      <c r="D1149" s="5">
        <f>prices!D1150/prices!D1149-1</f>
        <v>-4.5944629480918486E-3</v>
      </c>
      <c r="E1149" s="5">
        <f>prices!E1150/prices!E1149-1</f>
        <v>1.1117096439250185E-2</v>
      </c>
      <c r="F1149" s="5">
        <f>prices!F1150/prices!F1149-1</f>
        <v>9.8280098280101313E-4</v>
      </c>
      <c r="G1149" s="5">
        <f>prices!G1150/prices!G1149-1</f>
        <v>-2.8382132567315033E-3</v>
      </c>
      <c r="H1149" s="5">
        <f>prices!H1150/prices!H1149-1</f>
        <v>-4.8101983520955072E-3</v>
      </c>
      <c r="I1149" s="5">
        <f>prices!I1150/prices!I1149-1</f>
        <v>-1.0836656398238609E-2</v>
      </c>
      <c r="J1149" s="5">
        <f>prices!J1150/prices!J1149-1</f>
        <v>-2.9469245011314316E-3</v>
      </c>
      <c r="K1149" s="8">
        <f>SUMPRODUCT(B1149:I1149,weights!$B$5:$I$5)</f>
        <v>-5.1393235988442237E-3</v>
      </c>
      <c r="L1149" s="4">
        <f t="shared" si="34"/>
        <v>222.86689808759732</v>
      </c>
      <c r="M1149" s="4">
        <f>L1149/MAX(L$2:L1149)-1</f>
        <v>-9.1328294088820483E-3</v>
      </c>
      <c r="N1149" s="4">
        <f t="shared" si="35"/>
        <v>-9.3847753674414225E-4</v>
      </c>
    </row>
    <row r="1150" spans="1:14">
      <c r="A1150" s="3">
        <f>prices!A1151</f>
        <v>45163</v>
      </c>
      <c r="B1150" s="5">
        <f>prices!B1151/prices!B1150-1</f>
        <v>-4.6199178862651458E-3</v>
      </c>
      <c r="C1150" s="5">
        <f>prices!C1151/prices!C1150-1</f>
        <v>-1.9041944091816587E-3</v>
      </c>
      <c r="D1150" s="5">
        <f>prices!D1151/prices!D1150-1</f>
        <v>-1.1281278104004588E-2</v>
      </c>
      <c r="E1150" s="5">
        <f>prices!E1151/prices!E1150-1</f>
        <v>-2.4630351696715014E-3</v>
      </c>
      <c r="F1150" s="5">
        <f>prices!F1151/prices!F1150-1</f>
        <v>-1.6742888148205459E-2</v>
      </c>
      <c r="G1150" s="5">
        <f>prices!G1151/prices!G1150-1</f>
        <v>-7.1028109821215102E-3</v>
      </c>
      <c r="H1150" s="5">
        <f>prices!H1151/prices!H1150-1</f>
        <v>-1.0732827934757716E-2</v>
      </c>
      <c r="I1150" s="5">
        <f>prices!I1151/prices!I1150-1</f>
        <v>-1.8509885440469609E-2</v>
      </c>
      <c r="J1150" s="5">
        <f>prices!J1151/prices!J1150-1</f>
        <v>-6.2362341192674364E-3</v>
      </c>
      <c r="K1150" s="8">
        <f>SUMPRODUCT(B1150:I1150,weights!$B$5:$I$5)</f>
        <v>-9.8484770316349824E-3</v>
      </c>
      <c r="L1150" s="4">
        <f t="shared" si="34"/>
        <v>220.67199856066989</v>
      </c>
      <c r="M1150" s="4">
        <f>L1150/MAX(L$2:L1150)-1</f>
        <v>-1.8891361979849863E-2</v>
      </c>
      <c r="N1150" s="4">
        <f t="shared" si="35"/>
        <v>-1.2119824778975663E-2</v>
      </c>
    </row>
    <row r="1151" spans="1:14">
      <c r="A1151" s="3">
        <f>prices!A1152</f>
        <v>45166</v>
      </c>
      <c r="B1151" s="5">
        <f>prices!B1152/prices!B1151-1</f>
        <v>-9.9633447317277746E-3</v>
      </c>
      <c r="C1151" s="5">
        <f>prices!C1152/prices!C1151-1</f>
        <v>-1.7034172171678241E-3</v>
      </c>
      <c r="D1151" s="5">
        <f>prices!D1152/prices!D1151-1</f>
        <v>1.0406773766369337E-2</v>
      </c>
      <c r="E1151" s="5">
        <f>prices!E1152/prices!E1151-1</f>
        <v>-3.1347719743645142E-3</v>
      </c>
      <c r="F1151" s="5">
        <f>prices!F1152/prices!F1151-1</f>
        <v>-4.3883852319012151E-3</v>
      </c>
      <c r="G1151" s="5">
        <f>prices!G1152/prices!G1151-1</f>
        <v>9.6776641765963234E-3</v>
      </c>
      <c r="H1151" s="5">
        <f>prices!H1152/prices!H1151-1</f>
        <v>9.6788875781417261E-3</v>
      </c>
      <c r="I1151" s="5">
        <f>prices!I1152/prices!I1151-1</f>
        <v>2.158813956566763E-2</v>
      </c>
      <c r="J1151" s="5">
        <f>prices!J1152/prices!J1151-1</f>
        <v>2.0891943236200916E-3</v>
      </c>
      <c r="K1151" s="8">
        <f>SUMPRODUCT(B1151:I1151,weights!$B$5:$I$5)</f>
        <v>6.3170643560174948E-3</v>
      </c>
      <c r="L1151" s="4">
        <f t="shared" si="34"/>
        <v>222.06599777714865</v>
      </c>
      <c r="M1151" s="4">
        <f>L1151/MAX(L$2:L1151)-1</f>
        <v>-1.2693635573231776E-2</v>
      </c>
      <c r="N1151" s="4">
        <f t="shared" si="35"/>
        <v>-3.1610908525825376E-3</v>
      </c>
    </row>
    <row r="1152" spans="1:14">
      <c r="A1152" s="3">
        <f>prices!A1153</f>
        <v>45167</v>
      </c>
      <c r="B1152" s="5">
        <f>prices!B1153/prices!B1152-1</f>
        <v>-9.5749262830069348E-3</v>
      </c>
      <c r="C1152" s="5">
        <f>prices!C1153/prices!C1152-1</f>
        <v>1.7875773127196126E-4</v>
      </c>
      <c r="D1152" s="5">
        <f>prices!D1153/prices!D1152-1</f>
        <v>7.9563657545309585E-3</v>
      </c>
      <c r="E1152" s="5">
        <f>prices!E1153/prices!E1152-1</f>
        <v>1.4131422226708601E-3</v>
      </c>
      <c r="F1152" s="5">
        <f>prices!F1153/prices!F1152-1</f>
        <v>-2.9560810810811411E-3</v>
      </c>
      <c r="G1152" s="5">
        <f>prices!G1153/prices!G1152-1</f>
        <v>2.453675466252081E-3</v>
      </c>
      <c r="H1152" s="5">
        <f>prices!H1153/prices!H1152-1</f>
        <v>-4.839050957230473E-3</v>
      </c>
      <c r="I1152" s="5">
        <f>prices!I1153/prices!I1152-1</f>
        <v>8.7538443362971119E-3</v>
      </c>
      <c r="J1152" s="5">
        <f>prices!J1153/prices!J1152-1</f>
        <v>1.8957787843707496E-3</v>
      </c>
      <c r="K1152" s="8">
        <f>SUMPRODUCT(B1152:I1152,weights!$B$5:$I$5)</f>
        <v>7.3260079718747914E-4</v>
      </c>
      <c r="L1152" s="4">
        <f t="shared" si="34"/>
        <v>222.22868350414842</v>
      </c>
      <c r="M1152" s="4">
        <f>L1152/MAX(L$2:L1152)-1</f>
        <v>-1.1970334143584505E-2</v>
      </c>
      <c r="N1152" s="4">
        <f t="shared" si="35"/>
        <v>-1.1970334143584505E-2</v>
      </c>
    </row>
    <row r="1153" spans="1:14">
      <c r="A1153" s="3">
        <f>prices!A1154</f>
        <v>45168</v>
      </c>
      <c r="B1153" s="5">
        <f>prices!B1154/prices!B1153-1</f>
        <v>-9.5336856894367994E-4</v>
      </c>
      <c r="C1153" s="5">
        <f>prices!C1154/prices!C1153-1</f>
        <v>4.3836560146099934E-3</v>
      </c>
      <c r="D1153" s="5">
        <f>prices!D1154/prices!D1153-1</f>
        <v>-7.2893955711995639E-3</v>
      </c>
      <c r="E1153" s="5">
        <f>prices!E1154/prices!E1153-1</f>
        <v>1.2343668829910115E-2</v>
      </c>
      <c r="F1153" s="5">
        <f>prices!F1154/prices!F1153-1</f>
        <v>6.1414654807285807E-3</v>
      </c>
      <c r="G1153" s="5">
        <f>prices!G1154/prices!G1153-1</f>
        <v>1.8204877986076839E-2</v>
      </c>
      <c r="H1153" s="5">
        <f>prices!H1154/prices!H1153-1</f>
        <v>2.9674687768668218E-3</v>
      </c>
      <c r="I1153" s="5">
        <f>prices!I1154/prices!I1153-1</f>
        <v>-3.6570254178377448E-3</v>
      </c>
      <c r="J1153" s="5">
        <f>prices!J1154/prices!J1153-1</f>
        <v>2.4815627641494586E-4</v>
      </c>
      <c r="K1153" s="8">
        <f>SUMPRODUCT(B1153:I1153,weights!$B$5:$I$5)</f>
        <v>4.5471203699918401E-3</v>
      </c>
      <c r="L1153" s="4">
        <f t="shared" si="34"/>
        <v>223.2391840777066</v>
      </c>
      <c r="M1153" s="4">
        <f>L1153/MAX(L$2:L1153)-1</f>
        <v>-7.4776443238125934E-3</v>
      </c>
      <c r="N1153" s="4">
        <f t="shared" si="35"/>
        <v>-4.273669019710491E-3</v>
      </c>
    </row>
    <row r="1154" spans="1:14">
      <c r="A1154" s="3">
        <f>prices!A1155</f>
        <v>45169</v>
      </c>
      <c r="B1154" s="5">
        <f>prices!B1155/prices!B1154-1</f>
        <v>-4.5704910348058903E-3</v>
      </c>
      <c r="C1154" s="5">
        <f>prices!C1155/prices!C1154-1</f>
        <v>-1.0071728305989014E-2</v>
      </c>
      <c r="D1154" s="5">
        <f>prices!D1155/prices!D1154-1</f>
        <v>-4.5909794530516468E-3</v>
      </c>
      <c r="E1154" s="5">
        <f>prices!E1155/prices!E1154-1</f>
        <v>2.144525715159773E-4</v>
      </c>
      <c r="F1154" s="5">
        <f>prices!F1155/prices!F1154-1</f>
        <v>-6.9985266259734447E-3</v>
      </c>
      <c r="G1154" s="5">
        <f>prices!G1155/prices!G1154-1</f>
        <v>2.1171212873578593E-2</v>
      </c>
      <c r="H1154" s="5">
        <f>prices!H1155/prices!H1154-1</f>
        <v>-2.9586889597581489E-3</v>
      </c>
      <c r="I1154" s="5">
        <f>prices!I1155/prices!I1154-1</f>
        <v>-2.3281562822302648E-3</v>
      </c>
      <c r="J1154" s="5">
        <f>prices!J1155/prices!J1154-1</f>
        <v>-4.840431167931758E-3</v>
      </c>
      <c r="K1154" s="8">
        <f>SUMPRODUCT(B1154:I1154,weights!$B$5:$I$5)</f>
        <v>8.3611608845503586E-4</v>
      </c>
      <c r="L1154" s="4">
        <f t="shared" si="34"/>
        <v>223.42583795108757</v>
      </c>
      <c r="M1154" s="4">
        <f>L1154/MAX(L$2:L1154)-1</f>
        <v>-6.6477804140803176E-3</v>
      </c>
      <c r="N1154" s="4">
        <f t="shared" si="35"/>
        <v>3.9981742161725453E-3</v>
      </c>
    </row>
    <row r="1155" spans="1:14">
      <c r="A1155" s="3">
        <f>prices!A1156</f>
        <v>45170</v>
      </c>
      <c r="B1155" s="5">
        <f>prices!B1156/prices!B1155-1</f>
        <v>2.346193952033282E-3</v>
      </c>
      <c r="C1155" s="5">
        <f>prices!C1156/prices!C1155-1</f>
        <v>6.6738569140765147E-3</v>
      </c>
      <c r="D1155" s="5">
        <f>prices!D1156/prices!D1155-1</f>
        <v>2.0601839544898137E-3</v>
      </c>
      <c r="E1155" s="5">
        <f>prices!E1156/prices!E1155-1</f>
        <v>5.8502369958572942E-3</v>
      </c>
      <c r="F1155" s="5">
        <f>prices!F1156/prices!F1155-1</f>
        <v>3.0734990196596979E-3</v>
      </c>
      <c r="G1155" s="5">
        <f>prices!G1156/prices!G1155-1</f>
        <v>3.2732367667360318E-2</v>
      </c>
      <c r="H1155" s="5">
        <f>prices!H1156/prices!H1155-1</f>
        <v>-2.3388461076239153E-3</v>
      </c>
      <c r="I1155" s="5">
        <f>prices!I1156/prices!I1155-1</f>
        <v>-2.2043676885297181E-4</v>
      </c>
      <c r="J1155" s="5">
        <f>prices!J1156/prices!J1155-1</f>
        <v>9.4267105714196386E-3</v>
      </c>
      <c r="K1155" s="8">
        <f>SUMPRODUCT(B1155:I1155,weights!$B$5:$I$5)</f>
        <v>7.7568510358905184E-3</v>
      </c>
      <c r="L1155" s="4">
        <f t="shared" si="34"/>
        <v>225.15891889364318</v>
      </c>
      <c r="M1155" s="4">
        <f>L1155/MAX(L$2:L1155)-1</f>
        <v>0</v>
      </c>
      <c r="N1155" s="4">
        <f t="shared" si="35"/>
        <v>1.568063164965805E-2</v>
      </c>
    </row>
    <row r="1156" spans="1:14">
      <c r="A1156" s="3">
        <f>prices!A1157</f>
        <v>45173</v>
      </c>
      <c r="B1156" s="5">
        <f>prices!B1157/prices!B1156-1</f>
        <v>-8.0540291119601815E-4</v>
      </c>
      <c r="C1156" s="5">
        <f>prices!C1157/prices!C1156-1</f>
        <v>1.1629417035699863E-2</v>
      </c>
      <c r="D1156" s="5">
        <f>prices!D1157/prices!D1156-1</f>
        <v>6.2606942473240057E-3</v>
      </c>
      <c r="E1156" s="5">
        <f>prices!E1157/prices!E1156-1</f>
        <v>1.4715622311715526E-2</v>
      </c>
      <c r="F1156" s="5">
        <f>prices!F1157/prices!F1156-1</f>
        <v>-8.0564213640446081E-3</v>
      </c>
      <c r="G1156" s="5">
        <f>prices!G1157/prices!G1156-1</f>
        <v>3.019656196131093E-3</v>
      </c>
      <c r="H1156" s="5">
        <f>prices!H1157/prices!H1156-1</f>
        <v>-9.2661230541302153E-5</v>
      </c>
      <c r="I1156" s="5">
        <f>prices!I1157/prices!I1156-1</f>
        <v>3.330089410619852E-3</v>
      </c>
      <c r="J1156" s="5">
        <f>prices!J1157/prices!J1156-1</f>
        <v>4.8108338950261231E-3</v>
      </c>
      <c r="K1156" s="8">
        <f>SUMPRODUCT(B1156:I1156,weights!$B$5:$I$5)</f>
        <v>3.186522567422051E-3</v>
      </c>
      <c r="L1156" s="4">
        <f t="shared" ref="L1156:L1219" si="36">L1155*(1+K1156)</f>
        <v>225.87639286995415</v>
      </c>
      <c r="M1156" s="4">
        <f>L1156/MAX(L$2:L1156)-1</f>
        <v>0</v>
      </c>
      <c r="N1156" s="4">
        <f t="shared" si="35"/>
        <v>1.3823605613544343E-2</v>
      </c>
    </row>
    <row r="1157" spans="1:14">
      <c r="A1157" s="3">
        <f>prices!A1158</f>
        <v>45174</v>
      </c>
      <c r="B1157" s="5">
        <f>prices!B1158/prices!B1157-1</f>
        <v>5.3484915910291253E-3</v>
      </c>
      <c r="C1157" s="5">
        <f>prices!C1158/prices!C1157-1</f>
        <v>3.174002066792081E-3</v>
      </c>
      <c r="D1157" s="5">
        <f>prices!D1158/prices!D1157-1</f>
        <v>-6.0899252600081777E-3</v>
      </c>
      <c r="E1157" s="5">
        <f>prices!E1158/prices!E1157-1</f>
        <v>9.4230624953108855E-3</v>
      </c>
      <c r="F1157" s="5">
        <f>prices!F1158/prices!F1157-1</f>
        <v>1.2808563896359759E-2</v>
      </c>
      <c r="G1157" s="5">
        <f>prices!G1158/prices!G1157-1</f>
        <v>-9.6841343107973987E-3</v>
      </c>
      <c r="H1157" s="5">
        <f>prices!H1158/prices!H1157-1</f>
        <v>2.0748772124919102E-2</v>
      </c>
      <c r="I1157" s="5">
        <f>prices!I1158/prices!I1157-1</f>
        <v>8.0588939575345631E-3</v>
      </c>
      <c r="J1157" s="5">
        <f>prices!J1158/prices!J1157-1</f>
        <v>2.3606161156857208E-3</v>
      </c>
      <c r="K1157" s="8">
        <f>SUMPRODUCT(B1157:I1157,weights!$B$5:$I$5)</f>
        <v>5.2110166982700153E-3</v>
      </c>
      <c r="L1157" s="4">
        <f t="shared" si="36"/>
        <v>227.05343852494445</v>
      </c>
      <c r="M1157" s="4">
        <f>L1157/MAX(L$2:L1157)-1</f>
        <v>0</v>
      </c>
      <c r="N1157" s="4">
        <f t="shared" si="35"/>
        <v>1.1750261532007311E-2</v>
      </c>
    </row>
    <row r="1158" spans="1:14">
      <c r="A1158" s="3">
        <f>prices!A1159</f>
        <v>45175</v>
      </c>
      <c r="B1158" s="5">
        <f>prices!B1159/prices!B1158-1</f>
        <v>2.1046301864102723E-3</v>
      </c>
      <c r="C1158" s="5">
        <f>prices!C1159/prices!C1158-1</f>
        <v>1.5995751528397051E-4</v>
      </c>
      <c r="D1158" s="5">
        <f>prices!D1159/prices!D1158-1</f>
        <v>1.3076749645230201E-2</v>
      </c>
      <c r="E1158" s="5">
        <f>prices!E1159/prices!E1158-1</f>
        <v>-9.8107710374140122E-4</v>
      </c>
      <c r="F1158" s="5">
        <f>prices!F1159/prices!F1158-1</f>
        <v>9.8070147762527871E-3</v>
      </c>
      <c r="G1158" s="5">
        <f>prices!G1159/prices!G1158-1</f>
        <v>-8.1117018605593172E-3</v>
      </c>
      <c r="H1158" s="5">
        <f>prices!H1159/prices!H1158-1</f>
        <v>9.2238694858783887E-3</v>
      </c>
      <c r="I1158" s="5">
        <f>prices!I1159/prices!I1158-1</f>
        <v>-9.1333125359427392E-4</v>
      </c>
      <c r="J1158" s="5">
        <f>prices!J1159/prices!J1158-1</f>
        <v>1.8467527292602703E-3</v>
      </c>
      <c r="K1158" s="8">
        <f>SUMPRODUCT(B1158:I1158,weights!$B$5:$I$5)</f>
        <v>1.6256135127277378E-3</v>
      </c>
      <c r="L1158" s="4">
        <f t="shared" si="36"/>
        <v>227.4225396627219</v>
      </c>
      <c r="M1158" s="4">
        <f>L1158/MAX(L$2:L1158)-1</f>
        <v>0</v>
      </c>
      <c r="N1158" s="4">
        <f t="shared" si="35"/>
        <v>1.6726668494856156E-2</v>
      </c>
    </row>
    <row r="1159" spans="1:14">
      <c r="A1159" s="3">
        <f>prices!A1160</f>
        <v>45176</v>
      </c>
      <c r="B1159" s="5">
        <f>prices!B1160/prices!B1159-1</f>
        <v>1.3584691802512872E-3</v>
      </c>
      <c r="C1159" s="5">
        <f>prices!C1160/prices!C1159-1</f>
        <v>7.3920539418423914E-3</v>
      </c>
      <c r="D1159" s="5">
        <f>prices!D1160/prices!D1159-1</f>
        <v>9.622056109023891E-3</v>
      </c>
      <c r="E1159" s="5">
        <f>prices!E1160/prices!E1159-1</f>
        <v>-7.6182540509173169E-3</v>
      </c>
      <c r="F1159" s="5">
        <f>prices!F1160/prices!F1159-1</f>
        <v>-3.4629104069570094E-3</v>
      </c>
      <c r="G1159" s="5">
        <f>prices!G1160/prices!G1159-1</f>
        <v>1.0010681975811009E-2</v>
      </c>
      <c r="H1159" s="5">
        <f>prices!H1160/prices!H1159-1</f>
        <v>-8.1410515899790203E-3</v>
      </c>
      <c r="I1159" s="5">
        <f>prices!I1160/prices!I1159-1</f>
        <v>4.2465464832816657E-2</v>
      </c>
      <c r="J1159" s="5">
        <f>prices!J1160/prices!J1159-1</f>
        <v>5.91503259641879E-3</v>
      </c>
      <c r="K1159" s="8">
        <f>SUMPRODUCT(B1159:I1159,weights!$B$5:$I$5)</f>
        <v>9.6852533073586607E-3</v>
      </c>
      <c r="L1159" s="4">
        <f t="shared" si="36"/>
        <v>229.62518456715816</v>
      </c>
      <c r="M1159" s="4">
        <f>L1159/MAX(L$2:L1159)-1</f>
        <v>0</v>
      </c>
      <c r="N1159" s="4">
        <f t="shared" si="35"/>
        <v>2.4056896130979943E-2</v>
      </c>
    </row>
    <row r="1160" spans="1:14">
      <c r="A1160" s="3">
        <f>prices!A1161</f>
        <v>45177</v>
      </c>
      <c r="B1160" s="5">
        <f>prices!B1161/prices!B1160-1</f>
        <v>6.6582883205299481E-3</v>
      </c>
      <c r="C1160" s="5">
        <f>prices!C1161/prices!C1160-1</f>
        <v>-3.86417902865277E-3</v>
      </c>
      <c r="D1160" s="5">
        <f>prices!D1161/prices!D1160-1</f>
        <v>7.7928476958584181E-3</v>
      </c>
      <c r="E1160" s="5">
        <f>prices!E1161/prices!E1160-1</f>
        <v>2.3165154809206001E-3</v>
      </c>
      <c r="F1160" s="5">
        <f>prices!F1161/prices!F1160-1</f>
        <v>-7.289543815645172E-3</v>
      </c>
      <c r="G1160" s="5">
        <f>prices!G1161/prices!G1160-1</f>
        <v>4.9853037296045954E-3</v>
      </c>
      <c r="H1160" s="5">
        <f>prices!H1161/prices!H1160-1</f>
        <v>-2.2945764556502324E-3</v>
      </c>
      <c r="I1160" s="5">
        <f>prices!I1161/prices!I1160-1</f>
        <v>1.9393440729834399E-2</v>
      </c>
      <c r="J1160" s="5">
        <f>prices!J1161/prices!J1160-1</f>
        <v>4.7092697590365162E-3</v>
      </c>
      <c r="K1160" s="8">
        <f>SUMPRODUCT(B1160:I1160,weights!$B$5:$I$5)</f>
        <v>5.117845821396013E-3</v>
      </c>
      <c r="L1160" s="4">
        <f t="shared" si="36"/>
        <v>230.80037085848249</v>
      </c>
      <c r="M1160" s="4">
        <f>L1160/MAX(L$2:L1160)-1</f>
        <v>0</v>
      </c>
      <c r="N1160" s="4">
        <f t="shared" si="35"/>
        <v>3.3913156623380347E-2</v>
      </c>
    </row>
    <row r="1161" spans="1:14">
      <c r="A1161" s="3">
        <f>prices!A1162</f>
        <v>45180</v>
      </c>
      <c r="B1161" s="5">
        <f>prices!B1162/prices!B1161-1</f>
        <v>1.0789493265867867E-2</v>
      </c>
      <c r="C1161" s="5">
        <f>prices!C1162/prices!C1161-1</f>
        <v>1.1258195819932704E-2</v>
      </c>
      <c r="D1161" s="5">
        <f>prices!D1162/prices!D1161-1</f>
        <v>5.1722141451049364E-3</v>
      </c>
      <c r="E1161" s="5">
        <f>prices!E1162/prices!E1161-1</f>
        <v>4.6672002034420235E-3</v>
      </c>
      <c r="F1161" s="5">
        <f>prices!F1162/prices!F1161-1</f>
        <v>1.0290827740492281E-2</v>
      </c>
      <c r="G1161" s="5">
        <f>prices!G1162/prices!G1161-1</f>
        <v>1.9536062164278611E-2</v>
      </c>
      <c r="H1161" s="5">
        <f>prices!H1162/prices!H1161-1</f>
        <v>5.7087276264238263E-3</v>
      </c>
      <c r="I1161" s="5">
        <f>prices!I1162/prices!I1161-1</f>
        <v>-2.5524111612231781E-3</v>
      </c>
      <c r="J1161" s="5">
        <f>prices!J1162/prices!J1161-1</f>
        <v>8.9001233605532359E-3</v>
      </c>
      <c r="K1161" s="8">
        <f>SUMPRODUCT(B1161:I1161,weights!$B$5:$I$5)</f>
        <v>8.1579298009489664E-3</v>
      </c>
      <c r="L1161" s="4">
        <f t="shared" si="36"/>
        <v>232.68322408197895</v>
      </c>
      <c r="M1161" s="4">
        <f>L1161/MAX(L$2:L1161)-1</f>
        <v>0</v>
      </c>
      <c r="N1161" s="4">
        <f t="shared" si="35"/>
        <v>4.7842213164367875E-2</v>
      </c>
    </row>
    <row r="1162" spans="1:14">
      <c r="A1162" s="3">
        <f>prices!A1163</f>
        <v>45181</v>
      </c>
      <c r="B1162" s="5">
        <f>prices!B1163/prices!B1162-1</f>
        <v>-1.4453278366705846E-2</v>
      </c>
      <c r="C1162" s="5">
        <f>prices!C1163/prices!C1162-1</f>
        <v>2.8774597410948122E-2</v>
      </c>
      <c r="D1162" s="5">
        <f>prices!D1163/prices!D1162-1</f>
        <v>3.1232000000001037E-3</v>
      </c>
      <c r="E1162" s="5">
        <f>prices!E1163/prices!E1162-1</f>
        <v>1.6691110234286155E-2</v>
      </c>
      <c r="F1162" s="5">
        <f>prices!F1163/prices!F1162-1</f>
        <v>8.8313447611108042E-3</v>
      </c>
      <c r="G1162" s="5">
        <f>prices!G1163/prices!G1162-1</f>
        <v>-2.8715670831336304E-3</v>
      </c>
      <c r="H1162" s="5">
        <f>prices!H1163/prices!H1162-1</f>
        <v>7.348488272246767E-3</v>
      </c>
      <c r="I1162" s="5">
        <f>prices!I1163/prices!I1162-1</f>
        <v>1.724180765695249E-2</v>
      </c>
      <c r="J1162" s="5">
        <f>prices!J1163/prices!J1162-1</f>
        <v>-1.5752874899654934E-4</v>
      </c>
      <c r="K1162" s="8">
        <f>SUMPRODUCT(B1162:I1162,weights!$B$5:$I$5)</f>
        <v>7.0183513962440401E-3</v>
      </c>
      <c r="L1162" s="4">
        <f t="shared" si="36"/>
        <v>234.31627671259727</v>
      </c>
      <c r="M1162" s="4">
        <f>L1162/MAX(L$2:L1162)-1</f>
        <v>0</v>
      </c>
      <c r="N1162" s="4">
        <f t="shared" si="35"/>
        <v>5.1293477183784519E-2</v>
      </c>
    </row>
    <row r="1163" spans="1:14">
      <c r="A1163" s="3">
        <f>prices!A1164</f>
        <v>45182</v>
      </c>
      <c r="B1163" s="5">
        <f>prices!B1164/prices!B1163-1</f>
        <v>5.0046062296142946E-3</v>
      </c>
      <c r="C1163" s="5">
        <f>prices!C1164/prices!C1163-1</f>
        <v>-3.6153289949385492E-3</v>
      </c>
      <c r="D1163" s="5">
        <f>prices!D1164/prices!D1163-1</f>
        <v>4.2874095624543251E-3</v>
      </c>
      <c r="E1163" s="5">
        <f>prices!E1164/prices!E1163-1</f>
        <v>-1.8306301028814254E-3</v>
      </c>
      <c r="F1163" s="5">
        <f>prices!F1164/prices!F1163-1</f>
        <v>5.1904454486766394E-3</v>
      </c>
      <c r="G1163" s="5">
        <f>prices!G1164/prices!G1163-1</f>
        <v>-2.8749307023955284E-3</v>
      </c>
      <c r="H1163" s="5">
        <f>prices!H1164/prices!H1163-1</f>
        <v>3.0507501256191727E-3</v>
      </c>
      <c r="I1163" s="5">
        <f>prices!I1164/prices!I1163-1</f>
        <v>-1.268600736179204E-2</v>
      </c>
      <c r="J1163" s="5">
        <f>prices!J1164/prices!J1163-1</f>
        <v>3.8413060440549707E-3</v>
      </c>
      <c r="K1163" s="8">
        <f>SUMPRODUCT(B1163:I1163,weights!$B$5:$I$5)</f>
        <v>-1.6804744571073372E-3</v>
      </c>
      <c r="L1163" s="4">
        <f t="shared" si="36"/>
        <v>233.92251419469727</v>
      </c>
      <c r="M1163" s="4">
        <f>L1163/MAX(L$2:L1163)-1</f>
        <v>-1.6804744571072838E-3</v>
      </c>
      <c r="N1163" s="4">
        <f t="shared" si="35"/>
        <v>4.201635635047607E-2</v>
      </c>
    </row>
    <row r="1164" spans="1:14">
      <c r="A1164" s="3">
        <f>prices!A1165</f>
        <v>45183</v>
      </c>
      <c r="B1164" s="5">
        <f>prices!B1165/prices!B1164-1</f>
        <v>9.1665840848276225E-4</v>
      </c>
      <c r="C1164" s="5">
        <f>prices!C1165/prices!C1164-1</f>
        <v>-2.1862930801210823E-3</v>
      </c>
      <c r="D1164" s="5">
        <f>prices!D1165/prices!D1164-1</f>
        <v>-6.0987230798537073E-4</v>
      </c>
      <c r="E1164" s="5">
        <f>prices!E1165/prices!E1164-1</f>
        <v>5.7367127608847213E-3</v>
      </c>
      <c r="F1164" s="5">
        <f>prices!F1165/prices!F1164-1</f>
        <v>-7.8096901813696773E-3</v>
      </c>
      <c r="G1164" s="5">
        <f>prices!G1165/prices!G1164-1</f>
        <v>1.4081527220841661E-3</v>
      </c>
      <c r="H1164" s="5">
        <f>prices!H1165/prices!H1164-1</f>
        <v>-4.3027874190433302E-3</v>
      </c>
      <c r="I1164" s="5">
        <f>prices!I1165/prices!I1164-1</f>
        <v>4.0780411267267169E-3</v>
      </c>
      <c r="J1164" s="5">
        <f>prices!J1165/prices!J1164-1</f>
        <v>1.6492277030393243E-3</v>
      </c>
      <c r="K1164" s="8">
        <f>SUMPRODUCT(B1164:I1164,weights!$B$5:$I$5)</f>
        <v>1.4073228126277259E-4</v>
      </c>
      <c r="L1164" s="4">
        <f t="shared" si="36"/>
        <v>233.95543464375862</v>
      </c>
      <c r="M1164" s="4">
        <f>L1164/MAX(L$2:L1164)-1</f>
        <v>-1.5399786728483855E-3</v>
      </c>
      <c r="N1164" s="4">
        <f t="shared" si="35"/>
        <v>5.1139812563799181E-2</v>
      </c>
    </row>
    <row r="1165" spans="1:14">
      <c r="A1165" s="3">
        <f>prices!A1166</f>
        <v>45184</v>
      </c>
      <c r="B1165" s="5">
        <f>prices!B1166/prices!B1165-1</f>
        <v>1.8563896933243562E-3</v>
      </c>
      <c r="C1165" s="5">
        <f>prices!C1166/prices!C1165-1</f>
        <v>1.0742780364687565E-2</v>
      </c>
      <c r="D1165" s="5">
        <f>prices!D1166/prices!D1165-1</f>
        <v>1.1467510838196304E-2</v>
      </c>
      <c r="E1165" s="5">
        <f>prices!E1166/prices!E1165-1</f>
        <v>3.0854066828596149E-3</v>
      </c>
      <c r="F1165" s="5">
        <f>prices!F1166/prices!F1165-1</f>
        <v>-3.5730930557714702E-3</v>
      </c>
      <c r="G1165" s="5">
        <f>prices!G1166/prices!G1165-1</f>
        <v>3.5375411730487194E-3</v>
      </c>
      <c r="H1165" s="5">
        <f>prices!H1166/prices!H1165-1</f>
        <v>5.237765818861595E-3</v>
      </c>
      <c r="I1165" s="5">
        <f>prices!I1166/prices!I1165-1</f>
        <v>-3.4455695044222079E-3</v>
      </c>
      <c r="J1165" s="5">
        <f>prices!J1166/prices!J1165-1</f>
        <v>4.4396137909079592E-3</v>
      </c>
      <c r="K1165" s="8">
        <f>SUMPRODUCT(B1165:I1165,weights!$B$5:$I$5)</f>
        <v>2.793604428731561E-3</v>
      </c>
      <c r="L1165" s="4">
        <f t="shared" si="36"/>
        <v>234.60901358210523</v>
      </c>
      <c r="M1165" s="4">
        <f>L1165/MAX(L$2:L1165)-1</f>
        <v>0</v>
      </c>
      <c r="N1165" s="4">
        <f t="shared" si="35"/>
        <v>5.7005458217934679E-2</v>
      </c>
    </row>
    <row r="1166" spans="1:14">
      <c r="A1166" s="3">
        <f>prices!A1167</f>
        <v>45187</v>
      </c>
      <c r="B1166" s="5">
        <f>prices!B1167/prices!B1166-1</f>
        <v>-8.7047468458674171E-3</v>
      </c>
      <c r="C1166" s="5">
        <f>prices!C1167/prices!C1166-1</f>
        <v>2.1830399746327611E-3</v>
      </c>
      <c r="D1166" s="5">
        <f>prices!D1167/prices!D1166-1</f>
        <v>-1.9670936034892339E-2</v>
      </c>
      <c r="E1166" s="5">
        <f>prices!E1167/prices!E1166-1</f>
        <v>-1.3096276905177451E-2</v>
      </c>
      <c r="F1166" s="5">
        <f>prices!F1167/prices!F1166-1</f>
        <v>8.2631743062051566E-3</v>
      </c>
      <c r="G1166" s="5">
        <f>prices!G1167/prices!G1166-1</f>
        <v>-2.9963104255925632E-4</v>
      </c>
      <c r="H1166" s="5">
        <f>prices!H1167/prices!H1166-1</f>
        <v>-1.8679059790867036E-3</v>
      </c>
      <c r="I1166" s="5">
        <f>prices!I1167/prices!I1166-1</f>
        <v>3.8848117985266217E-3</v>
      </c>
      <c r="J1166" s="5">
        <f>prices!J1167/prices!J1166-1</f>
        <v>-2.9243748251194246E-3</v>
      </c>
      <c r="K1166" s="8">
        <f>SUMPRODUCT(B1166:I1166,weights!$B$5:$I$5)</f>
        <v>-2.3727501744597369E-3</v>
      </c>
      <c r="L1166" s="4">
        <f t="shared" si="36"/>
        <v>234.05234500419849</v>
      </c>
      <c r="M1166" s="4">
        <f>L1166/MAX(L$2:L1166)-1</f>
        <v>-2.3727501744597035E-3</v>
      </c>
      <c r="N1166" s="4">
        <f t="shared" si="35"/>
        <v>5.1215624361926393E-2</v>
      </c>
    </row>
    <row r="1167" spans="1:14">
      <c r="A1167" s="3">
        <f>prices!A1168</f>
        <v>45189</v>
      </c>
      <c r="B1167" s="5">
        <f>prices!B1168/prices!B1167-1</f>
        <v>-2.2289421870716253E-2</v>
      </c>
      <c r="C1167" s="5">
        <f>prices!C1168/prices!C1167-1</f>
        <v>-3.0422970559662588E-5</v>
      </c>
      <c r="D1167" s="5">
        <f>prices!D1168/prices!D1167-1</f>
        <v>-4.0118470651588689E-2</v>
      </c>
      <c r="E1167" s="5">
        <f>prices!E1168/prices!E1167-1</f>
        <v>-1.0389112799240596E-3</v>
      </c>
      <c r="F1167" s="5">
        <f>prices!F1168/prices!F1167-1</f>
        <v>1.9844337920726929E-3</v>
      </c>
      <c r="G1167" s="5">
        <f>prices!G1168/prices!G1167-1</f>
        <v>-1.6664870953523647E-2</v>
      </c>
      <c r="H1167" s="5">
        <f>prices!H1168/prices!H1167-1</f>
        <v>4.7904298851193516E-3</v>
      </c>
      <c r="I1167" s="5">
        <f>prices!I1168/prices!I1167-1</f>
        <v>-1.0223251036045156E-2</v>
      </c>
      <c r="J1167" s="5">
        <f>prices!J1168/prices!J1167-1</f>
        <v>-1.1518230990448575E-2</v>
      </c>
      <c r="K1167" s="8">
        <f>SUMPRODUCT(B1167:I1167,weights!$B$5:$I$5)</f>
        <v>-1.0275444987429369E-2</v>
      </c>
      <c r="L1167" s="4">
        <f t="shared" si="36"/>
        <v>231.647353008929</v>
      </c>
      <c r="M1167" s="4">
        <f>L1167/MAX(L$2:L1167)-1</f>
        <v>-1.2623814098002506E-2</v>
      </c>
      <c r="N1167" s="4">
        <f t="shared" si="35"/>
        <v>3.7724730003965812E-2</v>
      </c>
    </row>
    <row r="1168" spans="1:14">
      <c r="A1168" s="3">
        <f>prices!A1169</f>
        <v>45190</v>
      </c>
      <c r="B1168" s="5">
        <f>prices!B1169/prices!B1168-1</f>
        <v>-7.2819658758753736E-3</v>
      </c>
      <c r="C1168" s="5">
        <f>prices!C1169/prices!C1168-1</f>
        <v>-5.7531587610172297E-3</v>
      </c>
      <c r="D1168" s="5">
        <f>prices!D1169/prices!D1168-1</f>
        <v>-6.6252587991717515E-3</v>
      </c>
      <c r="E1168" s="5">
        <f>prices!E1169/prices!E1168-1</f>
        <v>7.7151160217734382E-3</v>
      </c>
      <c r="F1168" s="5">
        <f>prices!F1169/prices!F1168-1</f>
        <v>-1.203734663957412E-2</v>
      </c>
      <c r="G1168" s="5">
        <f>prices!G1169/prices!G1168-1</f>
        <v>-6.0362413540305804E-3</v>
      </c>
      <c r="H1168" s="5">
        <f>prices!H1169/prices!H1168-1</f>
        <v>-6.068653311470884E-3</v>
      </c>
      <c r="I1168" s="5">
        <f>prices!I1169/prices!I1168-1</f>
        <v>3.2379828539745859E-3</v>
      </c>
      <c r="J1168" s="5">
        <f>prices!J1169/prices!J1168-1</f>
        <v>-7.9919000673320806E-3</v>
      </c>
      <c r="K1168" s="8">
        <f>SUMPRODUCT(B1168:I1168,weights!$B$5:$I$5)</f>
        <v>-3.7278760174627155E-3</v>
      </c>
      <c r="L1168" s="4">
        <f t="shared" si="36"/>
        <v>230.78380039713829</v>
      </c>
      <c r="M1168" s="4">
        <f>L1168/MAX(L$2:L1168)-1</f>
        <v>-1.6304630101640294E-2</v>
      </c>
      <c r="N1168" s="4">
        <f t="shared" si="35"/>
        <v>3.0201118854732201E-2</v>
      </c>
    </row>
    <row r="1169" spans="1:14">
      <c r="A1169" s="3">
        <f>prices!A1170</f>
        <v>45191</v>
      </c>
      <c r="B1169" s="5">
        <f>prices!B1170/prices!B1169-1</f>
        <v>-4.168414205133808E-3</v>
      </c>
      <c r="C1169" s="5">
        <f>prices!C1170/prices!C1169-1</f>
        <v>5.1193703755836317E-3</v>
      </c>
      <c r="D1169" s="5">
        <f>prices!D1170/prices!D1169-1</f>
        <v>-1.5248288937595E-2</v>
      </c>
      <c r="E1169" s="5">
        <f>prices!E1170/prices!E1169-1</f>
        <v>-3.7255533434827903E-3</v>
      </c>
      <c r="F1169" s="5">
        <f>prices!F1170/prices!F1169-1</f>
        <v>-9.8148967743616478E-3</v>
      </c>
      <c r="G1169" s="5">
        <f>prices!G1170/prices!G1169-1</f>
        <v>2.4391808200618037E-2</v>
      </c>
      <c r="H1169" s="5">
        <f>prices!H1170/prices!H1169-1</f>
        <v>-1.2041063343344982E-2</v>
      </c>
      <c r="I1169" s="5">
        <f>prices!I1170/prices!I1169-1</f>
        <v>6.6038638271941341E-3</v>
      </c>
      <c r="J1169" s="5">
        <f>prices!J1170/prices!J1169-1</f>
        <v>-3.4494373770092013E-3</v>
      </c>
      <c r="K1169" s="8">
        <f>SUMPRODUCT(B1169:I1169,weights!$B$5:$I$5)</f>
        <v>1.8746698839485459E-3</v>
      </c>
      <c r="L1169" s="4">
        <f t="shared" si="36"/>
        <v>231.21644383744598</v>
      </c>
      <c r="M1169" s="4">
        <f>L1169/MAX(L$2:L1169)-1</f>
        <v>-1.4460526016712327E-2</v>
      </c>
      <c r="N1169" s="4">
        <f t="shared" si="35"/>
        <v>3.7464270474868222E-2</v>
      </c>
    </row>
    <row r="1170" spans="1:14">
      <c r="A1170" s="3">
        <f>prices!A1171</f>
        <v>45194</v>
      </c>
      <c r="B1170" s="5">
        <f>prices!B1171/prices!B1170-1</f>
        <v>-6.1541635150932361E-3</v>
      </c>
      <c r="C1170" s="5">
        <f>prices!C1171/prices!C1170-1</f>
        <v>-7.3552916391400602E-3</v>
      </c>
      <c r="D1170" s="5">
        <f>prices!D1171/prices!D1170-1</f>
        <v>8.7389909196411431E-4</v>
      </c>
      <c r="E1170" s="5">
        <f>prices!E1171/prices!E1170-1</f>
        <v>-1.4708151195680141E-2</v>
      </c>
      <c r="F1170" s="5">
        <f>prices!F1171/prices!F1170-1</f>
        <v>-1.1305673870746213E-3</v>
      </c>
      <c r="G1170" s="5">
        <f>prices!G1171/prices!G1170-1</f>
        <v>5.0361176111506367E-3</v>
      </c>
      <c r="H1170" s="5">
        <f>prices!H1171/prices!H1170-1</f>
        <v>-7.3235806592131247E-3</v>
      </c>
      <c r="I1170" s="5">
        <f>prices!I1171/prices!I1170-1</f>
        <v>-5.483540579256152E-3</v>
      </c>
      <c r="J1170" s="5">
        <f>prices!J1171/prices!J1170-1</f>
        <v>1.5248357624786379E-5</v>
      </c>
      <c r="K1170" s="8">
        <f>SUMPRODUCT(B1170:I1170,weights!$B$5:$I$5)</f>
        <v>-3.9111881704876287E-3</v>
      </c>
      <c r="L1170" s="4">
        <f t="shared" si="36"/>
        <v>230.31211281748674</v>
      </c>
      <c r="M1170" s="4">
        <f>L1170/MAX(L$2:L1170)-1</f>
        <v>-1.831515634890446E-2</v>
      </c>
      <c r="N1170" s="4">
        <f t="shared" si="35"/>
        <v>4.368526283214158E-2</v>
      </c>
    </row>
    <row r="1171" spans="1:14">
      <c r="A1171" s="3">
        <f>prices!A1172</f>
        <v>45195</v>
      </c>
      <c r="B1171" s="5">
        <f>prices!B1172/prices!B1171-1</f>
        <v>8.7349084996701798E-4</v>
      </c>
      <c r="C1171" s="5">
        <f>prices!C1172/prices!C1171-1</f>
        <v>2.3922344389748496E-3</v>
      </c>
      <c r="D1171" s="5">
        <f>prices!D1172/prices!D1171-1</f>
        <v>4.3520375448504733E-3</v>
      </c>
      <c r="E1171" s="5">
        <f>prices!E1172/prices!E1171-1</f>
        <v>-9.1564576141016651E-3</v>
      </c>
      <c r="F1171" s="5">
        <f>prices!F1172/prices!F1171-1</f>
        <v>-3.4218630728344301E-4</v>
      </c>
      <c r="G1171" s="5">
        <f>prices!G1172/prices!G1171-1</f>
        <v>-2.9804431535462861E-3</v>
      </c>
      <c r="H1171" s="5">
        <f>prices!H1172/prices!H1171-1</f>
        <v>1.5998537276591396E-3</v>
      </c>
      <c r="I1171" s="5">
        <f>prices!I1172/prices!I1171-1</f>
        <v>3.4646895404597533E-3</v>
      </c>
      <c r="J1171" s="5">
        <f>prices!J1172/prices!J1171-1</f>
        <v>-5.0064677464023433E-4</v>
      </c>
      <c r="K1171" s="8">
        <f>SUMPRODUCT(B1171:I1171,weights!$B$5:$I$5)</f>
        <v>1.8451374246449524E-4</v>
      </c>
      <c r="L1171" s="4">
        <f t="shared" si="36"/>
        <v>230.35460856735762</v>
      </c>
      <c r="M1171" s="4">
        <f>L1171/MAX(L$2:L1171)-1</f>
        <v>-1.8134022004481554E-2</v>
      </c>
      <c r="N1171" s="4">
        <f t="shared" si="35"/>
        <v>3.7324988396138403E-2</v>
      </c>
    </row>
    <row r="1172" spans="1:14">
      <c r="A1172" s="3">
        <f>prices!A1173</f>
        <v>45196</v>
      </c>
      <c r="B1172" s="5">
        <f>prices!B1173/prices!B1172-1</f>
        <v>1.1276343872322458E-2</v>
      </c>
      <c r="C1172" s="5">
        <f>prices!C1173/prices!C1172-1</f>
        <v>1.0035644897272711E-3</v>
      </c>
      <c r="D1172" s="5">
        <f>prices!D1173/prices!D1172-1</f>
        <v>-7.0227390040478177E-3</v>
      </c>
      <c r="E1172" s="5">
        <f>prices!E1173/prices!E1172-1</f>
        <v>4.3496256161343894E-3</v>
      </c>
      <c r="F1172" s="5">
        <f>prices!F1173/prices!F1172-1</f>
        <v>1.5140344409921624E-2</v>
      </c>
      <c r="G1172" s="5">
        <f>prices!G1173/prices!G1172-1</f>
        <v>1.1756298435422474E-2</v>
      </c>
      <c r="H1172" s="5">
        <f>prices!H1173/prices!H1172-1</f>
        <v>1.252281854691506E-2</v>
      </c>
      <c r="I1172" s="5">
        <f>prices!I1173/prices!I1172-1</f>
        <v>1.8025421098665451E-2</v>
      </c>
      <c r="J1172" s="5">
        <f>prices!J1173/prices!J1172-1</f>
        <v>2.6316190941126916E-3</v>
      </c>
      <c r="K1172" s="8">
        <f>SUMPRODUCT(B1172:I1172,weights!$B$5:$I$5)</f>
        <v>1.0360793931994778E-2</v>
      </c>
      <c r="L1172" s="4">
        <f t="shared" si="36"/>
        <v>232.74126519800933</v>
      </c>
      <c r="M1172" s="4">
        <f>L1172/MAX(L$2:L1172)-1</f>
        <v>-7.9611109376335198E-3</v>
      </c>
      <c r="N1172" s="4">
        <f t="shared" si="35"/>
        <v>4.7305242186095553E-2</v>
      </c>
    </row>
    <row r="1173" spans="1:14">
      <c r="A1173" s="3">
        <f>prices!A1174</f>
        <v>45197</v>
      </c>
      <c r="B1173" s="5">
        <f>prices!B1174/prices!B1173-1</f>
        <v>-1.4696583898695992E-2</v>
      </c>
      <c r="C1173" s="5">
        <f>prices!C1174/prices!C1173-1</f>
        <v>-1.4641019919734211E-2</v>
      </c>
      <c r="D1173" s="5">
        <f>prices!D1174/prices!D1173-1</f>
        <v>-2.0656352170285164E-3</v>
      </c>
      <c r="E1173" s="5">
        <f>prices!E1174/prices!E1173-1</f>
        <v>-1.8776739620719018E-2</v>
      </c>
      <c r="F1173" s="5">
        <f>prices!F1174/prices!F1173-1</f>
        <v>-1.8701527766970094E-2</v>
      </c>
      <c r="G1173" s="5">
        <f>prices!G1174/prices!G1173-1</f>
        <v>-1.0805292451155357E-2</v>
      </c>
      <c r="H1173" s="5">
        <f>prices!H1174/prices!H1173-1</f>
        <v>-6.706811379944333E-3</v>
      </c>
      <c r="I1173" s="5">
        <f>prices!I1174/prices!I1173-1</f>
        <v>1.5159966049436147E-2</v>
      </c>
      <c r="J1173" s="5">
        <f>prices!J1174/prices!J1173-1</f>
        <v>-9.7837085276508695E-3</v>
      </c>
      <c r="K1173" s="8">
        <f>SUMPRODUCT(B1173:I1173,weights!$B$5:$I$5)</f>
        <v>-6.590315628287529E-3</v>
      </c>
      <c r="L1173" s="4">
        <f t="shared" si="36"/>
        <v>231.20742680062747</v>
      </c>
      <c r="M1173" s="4">
        <f>L1173/MAX(L$2:L1173)-1</f>
        <v>-1.4498960332090194E-2</v>
      </c>
      <c r="N1173" s="4">
        <f t="shared" si="35"/>
        <v>3.56937459516391E-2</v>
      </c>
    </row>
    <row r="1174" spans="1:14">
      <c r="A1174" s="3">
        <f>prices!A1175</f>
        <v>45198</v>
      </c>
      <c r="B1174" s="5">
        <f>prices!B1175/prices!B1174-1</f>
        <v>4.6741939400245514E-3</v>
      </c>
      <c r="C1174" s="5">
        <f>prices!C1175/prices!C1174-1</f>
        <v>-2.3047835891962798E-3</v>
      </c>
      <c r="D1174" s="5">
        <f>prices!D1175/prices!D1174-1</f>
        <v>1.6997943797121273E-3</v>
      </c>
      <c r="E1174" s="5">
        <f>prices!E1175/prices!E1174-1</f>
        <v>-2.7795383217390501E-3</v>
      </c>
      <c r="F1174" s="5">
        <f>prices!F1175/prices!F1174-1</f>
        <v>8.2734193275533219E-3</v>
      </c>
      <c r="G1174" s="5">
        <f>prices!G1175/prices!G1174-1</f>
        <v>4.2832923310436311E-3</v>
      </c>
      <c r="H1174" s="5">
        <f>prices!H1175/prices!H1174-1</f>
        <v>2.3269321523214703E-2</v>
      </c>
      <c r="I1174" s="5">
        <f>prices!I1175/prices!I1174-1</f>
        <v>4.5012302452642761E-3</v>
      </c>
      <c r="J1174" s="5">
        <f>prices!J1175/prices!J1174-1</f>
        <v>5.8775171523621772E-3</v>
      </c>
      <c r="K1174" s="8">
        <f>SUMPRODUCT(B1174:I1174,weights!$B$5:$I$5)</f>
        <v>6.2042064031890944E-3</v>
      </c>
      <c r="L1174" s="4">
        <f t="shared" si="36"/>
        <v>232.64188539844881</v>
      </c>
      <c r="M1174" s="4">
        <f>L1174/MAX(L$2:L1174)-1</f>
        <v>-8.3847084714330222E-3</v>
      </c>
      <c r="N1174" s="4">
        <f t="shared" si="35"/>
        <v>4.1248798849212731E-2</v>
      </c>
    </row>
    <row r="1175" spans="1:14">
      <c r="A1175" s="3">
        <f>prices!A1176</f>
        <v>45202</v>
      </c>
      <c r="B1175" s="5">
        <f>prices!B1176/prices!B1175-1</f>
        <v>-1.1454170371073658E-2</v>
      </c>
      <c r="C1175" s="5">
        <f>prices!C1176/prices!C1175-1</f>
        <v>-4.1818238348413361E-3</v>
      </c>
      <c r="D1175" s="5">
        <f>prices!D1176/prices!D1175-1</f>
        <v>-1.1960478419136833E-2</v>
      </c>
      <c r="E1175" s="5">
        <f>prices!E1176/prices!E1175-1</f>
        <v>-1.0107739312215092E-3</v>
      </c>
      <c r="F1175" s="5">
        <f>prices!F1176/prices!F1175-1</f>
        <v>-1.0460086511993705E-2</v>
      </c>
      <c r="G1175" s="5">
        <f>prices!G1176/prices!G1175-1</f>
        <v>-2.4852919321986522E-2</v>
      </c>
      <c r="H1175" s="5">
        <f>prices!H1176/prices!H1175-1</f>
        <v>-1.4846743295019116E-2</v>
      </c>
      <c r="I1175" s="5">
        <f>prices!I1176/prices!I1175-1</f>
        <v>1.6436215389842079E-2</v>
      </c>
      <c r="J1175" s="5">
        <f>prices!J1176/prices!J1175-1</f>
        <v>-5.5783850944327584E-3</v>
      </c>
      <c r="K1175" s="8">
        <f>SUMPRODUCT(B1175:I1175,weights!$B$5:$I$5)</f>
        <v>-7.5070514023842256E-3</v>
      </c>
      <c r="L1175" s="4">
        <f t="shared" si="36"/>
        <v>230.89543080641505</v>
      </c>
      <c r="M1175" s="4">
        <f>L1175/MAX(L$2:L1175)-1</f>
        <v>-1.5828815436328303E-2</v>
      </c>
      <c r="N1175" s="4">
        <f t="shared" ref="N1175:N1238" si="37">L1175/L1155-1</f>
        <v>2.5477613504982122E-2</v>
      </c>
    </row>
    <row r="1176" spans="1:14">
      <c r="A1176" s="3">
        <f>prices!A1177</f>
        <v>45203</v>
      </c>
      <c r="B1176" s="5">
        <f>prices!B1177/prices!B1176-1</f>
        <v>-1.7201334194855145E-3</v>
      </c>
      <c r="C1176" s="5">
        <f>prices!C1177/prices!C1176-1</f>
        <v>6.8033157968683255E-3</v>
      </c>
      <c r="D1176" s="5">
        <f>prices!D1177/prices!D1176-1</f>
        <v>1.426592797783921E-2</v>
      </c>
      <c r="E1176" s="5">
        <f>prices!E1177/prices!E1176-1</f>
        <v>7.2128835437410554E-3</v>
      </c>
      <c r="F1176" s="5">
        <f>prices!F1177/prices!F1176-1</f>
        <v>-8.2922693795368652E-3</v>
      </c>
      <c r="G1176" s="5">
        <f>prices!G1177/prices!G1176-1</f>
        <v>-2.0977140295831531E-2</v>
      </c>
      <c r="H1176" s="5">
        <f>prices!H1177/prices!H1176-1</f>
        <v>-1.5466609049496816E-2</v>
      </c>
      <c r="I1176" s="5">
        <f>prices!I1177/prices!I1176-1</f>
        <v>-1.4803401205930711E-2</v>
      </c>
      <c r="J1176" s="5">
        <f>prices!J1177/prices!J1176-1</f>
        <v>-4.7442872687705195E-3</v>
      </c>
      <c r="K1176" s="8">
        <f>SUMPRODUCT(B1176:I1176,weights!$B$5:$I$5)</f>
        <v>-7.9695390231514368E-3</v>
      </c>
      <c r="L1176" s="4">
        <f t="shared" si="36"/>
        <v>229.05530066033597</v>
      </c>
      <c r="M1176" s="4">
        <f>L1176/MAX(L$2:L1176)-1</f>
        <v>-2.3672206097169579E-2</v>
      </c>
      <c r="N1176" s="4">
        <f t="shared" si="37"/>
        <v>1.4073661040850949E-2</v>
      </c>
    </row>
    <row r="1177" spans="1:14">
      <c r="A1177" s="3">
        <f>prices!A1178</f>
        <v>45204</v>
      </c>
      <c r="B1177" s="5">
        <f>prices!B1178/prices!B1177-1</f>
        <v>-2.6240061576698892E-5</v>
      </c>
      <c r="C1177" s="5">
        <f>prices!C1178/prices!C1177-1</f>
        <v>1.4584573781879495E-2</v>
      </c>
      <c r="D1177" s="5">
        <f>prices!D1178/prices!D1177-1</f>
        <v>4.0557148709545743E-3</v>
      </c>
      <c r="E1177" s="5">
        <f>prices!E1178/prices!E1177-1</f>
        <v>1.322658711435154E-2</v>
      </c>
      <c r="F1177" s="5">
        <f>prices!F1178/prices!F1177-1</f>
        <v>-1.0685758555273317E-4</v>
      </c>
      <c r="G1177" s="5">
        <f>prices!G1178/prices!G1177-1</f>
        <v>7.9276419538301113E-3</v>
      </c>
      <c r="H1177" s="5">
        <f>prices!H1178/prices!H1177-1</f>
        <v>-4.178858814923081E-3</v>
      </c>
      <c r="I1177" s="5">
        <f>prices!I1178/prices!I1177-1</f>
        <v>2.2557411308899766E-2</v>
      </c>
      <c r="J1177" s="5">
        <f>prices!J1178/prices!J1177-1</f>
        <v>5.6415638939910639E-3</v>
      </c>
      <c r="K1177" s="8">
        <f>SUMPRODUCT(B1177:I1177,weights!$B$5:$I$5)</f>
        <v>8.0449825999224962E-3</v>
      </c>
      <c r="L1177" s="4">
        <f t="shared" si="36"/>
        <v>230.89804656856839</v>
      </c>
      <c r="M1177" s="4">
        <f>L1177/MAX(L$2:L1177)-1</f>
        <v>-1.5817665983400619E-2</v>
      </c>
      <c r="N1177" s="4">
        <f t="shared" si="37"/>
        <v>1.6932613170716371E-2</v>
      </c>
    </row>
    <row r="1178" spans="1:14">
      <c r="A1178" s="3">
        <f>prices!A1179</f>
        <v>45205</v>
      </c>
      <c r="B1178" s="5">
        <f>prices!B1179/prices!B1178-1</f>
        <v>1.6881549253888739E-3</v>
      </c>
      <c r="C1178" s="5">
        <f>prices!C1179/prices!C1178-1</f>
        <v>8.9312186131240701E-3</v>
      </c>
      <c r="D1178" s="5">
        <f>prices!D1179/prices!D1178-1</f>
        <v>-1.1152365797597596E-3</v>
      </c>
      <c r="E1178" s="5">
        <f>prices!E1179/prices!E1178-1</f>
        <v>1.0417605528015628E-2</v>
      </c>
      <c r="F1178" s="5">
        <f>prices!F1179/prices!F1178-1</f>
        <v>1.3973122445162689E-2</v>
      </c>
      <c r="G1178" s="5">
        <f>prices!G1179/prices!G1178-1</f>
        <v>9.0008701076631503E-3</v>
      </c>
      <c r="H1178" s="5">
        <f>prices!H1179/prices!H1178-1</f>
        <v>7.3276218285998063E-3</v>
      </c>
      <c r="I1178" s="5">
        <f>prices!I1179/prices!I1178-1</f>
        <v>-7.5976749124107013E-4</v>
      </c>
      <c r="J1178" s="5">
        <f>prices!J1179/prices!J1178-1</f>
        <v>5.5127073660514725E-3</v>
      </c>
      <c r="K1178" s="8">
        <f>SUMPRODUCT(B1178:I1178,weights!$B$5:$I$5)</f>
        <v>5.6724992440686491E-3</v>
      </c>
      <c r="L1178" s="4">
        <f t="shared" si="36"/>
        <v>232.20781556318553</v>
      </c>
      <c r="M1178" s="4">
        <f>L1178/MAX(L$2:L1178)-1</f>
        <v>-1.0234892437665732E-2</v>
      </c>
      <c r="N1178" s="4">
        <f t="shared" si="37"/>
        <v>2.1041344044264054E-2</v>
      </c>
    </row>
    <row r="1179" spans="1:14">
      <c r="A1179" s="3">
        <f>prices!A1180</f>
        <v>45208</v>
      </c>
      <c r="B1179" s="5">
        <f>prices!B1180/prices!B1179-1</f>
        <v>-8.5226032361441773E-3</v>
      </c>
      <c r="C1179" s="5">
        <f>prices!C1180/prices!C1179-1</f>
        <v>4.6805558500890854E-3</v>
      </c>
      <c r="D1179" s="5">
        <f>prices!D1180/prices!D1179-1</f>
        <v>-1.160051739396839E-2</v>
      </c>
      <c r="E1179" s="5">
        <f>prices!E1180/prices!E1179-1</f>
        <v>-2.1928683461313048E-3</v>
      </c>
      <c r="F1179" s="5">
        <f>prices!F1180/prices!F1179-1</f>
        <v>-3.8469645868465241E-3</v>
      </c>
      <c r="G1179" s="5">
        <f>prices!G1180/prices!G1179-1</f>
        <v>-5.5572284486078427E-3</v>
      </c>
      <c r="H1179" s="5">
        <f>prices!H1180/prices!H1179-1</f>
        <v>-3.7738944950366227E-3</v>
      </c>
      <c r="I1179" s="5">
        <f>prices!I1180/prices!I1179-1</f>
        <v>-6.1425265373747928E-3</v>
      </c>
      <c r="J1179" s="5">
        <f>prices!J1180/prices!J1179-1</f>
        <v>-7.1819268832524763E-3</v>
      </c>
      <c r="K1179" s="8">
        <f>SUMPRODUCT(B1179:I1179,weights!$B$5:$I$5)</f>
        <v>-4.9034314081501653E-3</v>
      </c>
      <c r="L1179" s="4">
        <f t="shared" si="36"/>
        <v>231.06920046713506</v>
      </c>
      <c r="M1179" s="4">
        <f>L1179/MAX(L$2:L1179)-1</f>
        <v>-1.5088137752778064E-2</v>
      </c>
      <c r="N1179" s="4">
        <f t="shared" si="37"/>
        <v>6.2885780699484251E-3</v>
      </c>
    </row>
    <row r="1180" spans="1:14">
      <c r="A1180" s="3">
        <f>prices!A1181</f>
        <v>45209</v>
      </c>
      <c r="B1180" s="5">
        <f>prices!B1181/prices!B1180-1</f>
        <v>4.4212324846093498E-3</v>
      </c>
      <c r="C1180" s="5">
        <f>prices!C1181/prices!C1180-1</f>
        <v>-2.5992509815038201E-3</v>
      </c>
      <c r="D1180" s="5">
        <f>prices!D1181/prices!D1180-1</f>
        <v>5.6754783519072927E-3</v>
      </c>
      <c r="E1180" s="5">
        <f>prices!E1181/prices!E1180-1</f>
        <v>1.335002085940773E-2</v>
      </c>
      <c r="F1180" s="5">
        <f>prices!F1181/prices!F1180-1</f>
        <v>8.9668306617995963E-3</v>
      </c>
      <c r="G1180" s="5">
        <f>prices!G1181/prices!G1180-1</f>
        <v>1.2708692975361258E-2</v>
      </c>
      <c r="H1180" s="5">
        <f>prices!H1181/prices!H1180-1</f>
        <v>3.0744736336436596E-3</v>
      </c>
      <c r="I1180" s="5">
        <f>prices!I1181/prices!I1180-1</f>
        <v>4.2428231143665229E-4</v>
      </c>
      <c r="J1180" s="5">
        <f>prices!J1181/prices!J1180-1</f>
        <v>9.096802794127834E-3</v>
      </c>
      <c r="K1180" s="8">
        <f>SUMPRODUCT(B1180:I1180,weights!$B$5:$I$5)</f>
        <v>5.6555107053577634E-3</v>
      </c>
      <c r="L1180" s="4">
        <f t="shared" si="36"/>
        <v>232.37601480405539</v>
      </c>
      <c r="M1180" s="4">
        <f>L1180/MAX(L$2:L1180)-1</f>
        <v>-9.5179581720050699E-3</v>
      </c>
      <c r="N1180" s="4">
        <f t="shared" si="37"/>
        <v>6.8268692104442863E-3</v>
      </c>
    </row>
    <row r="1181" spans="1:14">
      <c r="A1181" s="3">
        <f>prices!A1182</f>
        <v>45210</v>
      </c>
      <c r="B1181" s="5">
        <f>prices!B1182/prices!B1181-1</f>
        <v>1.5870928142399876E-2</v>
      </c>
      <c r="C1181" s="5">
        <f>prices!C1182/prices!C1181-1</f>
        <v>-5.2362352315189487E-3</v>
      </c>
      <c r="D1181" s="5">
        <f>prices!D1182/prices!D1181-1</f>
        <v>9.670570508869325E-3</v>
      </c>
      <c r="E1181" s="5">
        <f>prices!E1182/prices!E1181-1</f>
        <v>-4.9991178027408711E-4</v>
      </c>
      <c r="F1181" s="5">
        <f>prices!F1182/prices!F1181-1</f>
        <v>8.677415126491006E-3</v>
      </c>
      <c r="G1181" s="5">
        <f>prices!G1182/prices!G1181-1</f>
        <v>3.5761222318579922E-3</v>
      </c>
      <c r="H1181" s="5">
        <f>prices!H1182/prices!H1181-1</f>
        <v>1.9977559453765448E-3</v>
      </c>
      <c r="I1181" s="5">
        <f>prices!I1182/prices!I1181-1</f>
        <v>4.1274845052361453E-3</v>
      </c>
      <c r="J1181" s="5">
        <f>prices!J1182/prices!J1181-1</f>
        <v>6.1706920062876147E-3</v>
      </c>
      <c r="K1181" s="8">
        <f>SUMPRODUCT(B1181:I1181,weights!$B$5:$I$5)</f>
        <v>4.7722288653495567E-3</v>
      </c>
      <c r="L1181" s="4">
        <f t="shared" si="36"/>
        <v>233.48496632951819</v>
      </c>
      <c r="M1181" s="4">
        <f>L1181/MAX(L$2:L1181)-1</f>
        <v>-4.7911511813831797E-3</v>
      </c>
      <c r="N1181" s="4">
        <f t="shared" si="37"/>
        <v>3.4456383811183322E-3</v>
      </c>
    </row>
    <row r="1182" spans="1:14">
      <c r="A1182" s="3">
        <f>prices!A1183</f>
        <v>45211</v>
      </c>
      <c r="B1182" s="5">
        <f>prices!B1183/prices!B1182-1</f>
        <v>1.8557679858444143E-3</v>
      </c>
      <c r="C1182" s="5">
        <f>prices!C1183/prices!C1182-1</f>
        <v>-1.8657306102601523E-2</v>
      </c>
      <c r="D1182" s="5">
        <f>prices!D1183/prices!D1182-1</f>
        <v>6.6611496248862867E-3</v>
      </c>
      <c r="E1182" s="5">
        <f>prices!E1183/prices!E1182-1</f>
        <v>-1.9344493806819796E-2</v>
      </c>
      <c r="F1182" s="5">
        <f>prices!F1183/prices!F1182-1</f>
        <v>5.4579478116227875E-3</v>
      </c>
      <c r="G1182" s="5">
        <f>prices!G1183/prices!G1182-1</f>
        <v>1.6211395488563873E-2</v>
      </c>
      <c r="H1182" s="5">
        <f>prices!H1183/prices!H1182-1</f>
        <v>1.4657417017169827E-3</v>
      </c>
      <c r="I1182" s="5">
        <f>prices!I1183/prices!I1182-1</f>
        <v>-2.2481476061884109E-3</v>
      </c>
      <c r="J1182" s="5">
        <f>prices!J1183/prices!J1182-1</f>
        <v>-8.7576061197236488E-4</v>
      </c>
      <c r="K1182" s="8">
        <f>SUMPRODUCT(B1182:I1182,weights!$B$5:$I$5)</f>
        <v>8.3971405758443687E-4</v>
      </c>
      <c r="L1182" s="4">
        <f t="shared" si="36"/>
        <v>233.68102693797971</v>
      </c>
      <c r="M1182" s="4">
        <f>L1182/MAX(L$2:L1182)-1</f>
        <v>-3.9554603207977435E-3</v>
      </c>
      <c r="N1182" s="4">
        <f t="shared" si="37"/>
        <v>-2.7110783063386545E-3</v>
      </c>
    </row>
    <row r="1183" spans="1:14">
      <c r="A1183" s="3">
        <f>prices!A1184</f>
        <v>45212</v>
      </c>
      <c r="B1183" s="5">
        <f>prices!B1184/prices!B1183-1</f>
        <v>-4.3077453260931264E-5</v>
      </c>
      <c r="C1183" s="5">
        <f>prices!C1184/prices!C1183-1</f>
        <v>7.9900650663824457E-3</v>
      </c>
      <c r="D1183" s="5">
        <f>prices!D1184/prices!D1183-1</f>
        <v>-9.0967898439394679E-3</v>
      </c>
      <c r="E1183" s="5">
        <f>prices!E1184/prices!E1183-1</f>
        <v>-2.343878913340236E-2</v>
      </c>
      <c r="F1183" s="5">
        <f>prices!F1184/prices!F1183-1</f>
        <v>-5.2215271674508346E-3</v>
      </c>
      <c r="G1183" s="5">
        <f>prices!G1184/prices!G1183-1</f>
        <v>1.3860547116606892E-2</v>
      </c>
      <c r="H1183" s="5">
        <f>prices!H1184/prices!H1183-1</f>
        <v>1.3181458687490322E-2</v>
      </c>
      <c r="I1183" s="5">
        <f>prices!I1184/prices!I1183-1</f>
        <v>2.5465308516881002E-3</v>
      </c>
      <c r="J1183" s="5">
        <f>prices!J1184/prices!J1183-1</f>
        <v>-2.1698494493280762E-3</v>
      </c>
      <c r="K1183" s="8">
        <f>SUMPRODUCT(B1183:I1183,weights!$B$5:$I$5)</f>
        <v>2.7802709183201869E-3</v>
      </c>
      <c r="L1183" s="4">
        <f t="shared" si="36"/>
        <v>234.33072350133858</v>
      </c>
      <c r="M1183" s="4">
        <f>L1183/MAX(L$2:L1183)-1</f>
        <v>-1.1861866537760113E-3</v>
      </c>
      <c r="N1183" s="4">
        <f t="shared" si="37"/>
        <v>1.7450620691497054E-3</v>
      </c>
    </row>
    <row r="1184" spans="1:14">
      <c r="A1184" s="3">
        <f>prices!A1185</f>
        <v>45215</v>
      </c>
      <c r="B1184" s="5">
        <f>prices!B1185/prices!B1184-1</f>
        <v>-2.2315082066084457E-3</v>
      </c>
      <c r="C1184" s="5">
        <f>prices!C1185/prices!C1184-1</f>
        <v>-1.310675584749954E-2</v>
      </c>
      <c r="D1184" s="5">
        <f>prices!D1185/prices!D1184-1</f>
        <v>-4.0121315979163574E-3</v>
      </c>
      <c r="E1184" s="5">
        <f>prices!E1185/prices!E1184-1</f>
        <v>2.0967580894155624E-3</v>
      </c>
      <c r="F1184" s="5">
        <f>prices!F1185/prices!F1184-1</f>
        <v>1.3512108928386279E-3</v>
      </c>
      <c r="G1184" s="5">
        <f>prices!G1185/prices!G1184-1</f>
        <v>-2.1491327091850421E-3</v>
      </c>
      <c r="H1184" s="5">
        <f>prices!H1185/prices!H1184-1</f>
        <v>-8.7391097592707245E-3</v>
      </c>
      <c r="I1184" s="5">
        <f>prices!I1185/prices!I1184-1</f>
        <v>3.979652902453612E-3</v>
      </c>
      <c r="J1184" s="5">
        <f>prices!J1185/prices!J1184-1</f>
        <v>-9.7716323942265149E-4</v>
      </c>
      <c r="K1184" s="8">
        <f>SUMPRODUCT(B1184:I1184,weights!$B$5:$I$5)</f>
        <v>-2.3941142719162683E-3</v>
      </c>
      <c r="L1184" s="4">
        <f t="shared" si="36"/>
        <v>233.76970897185555</v>
      </c>
      <c r="M1184" s="4">
        <f>L1184/MAX(L$2:L1184)-1</f>
        <v>-3.5774610592953504E-3</v>
      </c>
      <c r="N1184" s="4">
        <f t="shared" si="37"/>
        <v>-7.9385064162273977E-4</v>
      </c>
    </row>
    <row r="1185" spans="1:14">
      <c r="A1185" s="3">
        <f>prices!A1186</f>
        <v>45216</v>
      </c>
      <c r="B1185" s="5">
        <f>prices!B1186/prices!B1185-1</f>
        <v>4.7752275357062501E-3</v>
      </c>
      <c r="C1185" s="5">
        <f>prices!C1186/prices!C1185-1</f>
        <v>-4.8223152717028483E-3</v>
      </c>
      <c r="D1185" s="5">
        <f>prices!D1186/prices!D1185-1</f>
        <v>7.5923093729517444E-3</v>
      </c>
      <c r="E1185" s="5">
        <f>prices!E1186/prices!E1185-1</f>
        <v>5.7865934975549482E-3</v>
      </c>
      <c r="F1185" s="5">
        <f>prices!F1186/prices!F1185-1</f>
        <v>1.0016607847207926E-2</v>
      </c>
      <c r="G1185" s="5">
        <f>prices!G1186/prices!G1185-1</f>
        <v>4.3258158683212589E-3</v>
      </c>
      <c r="H1185" s="5">
        <f>prices!H1186/prices!H1185-1</f>
        <v>1.3215181165651124E-3</v>
      </c>
      <c r="I1185" s="5">
        <f>prices!I1186/prices!I1185-1</f>
        <v>-1.147438381068755E-2</v>
      </c>
      <c r="J1185" s="5">
        <f>prices!J1186/prices!J1185-1</f>
        <v>4.0417094276989918E-3</v>
      </c>
      <c r="K1185" s="8">
        <f>SUMPRODUCT(B1185:I1185,weights!$B$5:$I$5)</f>
        <v>8.5682002499781838E-4</v>
      </c>
      <c r="L1185" s="4">
        <f t="shared" si="36"/>
        <v>233.97000753974055</v>
      </c>
      <c r="M1185" s="4">
        <f>L1185/MAX(L$2:L1185)-1</f>
        <v>-2.7237062745718577E-3</v>
      </c>
      <c r="N1185" s="4">
        <f t="shared" si="37"/>
        <v>-2.7237062745718577E-3</v>
      </c>
    </row>
    <row r="1186" spans="1:14">
      <c r="A1186" s="3">
        <f>prices!A1187</f>
        <v>45217</v>
      </c>
      <c r="B1186" s="5">
        <f>prices!B1187/prices!B1186-1</f>
        <v>-1.3269278697823017E-2</v>
      </c>
      <c r="C1186" s="5">
        <f>prices!C1187/prices!C1186-1</f>
        <v>-5.6465185537404317E-3</v>
      </c>
      <c r="D1186" s="5">
        <f>prices!D1187/prices!D1186-1</f>
        <v>-1.3918252290345268E-2</v>
      </c>
      <c r="E1186" s="5">
        <f>prices!E1187/prices!E1186-1</f>
        <v>-1.3106859002202098E-3</v>
      </c>
      <c r="F1186" s="5">
        <f>prices!F1187/prices!F1186-1</f>
        <v>-3.9566312111403157E-3</v>
      </c>
      <c r="G1186" s="5">
        <f>prices!G1187/prices!G1186-1</f>
        <v>3.5019235175302033E-3</v>
      </c>
      <c r="H1186" s="5">
        <f>prices!H1187/prices!H1186-1</f>
        <v>1.4607909604519742E-2</v>
      </c>
      <c r="I1186" s="5">
        <f>prices!I1187/prices!I1186-1</f>
        <v>-6.7534973468402759E-3</v>
      </c>
      <c r="J1186" s="5">
        <f>prices!J1187/prices!J1186-1</f>
        <v>-7.0867930242536348E-3</v>
      </c>
      <c r="K1186" s="8">
        <f>SUMPRODUCT(B1186:I1186,weights!$B$5:$I$5)</f>
        <v>-2.1078085555425855E-3</v>
      </c>
      <c r="L1186" s="4">
        <f t="shared" si="36"/>
        <v>233.47684355610792</v>
      </c>
      <c r="M1186" s="4">
        <f>L1186/MAX(L$2:L1186)-1</f>
        <v>-4.8257737787260613E-3</v>
      </c>
      <c r="N1186" s="4">
        <f t="shared" si="37"/>
        <v>-2.4588578596819177E-3</v>
      </c>
    </row>
    <row r="1187" spans="1:14">
      <c r="A1187" s="3">
        <f>prices!A1188</f>
        <v>45218</v>
      </c>
      <c r="B1187" s="5">
        <f>prices!B1188/prices!B1187-1</f>
        <v>-7.6732134303010291E-3</v>
      </c>
      <c r="C1187" s="5">
        <f>prices!C1188/prices!C1187-1</f>
        <v>-6.4965503789392587E-3</v>
      </c>
      <c r="D1187" s="5">
        <f>prices!D1188/prices!D1187-1</f>
        <v>-3.1610340704498752E-3</v>
      </c>
      <c r="E1187" s="5">
        <f>prices!E1188/prices!E1187-1</f>
        <v>-4.7918081445478267E-3</v>
      </c>
      <c r="F1187" s="5">
        <f>prices!F1188/prices!F1187-1</f>
        <v>-2.7858027238959471E-3</v>
      </c>
      <c r="G1187" s="5">
        <f>prices!G1188/prices!G1187-1</f>
        <v>-1.5533142146401113E-3</v>
      </c>
      <c r="H1187" s="5">
        <f>prices!H1188/prices!H1187-1</f>
        <v>-1.0317085556971306E-2</v>
      </c>
      <c r="I1187" s="5">
        <f>prices!I1188/prices!I1187-1</f>
        <v>2.8904268523015642E-3</v>
      </c>
      <c r="J1187" s="5">
        <f>prices!J1188/prices!J1187-1</f>
        <v>-2.358790306591807E-3</v>
      </c>
      <c r="K1187" s="8">
        <f>SUMPRODUCT(B1187:I1187,weights!$B$5:$I$5)</f>
        <v>-3.7097859150534282E-3</v>
      </c>
      <c r="L1187" s="4">
        <f t="shared" si="36"/>
        <v>232.61069445039234</v>
      </c>
      <c r="M1187" s="4">
        <f>L1187/MAX(L$2:L1187)-1</f>
        <v>-8.5176571061859052E-3</v>
      </c>
      <c r="N1187" s="4">
        <f t="shared" si="37"/>
        <v>4.1586550804497691E-3</v>
      </c>
    </row>
    <row r="1188" spans="1:14">
      <c r="A1188" s="3">
        <f>prices!A1189</f>
        <v>45219</v>
      </c>
      <c r="B1188" s="5">
        <f>prices!B1189/prices!B1188-1</f>
        <v>-3.0631769269928721E-3</v>
      </c>
      <c r="C1188" s="5">
        <f>prices!C1189/prices!C1188-1</f>
        <v>1.1254100748584461E-2</v>
      </c>
      <c r="D1188" s="5">
        <f>prices!D1189/prices!D1188-1</f>
        <v>5.1839902938055626E-3</v>
      </c>
      <c r="E1188" s="5">
        <f>prices!E1189/prices!E1188-1</f>
        <v>-4.4621978241035087E-3</v>
      </c>
      <c r="F1188" s="5">
        <f>prices!F1189/prices!F1188-1</f>
        <v>-2.6849456802897076E-2</v>
      </c>
      <c r="G1188" s="5">
        <f>prices!G1189/prices!G1188-1</f>
        <v>-4.2749108277330139E-3</v>
      </c>
      <c r="H1188" s="5">
        <f>prices!H1189/prices!H1188-1</f>
        <v>6.1215487518340161E-4</v>
      </c>
      <c r="I1188" s="5">
        <f>prices!I1189/prices!I1188-1</f>
        <v>-1.3768147622522764E-2</v>
      </c>
      <c r="J1188" s="5">
        <f>prices!J1189/prices!J1188-1</f>
        <v>-4.1809556324428065E-3</v>
      </c>
      <c r="K1188" s="8">
        <f>SUMPRODUCT(B1188:I1188,weights!$B$5:$I$5)</f>
        <v>-5.0906097238551037E-3</v>
      </c>
      <c r="L1188" s="4">
        <f t="shared" si="36"/>
        <v>231.42656418735049</v>
      </c>
      <c r="M1188" s="4">
        <f>L1188/MAX(L$2:L1188)-1</f>
        <v>-1.3564906761951767E-2</v>
      </c>
      <c r="N1188" s="4">
        <f t="shared" si="37"/>
        <v>2.7851339180051671E-3</v>
      </c>
    </row>
    <row r="1189" spans="1:14">
      <c r="A1189" s="3">
        <f>prices!A1190</f>
        <v>45222</v>
      </c>
      <c r="B1189" s="5">
        <f>prices!B1190/prices!B1189-1</f>
        <v>-1.5609455473874156E-2</v>
      </c>
      <c r="C1189" s="5">
        <f>prices!C1190/prices!C1189-1</f>
        <v>-2.4149052763425716E-2</v>
      </c>
      <c r="D1189" s="5">
        <f>prices!D1190/prices!D1189-1</f>
        <v>-1.1000315470393929E-2</v>
      </c>
      <c r="E1189" s="5">
        <f>prices!E1190/prices!E1189-1</f>
        <v>-1.3038422142983674E-2</v>
      </c>
      <c r="F1189" s="5">
        <f>prices!F1190/prices!F1189-1</f>
        <v>-5.4755196427622721E-3</v>
      </c>
      <c r="G1189" s="5">
        <f>prices!G1190/prices!G1189-1</f>
        <v>-1.6036321706543566E-2</v>
      </c>
      <c r="H1189" s="5">
        <f>prices!H1190/prices!H1189-1</f>
        <v>-1.7291792246583504E-2</v>
      </c>
      <c r="I1189" s="5">
        <f>prices!I1190/prices!I1189-1</f>
        <v>-1.7943183329412027E-2</v>
      </c>
      <c r="J1189" s="5">
        <f>prices!J1190/prices!J1189-1</f>
        <v>-1.3350287704072983E-2</v>
      </c>
      <c r="K1189" s="8">
        <f>SUMPRODUCT(B1189:I1189,weights!$B$5:$I$5)</f>
        <v>-1.5747584530686896E-2</v>
      </c>
      <c r="L1189" s="4">
        <f t="shared" si="36"/>
        <v>227.78215480516374</v>
      </c>
      <c r="M1189" s="4">
        <f>L1189/MAX(L$2:L1189)-1</f>
        <v>-2.9098876776754046E-2</v>
      </c>
      <c r="N1189" s="4">
        <f t="shared" si="37"/>
        <v>-1.4853134903747067E-2</v>
      </c>
    </row>
    <row r="1190" spans="1:14">
      <c r="A1190" s="3">
        <f>prices!A1191</f>
        <v>45224</v>
      </c>
      <c r="B1190" s="5">
        <f>prices!B1191/prices!B1190-1</f>
        <v>-2.3253318069615947E-3</v>
      </c>
      <c r="C1190" s="5">
        <f>prices!C1191/prices!C1190-1</f>
        <v>-5.8818244244924767E-3</v>
      </c>
      <c r="D1190" s="5">
        <f>prices!D1191/prices!D1190-1</f>
        <v>-6.3379793356909131E-3</v>
      </c>
      <c r="E1190" s="5">
        <f>prices!E1191/prices!E1190-1</f>
        <v>-1.4810306350172442E-2</v>
      </c>
      <c r="F1190" s="5">
        <f>prices!F1191/prices!F1190-1</f>
        <v>-7.3497968783408085E-3</v>
      </c>
      <c r="G1190" s="5">
        <f>prices!G1191/prices!G1190-1</f>
        <v>3.3359016651188789E-3</v>
      </c>
      <c r="H1190" s="5">
        <f>prices!H1191/prices!H1190-1</f>
        <v>-1.913411273562815E-3</v>
      </c>
      <c r="I1190" s="5">
        <f>prices!I1191/prices!I1190-1</f>
        <v>-1.4264037472612512E-2</v>
      </c>
      <c r="J1190" s="5">
        <f>prices!J1191/prices!J1190-1</f>
        <v>-8.2772569917148875E-3</v>
      </c>
      <c r="K1190" s="8">
        <f>SUMPRODUCT(B1190:I1190,weights!$B$5:$I$5)</f>
        <v>-5.603520105670317E-3</v>
      </c>
      <c r="L1190" s="4">
        <f t="shared" si="36"/>
        <v>226.5057729210001</v>
      </c>
      <c r="M1190" s="4">
        <f>L1190/MAX(L$2:L1190)-1</f>
        <v>-3.4539340741353342E-2</v>
      </c>
      <c r="N1190" s="4">
        <f t="shared" si="37"/>
        <v>-1.6526876723600759E-2</v>
      </c>
    </row>
    <row r="1191" spans="1:14">
      <c r="A1191" s="3">
        <f>prices!A1192</f>
        <v>45225</v>
      </c>
      <c r="B1191" s="5">
        <f>prices!B1192/prices!B1191-1</f>
        <v>-1.3930722891566272E-2</v>
      </c>
      <c r="C1191" s="5">
        <f>prices!C1192/prices!C1191-1</f>
        <v>-1.5735704717483534E-2</v>
      </c>
      <c r="D1191" s="5">
        <f>prices!D1192/prices!D1191-1</f>
        <v>-2.2122041089772226E-2</v>
      </c>
      <c r="E1191" s="5">
        <f>prices!E1192/prices!E1191-1</f>
        <v>-7.7382461031554328E-3</v>
      </c>
      <c r="F1191" s="5">
        <f>prices!F1192/prices!F1191-1</f>
        <v>3.8232680864811464E-3</v>
      </c>
      <c r="G1191" s="5">
        <f>prices!G1192/prices!G1191-1</f>
        <v>-1.5554389752264752E-2</v>
      </c>
      <c r="H1191" s="5">
        <f>prices!H1192/prices!H1191-1</f>
        <v>-1.4822968262704128E-2</v>
      </c>
      <c r="I1191" s="5">
        <f>prices!I1192/prices!I1191-1</f>
        <v>-1.7658310114164188E-2</v>
      </c>
      <c r="J1191" s="5">
        <f>prices!J1192/prices!J1191-1</f>
        <v>-1.3853044767455636E-2</v>
      </c>
      <c r="K1191" s="8">
        <f>SUMPRODUCT(B1191:I1191,weights!$B$5:$I$5)</f>
        <v>-1.3873309663262966E-2</v>
      </c>
      <c r="L1191" s="4">
        <f t="shared" si="36"/>
        <v>223.36338819275034</v>
      </c>
      <c r="M1191" s="4">
        <f>L1191/MAX(L$2:L1191)-1</f>
        <v>-4.7933475434946637E-2</v>
      </c>
      <c r="N1191" s="4">
        <f t="shared" si="37"/>
        <v>-3.0349817692329695E-2</v>
      </c>
    </row>
    <row r="1192" spans="1:14">
      <c r="A1192" s="3">
        <f>prices!A1193</f>
        <v>45226</v>
      </c>
      <c r="B1192" s="5">
        <f>prices!B1193/prices!B1192-1</f>
        <v>1.7654866452117446E-2</v>
      </c>
      <c r="C1192" s="5">
        <f>prices!C1193/prices!C1192-1</f>
        <v>4.2567146558225577E-3</v>
      </c>
      <c r="D1192" s="5">
        <f>prices!D1193/prices!D1192-1</f>
        <v>3.925038893567212E-3</v>
      </c>
      <c r="E1192" s="5">
        <f>prices!E1193/prices!E1192-1</f>
        <v>1.5373685932997594E-2</v>
      </c>
      <c r="F1192" s="5">
        <f>prices!F1193/prices!F1192-1</f>
        <v>-1.3947375479440582E-3</v>
      </c>
      <c r="G1192" s="5">
        <f>prices!G1193/prices!G1192-1</f>
        <v>1.3099068066906305E-2</v>
      </c>
      <c r="H1192" s="5">
        <f>prices!H1193/prices!H1192-1</f>
        <v>6.8898737477189886E-3</v>
      </c>
      <c r="I1192" s="5">
        <f>prices!I1193/prices!I1192-1</f>
        <v>1.3020123639180037E-2</v>
      </c>
      <c r="J1192" s="5">
        <f>prices!J1193/prices!J1192-1</f>
        <v>1.0075700327460302E-2</v>
      </c>
      <c r="K1192" s="8">
        <f>SUMPRODUCT(B1192:I1192,weights!$B$5:$I$5)</f>
        <v>1.0249475947807219E-2</v>
      </c>
      <c r="L1192" s="4">
        <f t="shared" si="36"/>
        <v>225.65274586765264</v>
      </c>
      <c r="M1192" s="4">
        <f>L1192/MAX(L$2:L1192)-1</f>
        <v>-3.8175292490704726E-2</v>
      </c>
      <c r="N1192" s="4">
        <f t="shared" si="37"/>
        <v>-3.0456650325098034E-2</v>
      </c>
    </row>
    <row r="1193" spans="1:14">
      <c r="A1193" s="3">
        <f>prices!A1194</f>
        <v>45229</v>
      </c>
      <c r="B1193" s="5">
        <f>prices!B1194/prices!B1193-1</f>
        <v>2.0609254958013246E-2</v>
      </c>
      <c r="C1193" s="5">
        <f>prices!C1194/prices!C1193-1</f>
        <v>8.2356936661571734E-3</v>
      </c>
      <c r="D1193" s="5">
        <f>prices!D1194/prices!D1193-1</f>
        <v>1.086183855099665E-2</v>
      </c>
      <c r="E1193" s="5">
        <f>prices!E1194/prices!E1193-1</f>
        <v>-2.389843166542116E-3</v>
      </c>
      <c r="F1193" s="5">
        <f>prices!F1194/prices!F1193-1</f>
        <v>-7.6011925545915737E-3</v>
      </c>
      <c r="G1193" s="5">
        <f>prices!G1194/prices!G1193-1</f>
        <v>-1.5434836707508115E-2</v>
      </c>
      <c r="H1193" s="5">
        <f>prices!H1194/prices!H1193-1</f>
        <v>3.504586477289573E-3</v>
      </c>
      <c r="I1193" s="5">
        <f>prices!I1194/prices!I1193-1</f>
        <v>8.4245700106544419E-3</v>
      </c>
      <c r="J1193" s="5">
        <f>prices!J1194/prices!J1193-1</f>
        <v>4.9167202614550654E-3</v>
      </c>
      <c r="K1193" s="8">
        <f>SUMPRODUCT(B1193:I1193,weights!$B$5:$I$5)</f>
        <v>2.5036560968963069E-3</v>
      </c>
      <c r="L1193" s="4">
        <f t="shared" si="36"/>
        <v>226.21770274062558</v>
      </c>
      <c r="M1193" s="4">
        <f>L1193/MAX(L$2:L1193)-1</f>
        <v>-3.5767214197603647E-2</v>
      </c>
      <c r="N1193" s="4">
        <f t="shared" si="37"/>
        <v>-2.158115822250195E-2</v>
      </c>
    </row>
    <row r="1194" spans="1:14">
      <c r="A1194" s="3">
        <f>prices!A1195</f>
        <v>45230</v>
      </c>
      <c r="B1194" s="5">
        <f>prices!B1195/prices!B1194-1</f>
        <v>-1.0634852556303476E-2</v>
      </c>
      <c r="C1194" s="5">
        <f>prices!C1195/prices!C1194-1</f>
        <v>-2.9020242914979955E-3</v>
      </c>
      <c r="D1194" s="5">
        <f>prices!D1195/prices!D1194-1</f>
        <v>-5.7944924193412684E-3</v>
      </c>
      <c r="E1194" s="5">
        <f>prices!E1195/prices!E1194-1</f>
        <v>-6.2804863633856289E-3</v>
      </c>
      <c r="F1194" s="5">
        <f>prices!F1195/prices!F1194-1</f>
        <v>-4.7634513370141685E-3</v>
      </c>
      <c r="G1194" s="5">
        <f>prices!G1195/prices!G1194-1</f>
        <v>-5.1839715169033074E-4</v>
      </c>
      <c r="H1194" s="5">
        <f>prices!H1195/prices!H1194-1</f>
        <v>-2.3847479336177702E-2</v>
      </c>
      <c r="I1194" s="5">
        <f>prices!I1195/prices!I1194-1</f>
        <v>9.2317304755917817E-4</v>
      </c>
      <c r="J1194" s="5">
        <f>prices!J1195/prices!J1194-1</f>
        <v>-3.2025662325179116E-3</v>
      </c>
      <c r="K1194" s="8">
        <f>SUMPRODUCT(B1194:I1194,weights!$B$5:$I$5)</f>
        <v>-6.4857213860669265E-3</v>
      </c>
      <c r="L1194" s="4">
        <f t="shared" si="36"/>
        <v>224.75051774805377</v>
      </c>
      <c r="M1194" s="4">
        <f>L1194/MAX(L$2:L1194)-1</f>
        <v>-4.2020959397629176E-2</v>
      </c>
      <c r="N1194" s="4">
        <f t="shared" si="37"/>
        <v>-3.392066582025588E-2</v>
      </c>
    </row>
    <row r="1195" spans="1:14">
      <c r="A1195" s="3">
        <f>prices!A1196</f>
        <v>45231</v>
      </c>
      <c r="B1195" s="5">
        <f>prices!B1196/prices!B1195-1</f>
        <v>4.1492674640810634E-3</v>
      </c>
      <c r="C1195" s="5">
        <f>prices!C1196/prices!C1195-1</f>
        <v>-1.1310556302662977E-2</v>
      </c>
      <c r="D1195" s="5">
        <f>prices!D1196/prices!D1195-1</f>
        <v>-1.3580421558918587E-3</v>
      </c>
      <c r="E1195" s="5">
        <f>prices!E1196/prices!E1195-1</f>
        <v>-1.0412040855167115E-2</v>
      </c>
      <c r="F1195" s="5">
        <f>prices!F1196/prices!F1195-1</f>
        <v>-7.0705971935181022E-4</v>
      </c>
      <c r="G1195" s="5">
        <f>prices!G1196/prices!G1195-1</f>
        <v>-1.583468536905619E-2</v>
      </c>
      <c r="H1195" s="5">
        <f>prices!H1196/prices!H1195-1</f>
        <v>2.5355170623495571E-2</v>
      </c>
      <c r="I1195" s="5">
        <f>prices!I1196/prices!I1195-1</f>
        <v>-1.1523759424864166E-2</v>
      </c>
      <c r="J1195" s="5">
        <f>prices!J1196/prices!J1195-1</f>
        <v>-4.740665422755086E-3</v>
      </c>
      <c r="K1195" s="8">
        <f>SUMPRODUCT(B1195:I1195,weights!$B$5:$I$5)</f>
        <v>-3.0310814750993099E-3</v>
      </c>
      <c r="L1195" s="4">
        <f t="shared" si="36"/>
        <v>224.06928061718867</v>
      </c>
      <c r="M1195" s="4">
        <f>L1195/MAX(L$2:L1195)-1</f>
        <v>-4.4924671921132364E-2</v>
      </c>
      <c r="N1195" s="4">
        <f t="shared" si="37"/>
        <v>-2.9563816682667499E-2</v>
      </c>
    </row>
    <row r="1196" spans="1:14">
      <c r="A1196" s="3">
        <f>prices!A1197</f>
        <v>45232</v>
      </c>
      <c r="B1196" s="5">
        <f>prices!B1197/prices!B1196-1</f>
        <v>9.9294279345556458E-3</v>
      </c>
      <c r="C1196" s="5">
        <f>prices!C1197/prices!C1196-1</f>
        <v>8.8444403558802787E-3</v>
      </c>
      <c r="D1196" s="5">
        <f>prices!D1197/prices!D1196-1</f>
        <v>1.5298750602033007E-3</v>
      </c>
      <c r="E1196" s="5">
        <f>prices!E1197/prices!E1196-1</f>
        <v>1.1811749244737157E-2</v>
      </c>
      <c r="F1196" s="5">
        <f>prices!F1197/prices!F1196-1</f>
        <v>7.1300277581234361E-3</v>
      </c>
      <c r="G1196" s="5">
        <f>prices!G1197/prices!G1196-1</f>
        <v>7.4164465748813857E-3</v>
      </c>
      <c r="H1196" s="5">
        <f>prices!H1197/prices!H1196-1</f>
        <v>1.4914243102162716E-2</v>
      </c>
      <c r="I1196" s="5">
        <f>prices!I1197/prices!I1196-1</f>
        <v>7.8761388471035865E-3</v>
      </c>
      <c r="J1196" s="5">
        <f>prices!J1197/prices!J1196-1</f>
        <v>7.5885439843277336E-3</v>
      </c>
      <c r="K1196" s="8">
        <f>SUMPRODUCT(B1196:I1196,weights!$B$5:$I$5)</f>
        <v>8.9940602077002354E-3</v>
      </c>
      <c r="L1196" s="4">
        <f t="shared" si="36"/>
        <v>226.08457321775577</v>
      </c>
      <c r="M1196" s="4">
        <f>L1196/MAX(L$2:L1196)-1</f>
        <v>-3.6334666917501868E-2</v>
      </c>
      <c r="N1196" s="4">
        <f t="shared" si="37"/>
        <v>-1.2969476951705472E-2</v>
      </c>
    </row>
    <row r="1197" spans="1:14">
      <c r="A1197" s="3">
        <f>prices!A1198</f>
        <v>45233</v>
      </c>
      <c r="B1197" s="5">
        <f>prices!B1198/prices!B1197-1</f>
        <v>-2.1809680008377796E-4</v>
      </c>
      <c r="C1197" s="5">
        <f>prices!C1198/prices!C1197-1</f>
        <v>-2.7388427168276719E-3</v>
      </c>
      <c r="D1197" s="5">
        <f>prices!D1198/prices!D1197-1</f>
        <v>4.7381969392663592E-3</v>
      </c>
      <c r="E1197" s="5">
        <f>prices!E1198/prices!E1197-1</f>
        <v>1.3796380628044114E-2</v>
      </c>
      <c r="F1197" s="5">
        <f>prices!F1198/prices!F1197-1</f>
        <v>4.8638132295719672E-3</v>
      </c>
      <c r="G1197" s="5">
        <f>prices!G1198/prices!G1197-1</f>
        <v>-2.6496650659315613E-3</v>
      </c>
      <c r="H1197" s="5">
        <f>prices!H1198/prices!H1197-1</f>
        <v>7.2840413276367144E-3</v>
      </c>
      <c r="I1197" s="5">
        <f>prices!I1198/prices!I1197-1</f>
        <v>-2.3478971008574767E-3</v>
      </c>
      <c r="J1197" s="5">
        <f>prices!J1198/prices!J1197-1</f>
        <v>5.0880012543608188E-3</v>
      </c>
      <c r="K1197" s="8">
        <f>SUMPRODUCT(B1197:I1197,weights!$B$5:$I$5)</f>
        <v>1.7812868866130818E-3</v>
      </c>
      <c r="L1197" s="4">
        <f t="shared" si="36"/>
        <v>226.48729470329411</v>
      </c>
      <c r="M1197" s="4">
        <f>L1197/MAX(L$2:L1197)-1</f>
        <v>-3.4618102496598246E-2</v>
      </c>
      <c r="N1197" s="4">
        <f t="shared" si="37"/>
        <v>-1.9102594980007548E-2</v>
      </c>
    </row>
    <row r="1198" spans="1:14">
      <c r="A1198" s="3">
        <f>prices!A1199</f>
        <v>45236</v>
      </c>
      <c r="B1198" s="5">
        <f>prices!B1199/prices!B1198-1</f>
        <v>8.3156636388226346E-3</v>
      </c>
      <c r="C1198" s="5">
        <f>prices!C1199/prices!C1198-1</f>
        <v>8.7583231827785823E-3</v>
      </c>
      <c r="D1198" s="5">
        <f>prices!D1199/prices!D1198-1</f>
        <v>7.2497430916282912E-3</v>
      </c>
      <c r="E1198" s="5">
        <f>prices!E1199/prices!E1198-1</f>
        <v>1.0257251556555547E-2</v>
      </c>
      <c r="F1198" s="5">
        <f>prices!F1199/prices!F1198-1</f>
        <v>4.8402710551791461E-3</v>
      </c>
      <c r="G1198" s="5">
        <f>prices!G1199/prices!G1198-1</f>
        <v>8.3241400060174442E-4</v>
      </c>
      <c r="H1198" s="5">
        <f>prices!H1199/prices!H1198-1</f>
        <v>7.798710421094146E-3</v>
      </c>
      <c r="I1198" s="5">
        <f>prices!I1199/prices!I1198-1</f>
        <v>2.2052311611512332E-2</v>
      </c>
      <c r="J1198" s="5">
        <f>prices!J1199/prices!J1198-1</f>
        <v>9.4198828949696445E-3</v>
      </c>
      <c r="K1198" s="8">
        <f>SUMPRODUCT(B1198:I1198,weights!$B$5:$I$5)</f>
        <v>9.322699469142836E-3</v>
      </c>
      <c r="L1198" s="4">
        <f t="shared" si="36"/>
        <v>228.59876768539212</v>
      </c>
      <c r="M1198" s="4">
        <f>L1198/MAX(L$2:L1198)-1</f>
        <v>-2.5618137193223145E-2</v>
      </c>
      <c r="N1198" s="4">
        <f t="shared" si="37"/>
        <v>-1.5542318715845993E-2</v>
      </c>
    </row>
    <row r="1199" spans="1:14">
      <c r="A1199" s="3">
        <f>prices!A1200</f>
        <v>45237</v>
      </c>
      <c r="B1199" s="5">
        <f>prices!B1200/prices!B1199-1</f>
        <v>-6.4903596524629181E-3</v>
      </c>
      <c r="C1199" s="5">
        <f>prices!C1200/prices!C1199-1</f>
        <v>-2.8973308946117493E-3</v>
      </c>
      <c r="D1199" s="5">
        <f>prices!D1200/prices!D1199-1</f>
        <v>-4.8496198568873661E-3</v>
      </c>
      <c r="E1199" s="5">
        <f>prices!E1200/prices!E1199-1</f>
        <v>7.114135477883643E-4</v>
      </c>
      <c r="F1199" s="5">
        <f>prices!F1200/prices!F1199-1</f>
        <v>-6.07471633483192E-3</v>
      </c>
      <c r="G1199" s="5">
        <f>prices!G1200/prices!G1199-1</f>
        <v>-3.0673494132853474E-3</v>
      </c>
      <c r="H1199" s="5">
        <f>prices!H1200/prices!H1199-1</f>
        <v>1.8219998212849697E-2</v>
      </c>
      <c r="I1199" s="5">
        <f>prices!I1200/prices!I1199-1</f>
        <v>-4.753734460604786E-3</v>
      </c>
      <c r="J1199" s="5">
        <f>prices!J1200/prices!J1199-1</f>
        <v>-2.6015171223614519E-4</v>
      </c>
      <c r="K1199" s="8">
        <f>SUMPRODUCT(B1199:I1199,weights!$B$5:$I$5)</f>
        <v>-6.7323714412865349E-4</v>
      </c>
      <c r="L1199" s="4">
        <f t="shared" si="36"/>
        <v>228.44486650388427</v>
      </c>
      <c r="M1199" s="4">
        <f>L1199/MAX(L$2:L1199)-1</f>
        <v>-2.6274127255829893E-2</v>
      </c>
      <c r="N1199" s="4">
        <f t="shared" si="37"/>
        <v>-1.1357350776067809E-2</v>
      </c>
    </row>
    <row r="1200" spans="1:14">
      <c r="A1200" s="3">
        <f>prices!A1201</f>
        <v>45238</v>
      </c>
      <c r="B1200" s="5">
        <f>prices!B1201/prices!B1200-1</f>
        <v>5.2000766510460483E-3</v>
      </c>
      <c r="C1200" s="5">
        <f>prices!C1201/prices!C1200-1</f>
        <v>3.2921009058146655E-3</v>
      </c>
      <c r="D1200" s="5">
        <f>prices!D1201/prices!D1200-1</f>
        <v>2.893055262973121E-3</v>
      </c>
      <c r="E1200" s="5">
        <f>prices!E1201/prices!E1200-1</f>
        <v>-9.4658918801965308E-3</v>
      </c>
      <c r="F1200" s="5">
        <f>prices!F1201/prices!F1200-1</f>
        <v>9.827414447645344E-3</v>
      </c>
      <c r="G1200" s="5">
        <f>prices!G1201/prices!G1200-1</f>
        <v>6.7285240569359139E-3</v>
      </c>
      <c r="H1200" s="5">
        <f>prices!H1201/prices!H1200-1</f>
        <v>4.9057034287267598E-3</v>
      </c>
      <c r="I1200" s="5">
        <f>prices!I1201/prices!I1200-1</f>
        <v>1.1866523292517916E-2</v>
      </c>
      <c r="J1200" s="5">
        <f>prices!J1201/prices!J1200-1</f>
        <v>1.8962523252279428E-3</v>
      </c>
      <c r="K1200" s="8">
        <f>SUMPRODUCT(B1200:I1200,weights!$B$5:$I$5)</f>
        <v>5.5707908005176868E-3</v>
      </c>
      <c r="L1200" s="4">
        <f t="shared" si="36"/>
        <v>229.71748506462959</v>
      </c>
      <c r="M1200" s="4">
        <f>L1200/MAX(L$2:L1200)-1</f>
        <v>-2.0849704121720714E-2</v>
      </c>
      <c r="N1200" s="4">
        <f t="shared" si="37"/>
        <v>-1.1440637458506764E-2</v>
      </c>
    </row>
    <row r="1201" spans="1:14">
      <c r="A1201" s="3">
        <f>prices!A1202</f>
        <v>45239</v>
      </c>
      <c r="B1201" s="5">
        <f>prices!B1202/prices!B1201-1</f>
        <v>-1.0848938069200953E-2</v>
      </c>
      <c r="C1201" s="5">
        <f>prices!C1202/prices!C1201-1</f>
        <v>-1.0083359221290222E-2</v>
      </c>
      <c r="D1201" s="5">
        <f>prices!D1202/prices!D1201-1</f>
        <v>-3.9629748918234009E-3</v>
      </c>
      <c r="E1201" s="5">
        <f>prices!E1202/prices!E1201-1</f>
        <v>-1.1647046892430457E-2</v>
      </c>
      <c r="F1201" s="5">
        <f>prices!F1202/prices!F1201-1</f>
        <v>-5.8390657494801212E-3</v>
      </c>
      <c r="G1201" s="5">
        <f>prices!G1202/prices!G1201-1</f>
        <v>7.5621803121721509E-3</v>
      </c>
      <c r="H1201" s="5">
        <f>prices!H1202/prices!H1201-1</f>
        <v>-4.1918468578616697E-4</v>
      </c>
      <c r="I1201" s="5">
        <f>prices!I1202/prices!I1201-1</f>
        <v>9.4785592589927692E-3</v>
      </c>
      <c r="J1201" s="5">
        <f>prices!J1202/prices!J1201-1</f>
        <v>-2.4789775503382128E-3</v>
      </c>
      <c r="K1201" s="8">
        <f>SUMPRODUCT(B1201:I1201,weights!$B$5:$I$5)</f>
        <v>-7.6228863999031602E-4</v>
      </c>
      <c r="L1201" s="4">
        <f t="shared" si="36"/>
        <v>229.54237403535768</v>
      </c>
      <c r="M1201" s="4">
        <f>L1201/MAX(L$2:L1201)-1</f>
        <v>-2.1596099269111879E-2</v>
      </c>
      <c r="N1201" s="4">
        <f t="shared" si="37"/>
        <v>-1.6885850751505393E-2</v>
      </c>
    </row>
    <row r="1202" spans="1:14">
      <c r="A1202" s="3">
        <f>prices!A1203</f>
        <v>45240</v>
      </c>
      <c r="B1202" s="5">
        <f>prices!B1203/prices!B1202-1</f>
        <v>1.8834701404280008E-3</v>
      </c>
      <c r="C1202" s="5">
        <f>prices!C1203/prices!C1202-1</f>
        <v>-4.1842645501261044E-3</v>
      </c>
      <c r="D1202" s="5">
        <f>prices!D1203/prices!D1202-1</f>
        <v>3.936565065796982E-3</v>
      </c>
      <c r="E1202" s="5">
        <f>prices!E1203/prices!E1202-1</f>
        <v>-4.3332754510868599E-3</v>
      </c>
      <c r="F1202" s="5">
        <f>prices!F1203/prices!F1202-1</f>
        <v>4.934695738461059E-3</v>
      </c>
      <c r="G1202" s="5">
        <f>prices!G1203/prices!G1202-1</f>
        <v>-1.1108501620692435E-3</v>
      </c>
      <c r="H1202" s="5">
        <f>prices!H1203/prices!H1202-1</f>
        <v>2.6734230298794959E-3</v>
      </c>
      <c r="I1202" s="5">
        <f>prices!I1203/prices!I1202-1</f>
        <v>2.7778155095830037E-3</v>
      </c>
      <c r="J1202" s="5">
        <f>prices!J1203/prices!J1202-1</f>
        <v>1.549344428804833E-3</v>
      </c>
      <c r="K1202" s="8">
        <f>SUMPRODUCT(B1202:I1202,weights!$B$5:$I$5)</f>
        <v>9.4494248113436644E-4</v>
      </c>
      <c r="L1202" s="4">
        <f t="shared" si="36"/>
        <v>229.75927837580412</v>
      </c>
      <c r="M1202" s="4">
        <f>L1202/MAX(L$2:L1202)-1</f>
        <v>-2.067156385960367E-2</v>
      </c>
      <c r="N1202" s="4">
        <f t="shared" si="37"/>
        <v>-1.6782485996248431E-2</v>
      </c>
    </row>
    <row r="1203" spans="1:14">
      <c r="A1203" s="3">
        <f>prices!A1204</f>
        <v>45243</v>
      </c>
      <c r="B1203" s="5">
        <f>prices!B1204/prices!B1203-1</f>
        <v>-1.3115786160233789E-4</v>
      </c>
      <c r="C1203" s="5">
        <f>prices!C1204/prices!C1203-1</f>
        <v>-5.6790577359933092E-4</v>
      </c>
      <c r="D1203" s="5">
        <f>prices!D1204/prices!D1203-1</f>
        <v>-1.8065202778401179E-3</v>
      </c>
      <c r="E1203" s="5">
        <f>prices!E1204/prices!E1203-1</f>
        <v>3.4404851559712846E-3</v>
      </c>
      <c r="F1203" s="5">
        <f>prices!F1204/prices!F1203-1</f>
        <v>-1.2543033279068805E-3</v>
      </c>
      <c r="G1203" s="5">
        <f>prices!G1204/prices!G1203-1</f>
        <v>9.2359645084982844E-4</v>
      </c>
      <c r="H1203" s="5">
        <f>prices!H1204/prices!H1203-1</f>
        <v>-1.3157206838262381E-3</v>
      </c>
      <c r="I1203" s="5">
        <f>prices!I1204/prices!I1203-1</f>
        <v>5.0288864656917731E-3</v>
      </c>
      <c r="J1203" s="5">
        <f>prices!J1204/prices!J1203-1</f>
        <v>9.3692005549450563E-4</v>
      </c>
      <c r="K1203" s="8">
        <f>SUMPRODUCT(B1203:I1203,weights!$B$5:$I$5)</f>
        <v>9.5761039330283151E-4</v>
      </c>
      <c r="L1203" s="4">
        <f t="shared" si="36"/>
        <v>229.97929824873455</v>
      </c>
      <c r="M1203" s="4">
        <f>L1203/MAX(L$2:L1203)-1</f>
        <v>-1.9733748770698667E-2</v>
      </c>
      <c r="N1203" s="4">
        <f t="shared" si="37"/>
        <v>-1.8569589115697727E-2</v>
      </c>
    </row>
    <row r="1204" spans="1:14">
      <c r="A1204" s="3">
        <f>prices!A1205</f>
        <v>45245</v>
      </c>
      <c r="B1204" s="5">
        <f>prices!B1205/prices!B1204-1</f>
        <v>1.8084669132757858E-2</v>
      </c>
      <c r="C1204" s="5">
        <f>prices!C1205/prices!C1204-1</f>
        <v>2.1835739271813592E-2</v>
      </c>
      <c r="D1204" s="5">
        <f>prices!D1205/prices!D1204-1</f>
        <v>1.0479945004840063E-2</v>
      </c>
      <c r="E1204" s="5">
        <f>prices!E1205/prices!E1204-1</f>
        <v>2.6900196715094804E-2</v>
      </c>
      <c r="F1204" s="5">
        <f>prices!F1205/prices!F1204-1</f>
        <v>1.3654339461308229E-2</v>
      </c>
      <c r="G1204" s="5">
        <f>prices!G1205/prices!G1204-1</f>
        <v>5.5443943041606492E-3</v>
      </c>
      <c r="H1204" s="5">
        <f>prices!H1205/prices!H1204-1</f>
        <v>2.6349081708327837E-3</v>
      </c>
      <c r="I1204" s="5">
        <f>prices!I1205/prices!I1204-1</f>
        <v>5.3945865441962226E-3</v>
      </c>
      <c r="J1204" s="5">
        <f>prices!J1205/prices!J1204-1</f>
        <v>1.1926834348665816E-2</v>
      </c>
      <c r="K1204" s="8">
        <f>SUMPRODUCT(B1204:I1204,weights!$B$5:$I$5)</f>
        <v>1.095761510211048E-2</v>
      </c>
      <c r="L1204" s="4">
        <f t="shared" si="36"/>
        <v>232.49932288039764</v>
      </c>
      <c r="M1204" s="4">
        <f>L1204/MAX(L$2:L1204)-1</f>
        <v>-8.9923684921392466E-3</v>
      </c>
      <c r="N1204" s="4">
        <f t="shared" si="37"/>
        <v>-5.4343486033550104E-3</v>
      </c>
    </row>
    <row r="1205" spans="1:14">
      <c r="A1205" s="3">
        <f>prices!A1206</f>
        <v>45246</v>
      </c>
      <c r="B1205" s="5">
        <f>prices!B1206/prices!B1205-1</f>
        <v>1.8038292718540738E-3</v>
      </c>
      <c r="C1205" s="5">
        <f>prices!C1206/prices!C1205-1</f>
        <v>2.7479645005030306E-2</v>
      </c>
      <c r="D1205" s="5">
        <f>prices!D1206/prices!D1205-1</f>
        <v>2.6240524255130016E-3</v>
      </c>
      <c r="E1205" s="5">
        <f>prices!E1206/prices!E1205-1</f>
        <v>2.438761693746927E-2</v>
      </c>
      <c r="F1205" s="5">
        <f>prices!F1206/prices!F1205-1</f>
        <v>-7.460129168314289E-3</v>
      </c>
      <c r="G1205" s="5">
        <f>prices!G1206/prices!G1205-1</f>
        <v>2.7214277195304337E-3</v>
      </c>
      <c r="H1205" s="5">
        <f>prices!H1206/prices!H1205-1</f>
        <v>7.3270273327705748E-3</v>
      </c>
      <c r="I1205" s="5">
        <f>prices!I1206/prices!I1205-1</f>
        <v>-4.5009719150077565E-3</v>
      </c>
      <c r="J1205" s="5">
        <f>prices!J1206/prices!J1205-1</f>
        <v>4.5615220998758144E-3</v>
      </c>
      <c r="K1205" s="8">
        <f>SUMPRODUCT(B1205:I1205,weights!$B$5:$I$5)</f>
        <v>5.0278226528337458E-3</v>
      </c>
      <c r="L1205" s="4">
        <f t="shared" si="36"/>
        <v>233.66828824274421</v>
      </c>
      <c r="M1205" s="4">
        <f>L1205/MAX(L$2:L1205)-1</f>
        <v>-4.0097578733129247E-3</v>
      </c>
      <c r="N1205" s="4">
        <f t="shared" si="37"/>
        <v>-1.2895639922783086E-3</v>
      </c>
    </row>
    <row r="1206" spans="1:14">
      <c r="A1206" s="3">
        <f>prices!A1207</f>
        <v>45247</v>
      </c>
      <c r="B1206" s="5">
        <f>prices!B1207/prices!B1206-1</f>
        <v>-2.1864201870889222E-3</v>
      </c>
      <c r="C1206" s="5">
        <f>prices!C1207/prices!C1206-1</f>
        <v>1.3139288976762309E-3</v>
      </c>
      <c r="D1206" s="5">
        <f>prices!D1207/prices!D1206-1</f>
        <v>-2.1602160216021016E-3</v>
      </c>
      <c r="E1206" s="5">
        <f>prices!E1207/prices!E1206-1</f>
        <v>-5.0918485362813071E-3</v>
      </c>
      <c r="F1206" s="5">
        <f>prices!F1207/prices!F1206-1</f>
        <v>1.3545097205991397E-3</v>
      </c>
      <c r="G1206" s="5">
        <f>prices!G1207/prices!G1206-1</f>
        <v>3.7196427412902189E-3</v>
      </c>
      <c r="H1206" s="5">
        <f>prices!H1207/prices!H1206-1</f>
        <v>4.2415708497827165E-3</v>
      </c>
      <c r="I1206" s="5">
        <f>prices!I1207/prices!I1206-1</f>
        <v>1.8957234283944358E-2</v>
      </c>
      <c r="J1206" s="5">
        <f>prices!J1207/prices!J1206-1</f>
        <v>-1.6898387064133713E-3</v>
      </c>
      <c r="K1206" s="8">
        <f>SUMPRODUCT(B1206:I1206,weights!$B$5:$I$5)</f>
        <v>4.4552930286060333E-3</v>
      </c>
      <c r="L1206" s="4">
        <f t="shared" si="36"/>
        <v>234.70934893835837</v>
      </c>
      <c r="M1206" s="4">
        <f>L1206/MAX(L$2:L1206)-1</f>
        <v>0</v>
      </c>
      <c r="N1206" s="4">
        <f t="shared" si="37"/>
        <v>5.2789191573692218E-3</v>
      </c>
    </row>
    <row r="1207" spans="1:14">
      <c r="A1207" s="3">
        <f>prices!A1208</f>
        <v>45250</v>
      </c>
      <c r="B1207" s="5">
        <f>prices!B1208/prices!B1207-1</f>
        <v>-2.6294533143141896E-3</v>
      </c>
      <c r="C1207" s="5">
        <f>prices!C1208/prices!C1207-1</f>
        <v>4.8988977480068918E-3</v>
      </c>
      <c r="D1207" s="5">
        <f>prices!D1208/prices!D1207-1</f>
        <v>6.9387585173164013E-5</v>
      </c>
      <c r="E1207" s="5">
        <f>prices!E1208/prices!E1207-1</f>
        <v>-6.567227271353504E-4</v>
      </c>
      <c r="F1207" s="5">
        <f>prices!F1208/prices!F1207-1</f>
        <v>-5.5698485531654462E-3</v>
      </c>
      <c r="G1207" s="5">
        <f>prices!G1208/prices!G1207-1</f>
        <v>4.0623414678098158E-3</v>
      </c>
      <c r="H1207" s="5">
        <f>prices!H1208/prices!H1207-1</f>
        <v>-5.5225806451613124E-3</v>
      </c>
      <c r="I1207" s="5">
        <f>prices!I1208/prices!I1207-1</f>
        <v>-6.4955660988277319E-3</v>
      </c>
      <c r="J1207" s="5">
        <f>prices!J1208/prices!J1207-1</f>
        <v>-1.915689394784037E-3</v>
      </c>
      <c r="K1207" s="8">
        <f>SUMPRODUCT(B1207:I1207,weights!$B$5:$I$5)</f>
        <v>-1.743787107169207E-3</v>
      </c>
      <c r="L1207" s="4">
        <f t="shared" si="36"/>
        <v>234.30006580174759</v>
      </c>
      <c r="M1207" s="4">
        <f>L1207/MAX(L$2:L1207)-1</f>
        <v>-1.7437871071691591E-3</v>
      </c>
      <c r="N1207" s="4">
        <f t="shared" si="37"/>
        <v>7.2626555513575219E-3</v>
      </c>
    </row>
    <row r="1208" spans="1:14">
      <c r="A1208" s="3">
        <f>prices!A1209</f>
        <v>45251</v>
      </c>
      <c r="B1208" s="5">
        <f>prices!B1209/prices!B1208-1</f>
        <v>1.2578833097839137E-2</v>
      </c>
      <c r="C1208" s="5">
        <f>prices!C1209/prices!C1208-1</f>
        <v>-2.6706877254073502E-3</v>
      </c>
      <c r="D1208" s="5">
        <f>prices!D1209/prices!D1208-1</f>
        <v>8.4646980461811072E-3</v>
      </c>
      <c r="E1208" s="5">
        <f>prices!E1209/prices!E1208-1</f>
        <v>1.6693229800057718E-3</v>
      </c>
      <c r="F1208" s="5">
        <f>prices!F1209/prices!F1208-1</f>
        <v>-1.2535673325688723E-3</v>
      </c>
      <c r="G1208" s="5">
        <f>prices!G1209/prices!G1208-1</f>
        <v>-2.9437182145735097E-3</v>
      </c>
      <c r="H1208" s="5">
        <f>prices!H1209/prices!H1208-1</f>
        <v>1.1279496228634667E-2</v>
      </c>
      <c r="I1208" s="5">
        <f>prices!I1209/prices!I1208-1</f>
        <v>-4.5160989950182584E-3</v>
      </c>
      <c r="J1208" s="5">
        <f>prices!J1209/prices!J1208-1</f>
        <v>4.5394536407028507E-3</v>
      </c>
      <c r="K1208" s="8">
        <f>SUMPRODUCT(B1208:I1208,weights!$B$5:$I$5)</f>
        <v>2.2721641796990318E-3</v>
      </c>
      <c r="L1208" s="4">
        <f t="shared" si="36"/>
        <v>234.83243401856345</v>
      </c>
      <c r="M1208" s="4">
        <f>L1208/MAX(L$2:L1208)-1</f>
        <v>0</v>
      </c>
      <c r="N1208" s="4">
        <f t="shared" si="37"/>
        <v>1.4716849136021226E-2</v>
      </c>
    </row>
    <row r="1209" spans="1:14">
      <c r="A1209" s="3">
        <f>prices!A1210</f>
        <v>45252</v>
      </c>
      <c r="B1209" s="5">
        <f>prices!B1210/prices!B1209-1</f>
        <v>3.905452317745528E-3</v>
      </c>
      <c r="C1209" s="5">
        <f>prices!C1210/prices!C1209-1</f>
        <v>5.6830049161264995E-3</v>
      </c>
      <c r="D1209" s="5">
        <f>prices!D1210/prices!D1209-1</f>
        <v>-3.5501004485786192E-3</v>
      </c>
      <c r="E1209" s="5">
        <f>prices!E1210/prices!E1209-1</f>
        <v>1.306839604856358E-2</v>
      </c>
      <c r="F1209" s="5">
        <f>prices!F1210/prices!F1209-1</f>
        <v>7.9047161245526798E-3</v>
      </c>
      <c r="G1209" s="5">
        <f>prices!G1210/prices!G1209-1</f>
        <v>-3.8533930206531286E-3</v>
      </c>
      <c r="H1209" s="5">
        <f>prices!H1210/prices!H1209-1</f>
        <v>2.2495552210211045E-3</v>
      </c>
      <c r="I1209" s="5">
        <f>prices!I1210/prices!I1209-1</f>
        <v>2.4219626917525439E-3</v>
      </c>
      <c r="J1209" s="5">
        <f>prices!J1210/prices!J1209-1</f>
        <v>1.4380743451578581E-3</v>
      </c>
      <c r="K1209" s="8">
        <f>SUMPRODUCT(B1209:I1209,weights!$B$5:$I$5)</f>
        <v>2.5680825550325652E-3</v>
      </c>
      <c r="L1209" s="4">
        <f t="shared" si="36"/>
        <v>235.43550309572234</v>
      </c>
      <c r="M1209" s="4">
        <f>L1209/MAX(L$2:L1209)-1</f>
        <v>0</v>
      </c>
      <c r="N1209" s="4">
        <f t="shared" si="37"/>
        <v>3.3599420012094372E-2</v>
      </c>
    </row>
    <row r="1210" spans="1:14">
      <c r="A1210" s="3">
        <f>prices!A1211</f>
        <v>45253</v>
      </c>
      <c r="B1210" s="5">
        <f>prices!B1211/prices!B1210-1</f>
        <v>3.0596591149874008E-3</v>
      </c>
      <c r="C1210" s="5">
        <f>prices!C1211/prices!C1210-1</f>
        <v>-6.2057507036490378E-3</v>
      </c>
      <c r="D1210" s="5">
        <f>prices!D1211/prices!D1210-1</f>
        <v>5.7860141405214893E-3</v>
      </c>
      <c r="E1210" s="5">
        <f>prices!E1211/prices!E1210-1</f>
        <v>-5.8655828736891014E-3</v>
      </c>
      <c r="F1210" s="5">
        <f>prices!F1211/prices!F1210-1</f>
        <v>1.4837581474220762E-3</v>
      </c>
      <c r="G1210" s="5">
        <f>prices!G1211/prices!G1210-1</f>
        <v>-5.7646396805588473E-4</v>
      </c>
      <c r="H1210" s="5">
        <f>prices!H1211/prices!H1210-1</f>
        <v>-4.4036697247706869E-3</v>
      </c>
      <c r="I1210" s="5">
        <f>prices!I1211/prices!I1210-1</f>
        <v>-1.1890598495679305E-2</v>
      </c>
      <c r="J1210" s="5">
        <f>prices!J1211/prices!J1210-1</f>
        <v>-4.971771944567438E-4</v>
      </c>
      <c r="K1210" s="8">
        <f>SUMPRODUCT(B1210:I1210,weights!$B$5:$I$5)</f>
        <v>-3.2168489072927167E-3</v>
      </c>
      <c r="L1210" s="4">
        <f t="shared" si="36"/>
        <v>234.67814265485097</v>
      </c>
      <c r="M1210" s="4">
        <f>L1210/MAX(L$2:L1210)-1</f>
        <v>-3.2168489072926798E-3</v>
      </c>
      <c r="N1210" s="4">
        <f t="shared" si="37"/>
        <v>3.6080182983685871E-2</v>
      </c>
    </row>
    <row r="1211" spans="1:14">
      <c r="A1211" s="3">
        <f>prices!A1212</f>
        <v>45254</v>
      </c>
      <c r="B1211" s="5">
        <f>prices!B1212/prices!B1211-1</f>
        <v>-6.6752289857030522E-4</v>
      </c>
      <c r="C1211" s="5">
        <f>prices!C1212/prices!C1211-1</f>
        <v>-1.457882358812479E-2</v>
      </c>
      <c r="D1211" s="5">
        <f>prices!D1212/prices!D1211-1</f>
        <v>7.098235738312475E-3</v>
      </c>
      <c r="E1211" s="5">
        <f>prices!E1212/prices!E1211-1</f>
        <v>-8.1764067238215832E-3</v>
      </c>
      <c r="F1211" s="5">
        <f>prices!F1212/prices!F1211-1</f>
        <v>-5.7939573522408638E-3</v>
      </c>
      <c r="G1211" s="5">
        <f>prices!G1212/prices!G1211-1</f>
        <v>2.5882144857471978E-3</v>
      </c>
      <c r="H1211" s="5">
        <f>prices!H1212/prices!H1211-1</f>
        <v>-2.7944693508430429E-3</v>
      </c>
      <c r="I1211" s="5">
        <f>prices!I1212/prices!I1211-1</f>
        <v>2.8229247118896073E-3</v>
      </c>
      <c r="J1211" s="5">
        <f>prices!J1212/prices!J1211-1</f>
        <v>-3.6864963135030404E-4</v>
      </c>
      <c r="K1211" s="8">
        <f>SUMPRODUCT(B1211:I1211,weights!$B$5:$I$5)</f>
        <v>-1.3768119703110615E-3</v>
      </c>
      <c r="L1211" s="4">
        <f t="shared" si="36"/>
        <v>234.35503497887342</v>
      </c>
      <c r="M1211" s="4">
        <f>L1211/MAX(L$2:L1211)-1</f>
        <v>-4.5892318815213828E-3</v>
      </c>
      <c r="N1211" s="4">
        <f t="shared" si="37"/>
        <v>4.9209706546168075E-2</v>
      </c>
    </row>
    <row r="1212" spans="1:14">
      <c r="A1212" s="3">
        <f>prices!A1213</f>
        <v>45258</v>
      </c>
      <c r="B1212" s="5">
        <f>prices!B1213/prices!B1212-1</f>
        <v>2.0292722522397E-4</v>
      </c>
      <c r="C1212" s="5">
        <f>prices!C1213/prices!C1212-1</f>
        <v>3.776176850421642E-3</v>
      </c>
      <c r="D1212" s="5">
        <f>prices!D1213/prices!D1212-1</f>
        <v>-2.249427418475225E-3</v>
      </c>
      <c r="E1212" s="5">
        <f>prices!E1213/prices!E1212-1</f>
        <v>3.6840476208450657E-3</v>
      </c>
      <c r="F1212" s="5">
        <f>prices!F1213/prices!F1212-1</f>
        <v>-5.8277229303600464E-3</v>
      </c>
      <c r="G1212" s="5">
        <f>prices!G1213/prices!G1212-1</f>
        <v>2.082671778768308E-3</v>
      </c>
      <c r="H1212" s="5">
        <f>prices!H1213/prices!H1212-1</f>
        <v>-3.4298092544677861E-3</v>
      </c>
      <c r="I1212" s="5">
        <f>prices!I1213/prices!I1212-1</f>
        <v>-1.3889916525974266E-3</v>
      </c>
      <c r="J1212" s="5">
        <f>prices!J1213/prices!J1212-1</f>
        <v>4.7992644495749026E-3</v>
      </c>
      <c r="K1212" s="8">
        <f>SUMPRODUCT(B1212:I1212,weights!$B$5:$I$5)</f>
        <v>-3.7105165080334585E-4</v>
      </c>
      <c r="L1212" s="4">
        <f t="shared" si="36"/>
        <v>234.26807715627044</v>
      </c>
      <c r="M1212" s="4">
        <f>L1212/MAX(L$2:L1212)-1</f>
        <v>-4.9585806902592289E-3</v>
      </c>
      <c r="N1212" s="4">
        <f t="shared" si="37"/>
        <v>3.8179598725870401E-2</v>
      </c>
    </row>
    <row r="1213" spans="1:14">
      <c r="A1213" s="3">
        <f>prices!A1214</f>
        <v>45259</v>
      </c>
      <c r="B1213" s="5">
        <f>prices!B1214/prices!B1213-1</f>
        <v>2.637518703558106E-3</v>
      </c>
      <c r="C1213" s="5">
        <f>prices!C1214/prices!C1213-1</f>
        <v>1.2563027992469777E-2</v>
      </c>
      <c r="D1213" s="5">
        <f>prices!D1214/prices!D1213-1</f>
        <v>1.9948898028338435E-2</v>
      </c>
      <c r="E1213" s="5">
        <f>prices!E1214/prices!E1213-1</f>
        <v>1.1711081526276645E-2</v>
      </c>
      <c r="F1213" s="5">
        <f>prices!F1214/prices!F1213-1</f>
        <v>4.4700214132760152E-3</v>
      </c>
      <c r="G1213" s="5">
        <f>prices!G1214/prices!G1213-1</f>
        <v>5.8555487853184651E-3</v>
      </c>
      <c r="H1213" s="5">
        <f>prices!H1214/prices!H1213-1</f>
        <v>9.1086307726810922E-3</v>
      </c>
      <c r="I1213" s="5">
        <f>prices!I1214/prices!I1213-1</f>
        <v>1.106339984844662E-2</v>
      </c>
      <c r="J1213" s="5">
        <f>prices!J1214/prices!J1213-1</f>
        <v>1.04023690653956E-2</v>
      </c>
      <c r="K1213" s="8">
        <f>SUMPRODUCT(B1213:I1213,weights!$B$5:$I$5)</f>
        <v>8.9796337315926015E-3</v>
      </c>
      <c r="L1213" s="4">
        <f t="shared" si="36"/>
        <v>236.37171868413822</v>
      </c>
      <c r="M1213" s="4">
        <f>L1213/MAX(L$2:L1213)-1</f>
        <v>0</v>
      </c>
      <c r="N1213" s="4">
        <f t="shared" si="37"/>
        <v>4.4886035975508554E-2</v>
      </c>
    </row>
    <row r="1214" spans="1:14">
      <c r="A1214" s="3">
        <f>prices!A1215</f>
        <v>45260</v>
      </c>
      <c r="B1214" s="5">
        <f>prices!B1215/prices!B1214-1</f>
        <v>-9.6876185658277825E-3</v>
      </c>
      <c r="C1214" s="5">
        <f>prices!C1215/prices!C1214-1</f>
        <v>-7.4430482241011342E-3</v>
      </c>
      <c r="D1214" s="5">
        <f>prices!D1215/prices!D1214-1</f>
        <v>-2.277385561376688E-4</v>
      </c>
      <c r="E1214" s="5">
        <f>prices!E1215/prices!E1214-1</f>
        <v>-3.0481458351918622E-3</v>
      </c>
      <c r="F1214" s="5">
        <f>prices!F1215/prices!F1214-1</f>
        <v>-3.1976976576864047E-3</v>
      </c>
      <c r="G1214" s="5">
        <f>prices!G1215/prices!G1214-1</f>
        <v>8.9164517772610807E-4</v>
      </c>
      <c r="H1214" s="5">
        <f>prices!H1215/prices!H1214-1</f>
        <v>1.9668347722027413E-2</v>
      </c>
      <c r="I1214" s="5">
        <f>prices!I1215/prices!I1214-1</f>
        <v>8.2542220445689374E-3</v>
      </c>
      <c r="J1214" s="5">
        <f>prices!J1215/prices!J1214-1</f>
        <v>1.8187156036346686E-3</v>
      </c>
      <c r="K1214" s="8">
        <f>SUMPRODUCT(B1214:I1214,weights!$B$5:$I$5)</f>
        <v>2.3367477536857476E-3</v>
      </c>
      <c r="L1214" s="4">
        <f t="shared" si="36"/>
        <v>236.92405976680823</v>
      </c>
      <c r="M1214" s="4">
        <f>L1214/MAX(L$2:L1214)-1</f>
        <v>0</v>
      </c>
      <c r="N1214" s="4">
        <f t="shared" si="37"/>
        <v>5.4164689544346389E-2</v>
      </c>
    </row>
    <row r="1215" spans="1:14">
      <c r="A1215" s="3">
        <f>prices!A1216</f>
        <v>45261</v>
      </c>
      <c r="B1215" s="5">
        <f>prices!B1216/prices!B1215-1</f>
        <v>7.092017436316711E-3</v>
      </c>
      <c r="C1215" s="5">
        <f>prices!C1216/prices!C1215-1</f>
        <v>6.8964435310543415E-3</v>
      </c>
      <c r="D1215" s="5">
        <f>prices!D1216/prices!D1215-1</f>
        <v>-2.1841082674527446E-3</v>
      </c>
      <c r="E1215" s="5">
        <f>prices!E1216/prices!E1215-1</f>
        <v>-1.9537949857567627E-3</v>
      </c>
      <c r="F1215" s="5">
        <f>prices!F1216/prices!F1215-1</f>
        <v>3.2133023230946023E-2</v>
      </c>
      <c r="G1215" s="5">
        <f>prices!G1216/prices!G1215-1</f>
        <v>-2.1683523533716498E-3</v>
      </c>
      <c r="H1215" s="5">
        <f>prices!H1216/prices!H1215-1</f>
        <v>4.4093854523812315E-3</v>
      </c>
      <c r="I1215" s="5">
        <f>prices!I1216/prices!I1215-1</f>
        <v>2.6195290199809707E-2</v>
      </c>
      <c r="J1215" s="5">
        <f>prices!J1216/prices!J1215-1</f>
        <v>6.6929417403636116E-3</v>
      </c>
      <c r="K1215" s="8">
        <f>SUMPRODUCT(B1215:I1215,weights!$B$5:$I$5)</f>
        <v>9.2707652503529955E-3</v>
      </c>
      <c r="L1215" s="4">
        <f t="shared" si="36"/>
        <v>239.12052710706689</v>
      </c>
      <c r="M1215" s="4">
        <f>L1215/MAX(L$2:L1215)-1</f>
        <v>0</v>
      </c>
      <c r="N1215" s="4">
        <f t="shared" si="37"/>
        <v>6.7172289072470193E-2</v>
      </c>
    </row>
    <row r="1216" spans="1:14">
      <c r="A1216" s="3">
        <f>prices!A1217</f>
        <v>45264</v>
      </c>
      <c r="B1216" s="5">
        <f>prices!B1217/prices!B1216-1</f>
        <v>1.0812501585100831E-2</v>
      </c>
      <c r="C1216" s="5">
        <f>prices!C1217/prices!C1216-1</f>
        <v>2.2747598258709978E-4</v>
      </c>
      <c r="D1216" s="5">
        <f>prices!D1217/prices!D1216-1</f>
        <v>3.4726791733250995E-2</v>
      </c>
      <c r="E1216" s="5">
        <f>prices!E1217/prices!E1216-1</f>
        <v>8.2937326279926005E-3</v>
      </c>
      <c r="F1216" s="5">
        <f>prices!F1217/prices!F1216-1</f>
        <v>9.4537543059909357E-3</v>
      </c>
      <c r="G1216" s="5">
        <f>prices!G1217/prices!G1216-1</f>
        <v>1.2987758988474152E-3</v>
      </c>
      <c r="H1216" s="5">
        <f>prices!H1217/prices!H1216-1</f>
        <v>-8.3460610764918286E-5</v>
      </c>
      <c r="I1216" s="5">
        <f>prices!I1217/prices!I1216-1</f>
        <v>3.8520106755264516E-2</v>
      </c>
      <c r="J1216" s="5">
        <f>prices!J1217/prices!J1216-1</f>
        <v>2.0668150129021567E-2</v>
      </c>
      <c r="K1216" s="8">
        <f>SUMPRODUCT(B1216:I1216,weights!$B$5:$I$5)</f>
        <v>1.3299694488714806E-2</v>
      </c>
      <c r="L1216" s="4">
        <f t="shared" si="36"/>
        <v>242.3007570635713</v>
      </c>
      <c r="M1216" s="4">
        <f>L1216/MAX(L$2:L1216)-1</f>
        <v>0</v>
      </c>
      <c r="N1216" s="4">
        <f t="shared" si="37"/>
        <v>7.1726184653017944E-2</v>
      </c>
    </row>
    <row r="1217" spans="1:14">
      <c r="A1217" s="3">
        <f>prices!A1218</f>
        <v>45265</v>
      </c>
      <c r="B1217" s="5">
        <f>prices!B1218/prices!B1217-1</f>
        <v>7.2511039743072825E-3</v>
      </c>
      <c r="C1217" s="5">
        <f>prices!C1218/prices!C1217-1</f>
        <v>5.4519511754407279E-3</v>
      </c>
      <c r="D1217" s="5">
        <f>prices!D1218/prices!D1217-1</f>
        <v>8.8770067356236382E-3</v>
      </c>
      <c r="E1217" s="5">
        <f>prices!E1218/prices!E1217-1</f>
        <v>-7.0991359506764606E-3</v>
      </c>
      <c r="F1217" s="5">
        <f>prices!F1218/prices!F1217-1</f>
        <v>-5.0803099502232385E-3</v>
      </c>
      <c r="G1217" s="5">
        <f>prices!G1218/prices!G1217-1</f>
        <v>1.1552279876124949E-2</v>
      </c>
      <c r="H1217" s="5">
        <f>prices!H1218/prices!H1217-1</f>
        <v>6.8193010425101619E-3</v>
      </c>
      <c r="I1217" s="5">
        <f>prices!I1218/prices!I1217-1</f>
        <v>5.7349759131009037E-4</v>
      </c>
      <c r="J1217" s="5">
        <f>prices!J1218/prices!J1217-1</f>
        <v>8.1356227159348204E-3</v>
      </c>
      <c r="K1217" s="8">
        <f>SUMPRODUCT(B1217:I1217,weights!$B$5:$I$5)</f>
        <v>4.4221077667083953E-3</v>
      </c>
      <c r="L1217" s="4">
        <f t="shared" si="36"/>
        <v>243.37223712326144</v>
      </c>
      <c r="M1217" s="4">
        <f>L1217/MAX(L$2:L1217)-1</f>
        <v>0</v>
      </c>
      <c r="N1217" s="4">
        <f t="shared" si="37"/>
        <v>7.4551389039668514E-2</v>
      </c>
    </row>
    <row r="1218" spans="1:14">
      <c r="A1218" s="3">
        <f>prices!A1219</f>
        <v>45266</v>
      </c>
      <c r="B1218" s="5">
        <f>prices!B1219/prices!B1218-1</f>
        <v>9.5819321625774112E-3</v>
      </c>
      <c r="C1218" s="5">
        <f>prices!C1219/prices!C1218-1</f>
        <v>2.0530712408903806E-2</v>
      </c>
      <c r="D1218" s="5">
        <f>prices!D1219/prices!D1218-1</f>
        <v>2.5341857802592127E-3</v>
      </c>
      <c r="E1218" s="5">
        <f>prices!E1219/prices!E1218-1</f>
        <v>1.3993790488700419E-2</v>
      </c>
      <c r="F1218" s="5">
        <f>prices!F1219/prices!F1218-1</f>
        <v>2.5453889003507424E-2</v>
      </c>
      <c r="G1218" s="5">
        <f>prices!G1219/prices!G1218-1</f>
        <v>-8.9672951815568114E-3</v>
      </c>
      <c r="H1218" s="5">
        <f>prices!H1219/prices!H1218-1</f>
        <v>6.4663748507753915E-4</v>
      </c>
      <c r="I1218" s="5">
        <f>prices!I1219/prices!I1218-1</f>
        <v>2.3177710236796267E-2</v>
      </c>
      <c r="J1218" s="5">
        <f>prices!J1219/prices!J1218-1</f>
        <v>3.9606619004464161E-3</v>
      </c>
      <c r="K1218" s="8">
        <f>SUMPRODUCT(B1218:I1218,weights!$B$5:$I$5)</f>
        <v>9.4451063036723442E-3</v>
      </c>
      <c r="L1218" s="4">
        <f t="shared" si="36"/>
        <v>245.67091377425317</v>
      </c>
      <c r="M1218" s="4">
        <f>L1218/MAX(L$2:L1218)-1</f>
        <v>0</v>
      </c>
      <c r="N1218" s="4">
        <f t="shared" si="37"/>
        <v>7.4681706562637729E-2</v>
      </c>
    </row>
    <row r="1219" spans="1:14">
      <c r="A1219" s="3">
        <f>prices!A1220</f>
        <v>45267</v>
      </c>
      <c r="B1219" s="5">
        <f>prices!B1220/prices!B1219-1</f>
        <v>-1.6448856393259659E-3</v>
      </c>
      <c r="C1219" s="5">
        <f>prices!C1220/prices!C1219-1</f>
        <v>2.996702716160371E-3</v>
      </c>
      <c r="D1219" s="5">
        <f>prices!D1220/prices!D1219-1</f>
        <v>1.6295840069802114E-3</v>
      </c>
      <c r="E1219" s="5">
        <f>prices!E1220/prices!E1219-1</f>
        <v>-5.6969152749460905E-3</v>
      </c>
      <c r="F1219" s="5">
        <f>prices!F1220/prices!F1219-1</f>
        <v>-1.1115861479264688E-2</v>
      </c>
      <c r="G1219" s="5">
        <f>prices!G1220/prices!G1219-1</f>
        <v>6.6721176480859512E-3</v>
      </c>
      <c r="H1219" s="5">
        <f>prices!H1220/prices!H1219-1</f>
        <v>-8.4505641994336855E-4</v>
      </c>
      <c r="I1219" s="5">
        <f>prices!I1220/prices!I1219-1</f>
        <v>-1.0816113950727901E-2</v>
      </c>
      <c r="J1219" s="5">
        <f>prices!J1220/prices!J1219-1</f>
        <v>-1.7456549668778409E-3</v>
      </c>
      <c r="K1219" s="8">
        <f>SUMPRODUCT(B1219:I1219,weights!$B$5:$I$5)</f>
        <v>-2.1987056725979539E-3</v>
      </c>
      <c r="L1219" s="4">
        <f t="shared" si="36"/>
        <v>245.1307557425454</v>
      </c>
      <c r="M1219" s="4">
        <f>L1219/MAX(L$2:L1219)-1</f>
        <v>-2.1987056725979448E-3</v>
      </c>
      <c r="N1219" s="4">
        <f t="shared" si="37"/>
        <v>7.3041208997258966E-2</v>
      </c>
    </row>
    <row r="1220" spans="1:14">
      <c r="A1220" s="3">
        <f>prices!A1221</f>
        <v>45268</v>
      </c>
      <c r="B1220" s="5">
        <f>prices!B1221/prices!B1220-1</f>
        <v>-5.3546861742015395E-4</v>
      </c>
      <c r="C1220" s="5">
        <f>prices!C1221/prices!C1220-1</f>
        <v>3.2632155689891196E-3</v>
      </c>
      <c r="D1220" s="5">
        <f>prices!D1221/prices!D1220-1</f>
        <v>1.395062835474814E-2</v>
      </c>
      <c r="E1220" s="5">
        <f>prices!E1221/prices!E1220-1</f>
        <v>1.722568084744136E-2</v>
      </c>
      <c r="F1220" s="5">
        <f>prices!F1221/prices!F1220-1</f>
        <v>-1.9531548027771461E-2</v>
      </c>
      <c r="G1220" s="5">
        <f>prices!G1221/prices!G1220-1</f>
        <v>-7.3013799203380803E-3</v>
      </c>
      <c r="H1220" s="5">
        <f>prices!H1221/prices!H1220-1</f>
        <v>-2.8275290215589166E-3</v>
      </c>
      <c r="I1220" s="5">
        <f>prices!I1221/prices!I1220-1</f>
        <v>6.8079687519131404E-3</v>
      </c>
      <c r="J1220" s="5">
        <f>prices!J1221/prices!J1220-1</f>
        <v>3.2653705657343934E-3</v>
      </c>
      <c r="K1220" s="8">
        <f>SUMPRODUCT(B1220:I1220,weights!$B$5:$I$5)</f>
        <v>5.778951676767112E-4</v>
      </c>
      <c r="L1220" s="4">
        <f t="shared" ref="L1220:L1283" si="38">L1219*(1+K1220)</f>
        <v>245.27241562173796</v>
      </c>
      <c r="M1220" s="4">
        <f>L1220/MAX(L$2:L1220)-1</f>
        <v>-1.6220811263045753E-3</v>
      </c>
      <c r="N1220" s="4">
        <f t="shared" si="37"/>
        <v>6.7713306859214839E-2</v>
      </c>
    </row>
    <row r="1221" spans="1:14">
      <c r="A1221" s="3">
        <f>prices!A1222</f>
        <v>45271</v>
      </c>
      <c r="B1221" s="5">
        <f>prices!B1222/prices!B1221-1</f>
        <v>1.4671458244039925E-3</v>
      </c>
      <c r="C1221" s="5">
        <f>prices!C1222/prices!C1221-1</f>
        <v>4.4655384141907284E-3</v>
      </c>
      <c r="D1221" s="5">
        <f>prices!D1222/prices!D1221-1</f>
        <v>-1.3392293114339315E-3</v>
      </c>
      <c r="E1221" s="5">
        <f>prices!E1222/prices!E1221-1</f>
        <v>-1.7756302031787241E-3</v>
      </c>
      <c r="F1221" s="5">
        <f>prices!F1222/prices!F1221-1</f>
        <v>7.3405441859260012E-3</v>
      </c>
      <c r="G1221" s="5">
        <f>prices!G1222/prices!G1221-1</f>
        <v>-7.2318180582894298E-3</v>
      </c>
      <c r="H1221" s="5">
        <f>prices!H1222/prices!H1221-1</f>
        <v>4.5318853474585197E-3</v>
      </c>
      <c r="I1221" s="5">
        <f>prices!I1222/prices!I1221-1</f>
        <v>2.1769534813012026E-3</v>
      </c>
      <c r="J1221" s="5">
        <f>prices!J1222/prices!J1221-1</f>
        <v>1.3209724646388032E-3</v>
      </c>
      <c r="K1221" s="8">
        <f>SUMPRODUCT(B1221:I1221,weights!$B$5:$I$5)</f>
        <v>6.4912175519512227E-4</v>
      </c>
      <c r="L1221" s="4">
        <f t="shared" si="38"/>
        <v>245.43162728266731</v>
      </c>
      <c r="M1221" s="4">
        <f>L1221/MAX(L$2:L1221)-1</f>
        <v>-9.7401229925708765E-4</v>
      </c>
      <c r="N1221" s="4">
        <f t="shared" si="37"/>
        <v>6.9221438150945058E-2</v>
      </c>
    </row>
    <row r="1222" spans="1:14">
      <c r="A1222" s="3">
        <f>prices!A1223</f>
        <v>45272</v>
      </c>
      <c r="B1222" s="5">
        <f>prices!B1223/prices!B1222-1</f>
        <v>-1.4353673190564797E-2</v>
      </c>
      <c r="C1222" s="5">
        <f>prices!C1223/prices!C1222-1</f>
        <v>8.0172540679528392E-3</v>
      </c>
      <c r="D1222" s="5">
        <f>prices!D1223/prices!D1222-1</f>
        <v>-9.9311775719852502E-3</v>
      </c>
      <c r="E1222" s="5">
        <f>prices!E1223/prices!E1222-1</f>
        <v>-8.3690549091651745E-3</v>
      </c>
      <c r="F1222" s="5">
        <f>prices!F1223/prices!F1222-1</f>
        <v>1.4419610670513006E-3</v>
      </c>
      <c r="G1222" s="5">
        <f>prices!G1223/prices!G1222-1</f>
        <v>-1.9290086493028769E-2</v>
      </c>
      <c r="H1222" s="5">
        <f>prices!H1223/prices!H1222-1</f>
        <v>-1.8848713618754287E-2</v>
      </c>
      <c r="I1222" s="5">
        <f>prices!I1223/prices!I1222-1</f>
        <v>-1.2817945730789759E-2</v>
      </c>
      <c r="J1222" s="5">
        <f>prices!J1223/prices!J1222-1</f>
        <v>-4.3196441413336784E-3</v>
      </c>
      <c r="K1222" s="8">
        <f>SUMPRODUCT(B1222:I1222,weights!$B$5:$I$5)</f>
        <v>-1.1568029879039753E-2</v>
      </c>
      <c r="L1222" s="4">
        <f t="shared" si="38"/>
        <v>242.59246688500008</v>
      </c>
      <c r="M1222" s="4">
        <f>L1222/MAX(L$2:L1222)-1</f>
        <v>-1.2530774774916487E-2</v>
      </c>
      <c r="N1222" s="4">
        <f t="shared" si="37"/>
        <v>5.5854930429427352E-2</v>
      </c>
    </row>
    <row r="1223" spans="1:14">
      <c r="A1223" s="3">
        <f>prices!A1224</f>
        <v>45273</v>
      </c>
      <c r="B1223" s="5">
        <f>prices!B1224/prices!B1223-1</f>
        <v>4.0832345229546707E-3</v>
      </c>
      <c r="C1223" s="5">
        <f>prices!C1224/prices!C1223-1</f>
        <v>-2.1390087491358178E-2</v>
      </c>
      <c r="D1223" s="5">
        <f>prices!D1224/prices!D1223-1</f>
        <v>-2.2617206966610848E-3</v>
      </c>
      <c r="E1223" s="5">
        <f>prices!E1224/prices!E1223-1</f>
        <v>-1.8320296418279147E-2</v>
      </c>
      <c r="F1223" s="5">
        <f>prices!F1224/prices!F1223-1</f>
        <v>5.6309780931811382E-3</v>
      </c>
      <c r="G1223" s="5">
        <f>prices!G1224/prices!G1223-1</f>
        <v>4.028407199095696E-3</v>
      </c>
      <c r="H1223" s="5">
        <f>prices!H1224/prices!H1223-1</f>
        <v>1.240223746488156E-2</v>
      </c>
      <c r="I1223" s="5">
        <f>prices!I1224/prices!I1223-1</f>
        <v>1.7173185490686693E-2</v>
      </c>
      <c r="J1223" s="5">
        <f>prices!J1224/prices!J1223-1</f>
        <v>9.5425324302600423E-4</v>
      </c>
      <c r="K1223" s="8">
        <f>SUMPRODUCT(B1223:I1223,weights!$B$5:$I$5)</f>
        <v>3.4284905855077995E-3</v>
      </c>
      <c r="L1223" s="4">
        <f t="shared" si="38"/>
        <v>243.42419287383041</v>
      </c>
      <c r="M1223" s="4">
        <f>L1223/MAX(L$2:L1223)-1</f>
        <v>-9.1452458327535568E-3</v>
      </c>
      <c r="N1223" s="4">
        <f t="shared" si="37"/>
        <v>5.846132555180894E-2</v>
      </c>
    </row>
    <row r="1224" spans="1:14">
      <c r="A1224" s="3">
        <f>prices!A1225</f>
        <v>45274</v>
      </c>
      <c r="B1224" s="5">
        <f>prices!B1225/prices!B1224-1</f>
        <v>1.2407793957437629E-2</v>
      </c>
      <c r="C1224" s="5">
        <f>prices!C1225/prices!C1224-1</f>
        <v>2.0508651088009033E-2</v>
      </c>
      <c r="D1224" s="5">
        <f>prices!D1225/prices!D1224-1</f>
        <v>1.1808099177787357E-2</v>
      </c>
      <c r="E1224" s="5">
        <f>prices!E1225/prices!E1224-1</f>
        <v>3.6193571578348349E-2</v>
      </c>
      <c r="F1224" s="5">
        <f>prices!F1225/prices!F1224-1</f>
        <v>9.7670732019123907E-3</v>
      </c>
      <c r="G1224" s="5">
        <f>prices!G1225/prices!G1224-1</f>
        <v>-2.5864628209620877E-3</v>
      </c>
      <c r="H1224" s="5">
        <f>prices!H1225/prices!H1224-1</f>
        <v>-1.4583697925781847E-3</v>
      </c>
      <c r="I1224" s="5">
        <f>prices!I1225/prices!I1224-1</f>
        <v>9.7921620404919363E-3</v>
      </c>
      <c r="J1224" s="5">
        <f>prices!J1225/prices!J1224-1</f>
        <v>1.2250105727946048E-2</v>
      </c>
      <c r="K1224" s="8">
        <f>SUMPRODUCT(B1224:I1224,weights!$B$5:$I$5)</f>
        <v>9.3483916207641096E-3</v>
      </c>
      <c r="L1224" s="4">
        <f t="shared" si="38"/>
        <v>245.69981755878339</v>
      </c>
      <c r="M1224" s="4">
        <f>L1224/MAX(L$2:L1224)-1</f>
        <v>0</v>
      </c>
      <c r="N1224" s="4">
        <f t="shared" si="37"/>
        <v>5.6776486549925842E-2</v>
      </c>
    </row>
    <row r="1225" spans="1:14">
      <c r="A1225" s="3">
        <f>prices!A1226</f>
        <v>45275</v>
      </c>
      <c r="B1225" s="5">
        <f>prices!B1226/prices!B1225-1</f>
        <v>1.2765013676800274E-2</v>
      </c>
      <c r="C1225" s="5">
        <f>prices!C1226/prices!C1225-1</f>
        <v>5.2832755950622534E-2</v>
      </c>
      <c r="D1225" s="5">
        <f>prices!D1226/prices!D1225-1</f>
        <v>3.8732216090324734E-3</v>
      </c>
      <c r="E1225" s="5">
        <f>prices!E1226/prices!E1225-1</f>
        <v>5.1248509377371354E-2</v>
      </c>
      <c r="F1225" s="5">
        <f>prices!F1226/prices!F1225-1</f>
        <v>-4.1273137011622607E-3</v>
      </c>
      <c r="G1225" s="5">
        <f>prices!G1226/prices!G1225-1</f>
        <v>-6.4525634057431835E-3</v>
      </c>
      <c r="H1225" s="5">
        <f>prices!H1226/prices!H1225-1</f>
        <v>3.6136936455741786E-3</v>
      </c>
      <c r="I1225" s="5">
        <f>prices!I1226/prices!I1225-1</f>
        <v>1.5992460056250435E-2</v>
      </c>
      <c r="J1225" s="5">
        <f>prices!J1226/prices!J1225-1</f>
        <v>1.2932723401643864E-2</v>
      </c>
      <c r="K1225" s="8">
        <f>SUMPRODUCT(B1225:I1225,weights!$B$5:$I$5)</f>
        <v>1.2990703591134654E-2</v>
      </c>
      <c r="L1225" s="4">
        <f t="shared" si="38"/>
        <v>248.89163106108543</v>
      </c>
      <c r="M1225" s="4">
        <f>L1225/MAX(L$2:L1225)-1</f>
        <v>0</v>
      </c>
      <c r="N1225" s="4">
        <f t="shared" si="37"/>
        <v>6.5149374495038881E-2</v>
      </c>
    </row>
    <row r="1226" spans="1:14">
      <c r="A1226" s="3">
        <f>prices!A1227</f>
        <v>45278</v>
      </c>
      <c r="B1226" s="5">
        <f>prices!B1227/prices!B1226-1</f>
        <v>1.0179004485250553E-2</v>
      </c>
      <c r="C1226" s="5">
        <f>prices!C1227/prices!C1226-1</f>
        <v>-4.6763538044269914E-4</v>
      </c>
      <c r="D1226" s="5">
        <f>prices!D1227/prices!D1226-1</f>
        <v>-5.1695876938595564E-4</v>
      </c>
      <c r="E1226" s="5">
        <f>prices!E1227/prices!E1226-1</f>
        <v>-8.8961610383896383E-3</v>
      </c>
      <c r="F1226" s="5">
        <f>prices!F1227/prices!F1226-1</f>
        <v>-1.4289346554792748E-2</v>
      </c>
      <c r="G1226" s="5">
        <f>prices!G1227/prices!G1226-1</f>
        <v>3.2271962167362833E-3</v>
      </c>
      <c r="H1226" s="5">
        <f>prices!H1227/prices!H1226-1</f>
        <v>1.3754105858384325E-2</v>
      </c>
      <c r="I1226" s="5">
        <f>prices!I1227/prices!I1226-1</f>
        <v>1.033675437692283E-3</v>
      </c>
      <c r="J1226" s="5">
        <f>prices!J1227/prices!J1226-1</f>
        <v>-1.7710127163373945E-3</v>
      </c>
      <c r="K1226" s="8">
        <f>SUMPRODUCT(B1226:I1226,weights!$B$5:$I$5)</f>
        <v>2.1727770477458024E-3</v>
      </c>
      <c r="L1226" s="4">
        <f t="shared" si="38"/>
        <v>249.43241708443097</v>
      </c>
      <c r="M1226" s="4">
        <f>L1226/MAX(L$2:L1226)-1</f>
        <v>0</v>
      </c>
      <c r="N1226" s="4">
        <f t="shared" si="37"/>
        <v>6.272893778057087E-2</v>
      </c>
    </row>
    <row r="1227" spans="1:14">
      <c r="A1227" s="3">
        <f>prices!A1228</f>
        <v>45279</v>
      </c>
      <c r="B1227" s="5">
        <f>prices!B1228/prices!B1227-1</f>
        <v>1.4717217458329213E-2</v>
      </c>
      <c r="C1227" s="5">
        <f>prices!C1228/prices!C1227-1</f>
        <v>-1.1140600100943088E-2</v>
      </c>
      <c r="D1227" s="5">
        <f>prices!D1228/prices!D1227-1</f>
        <v>-1.6904464544778008E-3</v>
      </c>
      <c r="E1227" s="5">
        <f>prices!E1228/prices!E1227-1</f>
        <v>-3.8706455237856874E-3</v>
      </c>
      <c r="F1227" s="5">
        <f>prices!F1228/prices!F1227-1</f>
        <v>9.8534874122988558E-3</v>
      </c>
      <c r="G1227" s="5">
        <f>prices!G1228/prices!G1227-1</f>
        <v>-8.3331585607125946E-3</v>
      </c>
      <c r="H1227" s="5">
        <f>prices!H1228/prices!H1227-1</f>
        <v>-6.2259554257683147E-3</v>
      </c>
      <c r="I1227" s="5">
        <f>prices!I1228/prices!I1227-1</f>
        <v>2.1034608550347667E-3</v>
      </c>
      <c r="J1227" s="5">
        <f>prices!J1228/prices!J1227-1</f>
        <v>1.6084113611267714E-3</v>
      </c>
      <c r="K1227" s="8">
        <f>SUMPRODUCT(B1227:I1227,weights!$B$5:$I$5)</f>
        <v>-8.7902147700469617E-4</v>
      </c>
      <c r="L1227" s="4">
        <f t="shared" si="38"/>
        <v>249.21316063275256</v>
      </c>
      <c r="M1227" s="4">
        <f>L1227/MAX(L$2:L1227)-1</f>
        <v>-8.7902147700469335E-4</v>
      </c>
      <c r="N1227" s="4">
        <f t="shared" si="37"/>
        <v>6.3649554599884972E-2</v>
      </c>
    </row>
    <row r="1228" spans="1:14">
      <c r="A1228" s="3">
        <f>prices!A1229</f>
        <v>45280</v>
      </c>
      <c r="B1228" s="5">
        <f>prices!B1229/prices!B1228-1</f>
        <v>-1.2098337566564532E-2</v>
      </c>
      <c r="C1228" s="5">
        <f>prices!C1229/prices!C1228-1</f>
        <v>-9.4739709529885197E-3</v>
      </c>
      <c r="D1228" s="5">
        <f>prices!D1229/prices!D1228-1</f>
        <v>2.4894168193594357E-3</v>
      </c>
      <c r="E1228" s="5">
        <f>prices!E1229/prices!E1228-1</f>
        <v>-1.4052533355616847E-2</v>
      </c>
      <c r="F1228" s="5">
        <f>prices!F1229/prices!F1228-1</f>
        <v>-1.118773946360152E-2</v>
      </c>
      <c r="G1228" s="5">
        <f>prices!G1229/prices!G1228-1</f>
        <v>-1.4886848070963743E-2</v>
      </c>
      <c r="H1228" s="5">
        <f>prices!H1229/prices!H1228-1</f>
        <v>-1.0284770945109378E-2</v>
      </c>
      <c r="I1228" s="5">
        <f>prices!I1229/prices!I1228-1</f>
        <v>-2.299262251527312E-2</v>
      </c>
      <c r="J1228" s="5">
        <f>prices!J1229/prices!J1228-1</f>
        <v>-1.4121502253753415E-2</v>
      </c>
      <c r="K1228" s="8">
        <f>SUMPRODUCT(B1228:I1228,weights!$B$5:$I$5)</f>
        <v>-1.3287437056288945E-2</v>
      </c>
      <c r="L1228" s="4">
        <f t="shared" si="38"/>
        <v>245.90175644724602</v>
      </c>
      <c r="M1228" s="4">
        <f>L1228/MAX(L$2:L1228)-1</f>
        <v>-1.4154778590746875E-2</v>
      </c>
      <c r="N1228" s="4">
        <f t="shared" si="37"/>
        <v>4.7137110659115855E-2</v>
      </c>
    </row>
    <row r="1229" spans="1:14">
      <c r="A1229" s="3">
        <f>prices!A1230</f>
        <v>45281</v>
      </c>
      <c r="B1229" s="5">
        <f>prices!B1230/prices!B1229-1</f>
        <v>1.4008586166020631E-2</v>
      </c>
      <c r="C1229" s="5">
        <f>prices!C1230/prices!C1229-1</f>
        <v>1.9713930888343167E-3</v>
      </c>
      <c r="D1229" s="5">
        <f>prices!D1230/prices!D1229-1</f>
        <v>1.7924671002873982E-2</v>
      </c>
      <c r="E1229" s="5">
        <f>prices!E1230/prices!E1229-1</f>
        <v>-2.6132527227262781E-4</v>
      </c>
      <c r="F1229" s="5">
        <f>prices!F1230/prices!F1229-1</f>
        <v>9.8160777020050993E-4</v>
      </c>
      <c r="G1229" s="5">
        <f>prices!G1230/prices!G1229-1</f>
        <v>-6.7850844685256595E-3</v>
      </c>
      <c r="H1229" s="5">
        <f>prices!H1230/prices!H1229-1</f>
        <v>1.1008807045636004E-3</v>
      </c>
      <c r="I1229" s="5">
        <f>prices!I1230/prices!I1229-1</f>
        <v>1.6526491966621926E-3</v>
      </c>
      <c r="J1229" s="5">
        <f>prices!J1230/prices!J1229-1</f>
        <v>4.9597756989903097E-3</v>
      </c>
      <c r="K1229" s="8">
        <f>SUMPRODUCT(B1229:I1229,weights!$B$5:$I$5)</f>
        <v>2.5215233221405828E-3</v>
      </c>
      <c r="L1229" s="4">
        <f t="shared" si="38"/>
        <v>246.52180346108307</v>
      </c>
      <c r="M1229" s="4">
        <f>L1229/MAX(L$2:L1229)-1</f>
        <v>-1.166894687294262E-2</v>
      </c>
      <c r="N1229" s="4">
        <f t="shared" si="37"/>
        <v>4.7088481641841984E-2</v>
      </c>
    </row>
    <row r="1230" spans="1:14">
      <c r="A1230" s="3">
        <f>prices!A1231</f>
        <v>45282</v>
      </c>
      <c r="B1230" s="5">
        <f>prices!B1231/prices!B1230-1</f>
        <v>9.7155630682221883E-4</v>
      </c>
      <c r="C1230" s="5">
        <f>prices!C1231/prices!C1230-1</f>
        <v>9.6353308948868843E-3</v>
      </c>
      <c r="D1230" s="5">
        <f>prices!D1231/prices!D1230-1</f>
        <v>-9.3989152240135931E-3</v>
      </c>
      <c r="E1230" s="5">
        <f>prices!E1231/prices!E1230-1</f>
        <v>1.7513369928434663E-2</v>
      </c>
      <c r="F1230" s="5">
        <f>prices!F1231/prices!F1230-1</f>
        <v>8.309677419354955E-3</v>
      </c>
      <c r="G1230" s="5">
        <f>prices!G1231/prices!G1230-1</f>
        <v>2.040373099147974E-2</v>
      </c>
      <c r="H1230" s="5">
        <f>prices!H1231/prices!H1230-1</f>
        <v>8.2225332400280848E-3</v>
      </c>
      <c r="I1230" s="5">
        <f>prices!I1231/prices!I1230-1</f>
        <v>1.5713261476710594E-2</v>
      </c>
      <c r="J1230" s="5">
        <f>prices!J1231/prices!J1230-1</f>
        <v>4.4389450977533329E-3</v>
      </c>
      <c r="K1230" s="8">
        <f>SUMPRODUCT(B1230:I1230,weights!$B$5:$I$5)</f>
        <v>1.0751626630879607E-2</v>
      </c>
      <c r="L1230" s="4">
        <f t="shared" si="38"/>
        <v>249.17231384826772</v>
      </c>
      <c r="M1230" s="4">
        <f>L1230/MAX(L$2:L1230)-1</f>
        <v>-1.0427804020164411E-3</v>
      </c>
      <c r="N1230" s="4">
        <f t="shared" si="37"/>
        <v>6.1761913697833348E-2</v>
      </c>
    </row>
    <row r="1231" spans="1:14">
      <c r="A1231" s="3">
        <f>prices!A1232</f>
        <v>45286</v>
      </c>
      <c r="B1231" s="5">
        <f>prices!B1232/prices!B1231-1</f>
        <v>5.0740191281841707E-3</v>
      </c>
      <c r="C1231" s="5">
        <f>prices!C1232/prices!C1231-1</f>
        <v>-7.4401142343692994E-3</v>
      </c>
      <c r="D1231" s="5">
        <f>prices!D1232/prices!D1231-1</f>
        <v>6.9379336208512665E-3</v>
      </c>
      <c r="E1231" s="5">
        <f>prices!E1232/prices!E1231-1</f>
        <v>-1.2122642819451745E-2</v>
      </c>
      <c r="F1231" s="5">
        <f>prices!F1232/prices!F1231-1</f>
        <v>2.7641277641277107E-3</v>
      </c>
      <c r="G1231" s="5">
        <f>prices!G1232/prices!G1231-1</f>
        <v>5.2362358414341781E-3</v>
      </c>
      <c r="H1231" s="5">
        <f>prices!H1232/prices!H1231-1</f>
        <v>3.098584566570084E-3</v>
      </c>
      <c r="I1231" s="5">
        <f>prices!I1232/prices!I1231-1</f>
        <v>3.4791648822902754E-3</v>
      </c>
      <c r="J1231" s="5">
        <f>prices!J1232/prices!J1231-1</f>
        <v>4.306912606443225E-3</v>
      </c>
      <c r="K1231" s="8">
        <f>SUMPRODUCT(B1231:I1231,weights!$B$5:$I$5)</f>
        <v>1.8826958664377043E-3</v>
      </c>
      <c r="L1231" s="4">
        <f t="shared" si="38"/>
        <v>249.64142953358058</v>
      </c>
      <c r="M1231" s="4">
        <f>L1231/MAX(L$2:L1231)-1</f>
        <v>0</v>
      </c>
      <c r="N1231" s="4">
        <f t="shared" si="37"/>
        <v>6.5227506445872496E-2</v>
      </c>
    </row>
    <row r="1232" spans="1:14">
      <c r="A1232" s="3">
        <f>prices!A1233</f>
        <v>45287</v>
      </c>
      <c r="B1232" s="5">
        <f>prices!B1233/prices!B1232-1</f>
        <v>3.4074760338234089E-3</v>
      </c>
      <c r="C1232" s="5">
        <f>prices!C1233/prices!C1232-1</f>
        <v>4.1256194916059474E-3</v>
      </c>
      <c r="D1232" s="5">
        <f>prices!D1233/prices!D1232-1</f>
        <v>1.2389819987585371E-2</v>
      </c>
      <c r="E1232" s="5">
        <f>prices!E1233/prices!E1232-1</f>
        <v>1.499135519601924E-2</v>
      </c>
      <c r="F1232" s="5">
        <f>prices!F1233/prices!F1232-1</f>
        <v>1.4037774374682233E-3</v>
      </c>
      <c r="G1232" s="5">
        <f>prices!G1233/prices!G1232-1</f>
        <v>1.7379925984795097E-3</v>
      </c>
      <c r="H1232" s="5">
        <f>prices!H1233/prices!H1232-1</f>
        <v>3.9704113741576563E-3</v>
      </c>
      <c r="I1232" s="5">
        <f>prices!I1233/prices!I1232-1</f>
        <v>1.5457742851676892E-2</v>
      </c>
      <c r="J1232" s="5">
        <f>prices!J1233/prices!J1232-1</f>
        <v>9.9527315211029865E-3</v>
      </c>
      <c r="K1232" s="8">
        <f>SUMPRODUCT(B1232:I1232,weights!$B$5:$I$5)</f>
        <v>7.0868929845819672E-3</v>
      </c>
      <c r="L1232" s="4">
        <f t="shared" si="38"/>
        <v>251.41061162920312</v>
      </c>
      <c r="M1232" s="4">
        <f>L1232/MAX(L$2:L1232)-1</f>
        <v>0</v>
      </c>
      <c r="N1232" s="4">
        <f t="shared" si="37"/>
        <v>7.3174863092838827E-2</v>
      </c>
    </row>
    <row r="1233" spans="1:14">
      <c r="A1233" s="3">
        <f>prices!A1234</f>
        <v>45288</v>
      </c>
      <c r="B1233" s="5">
        <f>prices!B1234/prices!B1233-1</f>
        <v>7.2299903756620765E-3</v>
      </c>
      <c r="C1233" s="5">
        <f>prices!C1234/prices!C1233-1</f>
        <v>-2.9659362366776243E-3</v>
      </c>
      <c r="D1233" s="5">
        <f>prices!D1234/prices!D1233-1</f>
        <v>1.152695345072674E-3</v>
      </c>
      <c r="E1233" s="5">
        <f>prices!E1234/prices!E1233-1</f>
        <v>-2.8390402659004277E-3</v>
      </c>
      <c r="F1233" s="5">
        <f>prices!F1234/prices!F1233-1</f>
        <v>1.5317955906715808E-2</v>
      </c>
      <c r="G1233" s="5">
        <f>prices!G1234/prices!G1233-1</f>
        <v>-1.6428190775370499E-3</v>
      </c>
      <c r="H1233" s="5">
        <f>prices!H1234/prices!H1233-1</f>
        <v>7.7453232687889617E-3</v>
      </c>
      <c r="I1233" s="5">
        <f>prices!I1234/prices!I1233-1</f>
        <v>-7.3242767747676574E-3</v>
      </c>
      <c r="J1233" s="5">
        <f>prices!J1234/prices!J1233-1</f>
        <v>5.7239173853311787E-3</v>
      </c>
      <c r="K1233" s="8">
        <f>SUMPRODUCT(B1233:I1233,weights!$B$5:$I$5)</f>
        <v>1.1918598509984672E-3</v>
      </c>
      <c r="L1233" s="4">
        <f t="shared" si="38"/>
        <v>251.71025784331897</v>
      </c>
      <c r="M1233" s="4">
        <f>L1233/MAX(L$2:L1233)-1</f>
        <v>0</v>
      </c>
      <c r="N1233" s="4">
        <f t="shared" si="37"/>
        <v>6.4891600588129261E-2</v>
      </c>
    </row>
    <row r="1234" spans="1:14">
      <c r="A1234" s="3">
        <f>prices!A1235</f>
        <v>45289</v>
      </c>
      <c r="B1234" s="5">
        <f>prices!B1235/prices!B1234-1</f>
        <v>-7.908331714896133E-3</v>
      </c>
      <c r="C1234" s="5">
        <f>prices!C1235/prices!C1234-1</f>
        <v>-1.7105585232753961E-3</v>
      </c>
      <c r="D1234" s="5">
        <f>prices!D1235/prices!D1234-1</f>
        <v>2.3394821292963552E-3</v>
      </c>
      <c r="E1234" s="5">
        <f>prices!E1235/prices!E1234-1</f>
        <v>-1.2638450053817585E-2</v>
      </c>
      <c r="F1234" s="5">
        <f>prices!F1235/prices!F1234-1</f>
        <v>-4.2925996586004045E-3</v>
      </c>
      <c r="G1234" s="5">
        <f>prices!G1235/prices!G1234-1</f>
        <v>2.9940480251724466E-3</v>
      </c>
      <c r="H1234" s="5">
        <f>prices!H1235/prices!H1234-1</f>
        <v>-2.1412753207843416E-3</v>
      </c>
      <c r="I1234" s="5">
        <f>prices!I1235/prices!I1234-1</f>
        <v>2.2599199976640616E-3</v>
      </c>
      <c r="J1234" s="5">
        <f>prices!J1235/prices!J1234-1</f>
        <v>-2.1718468044464867E-3</v>
      </c>
      <c r="K1234" s="8">
        <f>SUMPRODUCT(B1234:I1234,weights!$B$5:$I$5)</f>
        <v>-1.7088338176937188E-3</v>
      </c>
      <c r="L1234" s="4">
        <f t="shared" si="38"/>
        <v>251.2801268424559</v>
      </c>
      <c r="M1234" s="4">
        <f>L1234/MAX(L$2:L1234)-1</f>
        <v>-1.7088338176937112E-3</v>
      </c>
      <c r="N1234" s="4">
        <f t="shared" si="37"/>
        <v>6.0593538240808487E-2</v>
      </c>
    </row>
    <row r="1235" spans="1:14">
      <c r="A1235" s="3">
        <f>prices!A1236</f>
        <v>45292</v>
      </c>
      <c r="B1235" s="5">
        <f>prices!B1236/prices!B1235-1</f>
        <v>2.0515711746420529E-3</v>
      </c>
      <c r="C1235" s="5">
        <f>prices!C1236/prices!C1235-1</f>
        <v>4.6673839860842392E-3</v>
      </c>
      <c r="D1235" s="5">
        <f>prices!D1236/prices!D1235-1</f>
        <v>-6.5254848288588407E-3</v>
      </c>
      <c r="E1235" s="5">
        <f>prices!E1236/prices!E1235-1</f>
        <v>5.4787776488378626E-3</v>
      </c>
      <c r="F1235" s="5">
        <f>prices!F1236/prices!F1235-1</f>
        <v>1.2857683095928385E-2</v>
      </c>
      <c r="G1235" s="5">
        <f>prices!G1236/prices!G1235-1</f>
        <v>-1.8496880839672381E-3</v>
      </c>
      <c r="H1235" s="5">
        <f>prices!H1236/prices!H1235-1</f>
        <v>6.3641778379763814E-4</v>
      </c>
      <c r="I1235" s="5">
        <f>prices!I1236/prices!I1235-1</f>
        <v>-1.5440011186718117E-4</v>
      </c>
      <c r="J1235" s="5">
        <f>prices!J1236/prices!J1235-1</f>
        <v>4.8317181589774272E-4</v>
      </c>
      <c r="K1235" s="8">
        <f>SUMPRODUCT(B1235:I1235,weights!$B$5:$I$5)</f>
        <v>1.4312063014445355E-3</v>
      </c>
      <c r="L1235" s="4">
        <f t="shared" si="38"/>
        <v>251.63976054342061</v>
      </c>
      <c r="M1235" s="4">
        <f>L1235/MAX(L$2:L1235)-1</f>
        <v>-2.8007320997713858E-4</v>
      </c>
      <c r="N1235" s="4">
        <f t="shared" si="37"/>
        <v>5.2355327197602719E-2</v>
      </c>
    </row>
    <row r="1236" spans="1:14">
      <c r="A1236" s="3">
        <f>prices!A1237</f>
        <v>45293</v>
      </c>
      <c r="B1236" s="5">
        <f>prices!B1237/prices!B1236-1</f>
        <v>8.2832561010868222E-3</v>
      </c>
      <c r="C1236" s="5">
        <f>prices!C1237/prices!C1236-1</f>
        <v>-7.3217162102796607E-3</v>
      </c>
      <c r="D1236" s="5">
        <f>prices!D1237/prices!D1236-1</f>
        <v>5.9041316621355477E-4</v>
      </c>
      <c r="E1236" s="5">
        <f>prices!E1237/prices!E1236-1</f>
        <v>-1.0925827481044315E-2</v>
      </c>
      <c r="F1236" s="5">
        <f>prices!F1237/prices!F1236-1</f>
        <v>4.9284380833851671E-3</v>
      </c>
      <c r="G1236" s="5">
        <f>prices!G1237/prices!G1236-1</f>
        <v>-8.3184753337162132E-3</v>
      </c>
      <c r="H1236" s="5">
        <f>prices!H1237/prices!H1236-1</f>
        <v>2.8522737465243253E-2</v>
      </c>
      <c r="I1236" s="5">
        <f>prices!I1237/prices!I1236-1</f>
        <v>-2.4777760619560496E-2</v>
      </c>
      <c r="J1236" s="5">
        <f>prices!J1237/prices!J1236-1</f>
        <v>-3.5001540803702991E-3</v>
      </c>
      <c r="K1236" s="8">
        <f>SUMPRODUCT(B1236:I1236,weights!$B$5:$I$5)</f>
        <v>-2.2543643362686969E-3</v>
      </c>
      <c r="L1236" s="4">
        <f t="shared" si="38"/>
        <v>251.07247284166434</v>
      </c>
      <c r="M1236" s="4">
        <f>L1236/MAX(L$2:L1236)-1</f>
        <v>-2.5338061591897443E-3</v>
      </c>
      <c r="N1236" s="4">
        <f t="shared" si="37"/>
        <v>3.620176793666241E-2</v>
      </c>
    </row>
    <row r="1237" spans="1:14">
      <c r="A1237" s="3">
        <f>prices!A1238</f>
        <v>45294</v>
      </c>
      <c r="B1237" s="5">
        <f>prices!B1238/prices!B1237-1</f>
        <v>-1.087352455649504E-2</v>
      </c>
      <c r="C1237" s="5">
        <f>prices!C1238/prices!C1237-1</f>
        <v>-2.4172111682849939E-2</v>
      </c>
      <c r="D1237" s="5">
        <f>prices!D1238/prices!D1237-1</f>
        <v>-1.5415442487123121E-2</v>
      </c>
      <c r="E1237" s="5">
        <f>prices!E1238/prices!E1237-1</f>
        <v>-2.8938770314422713E-2</v>
      </c>
      <c r="F1237" s="5">
        <f>prices!F1238/prices!F1237-1</f>
        <v>1.4663265053377117E-2</v>
      </c>
      <c r="G1237" s="5">
        <f>prices!G1238/prices!G1237-1</f>
        <v>-1.1777915448433096E-2</v>
      </c>
      <c r="H1237" s="5">
        <f>prices!H1238/prices!H1237-1</f>
        <v>1.8551257759420459E-3</v>
      </c>
      <c r="I1237" s="5">
        <f>prices!I1238/prices!I1237-1</f>
        <v>6.5430361480345312E-4</v>
      </c>
      <c r="J1237" s="5">
        <f>prices!J1238/prices!J1237-1</f>
        <v>-6.8518125340398806E-3</v>
      </c>
      <c r="K1237" s="8">
        <f>SUMPRODUCT(B1237:I1237,weights!$B$5:$I$5)</f>
        <v>-7.7596630367056437E-3</v>
      </c>
      <c r="L1237" s="4">
        <f t="shared" si="38"/>
        <v>249.12423505462061</v>
      </c>
      <c r="M1237" s="4">
        <f>L1237/MAX(L$2:L1237)-1</f>
        <v>-1.027380771389963E-2</v>
      </c>
      <c r="N1237" s="4">
        <f t="shared" si="37"/>
        <v>2.3634569001582229E-2</v>
      </c>
    </row>
    <row r="1238" spans="1:14">
      <c r="A1238" s="3">
        <f>prices!A1239</f>
        <v>45295</v>
      </c>
      <c r="B1238" s="5">
        <f>prices!B1239/prices!B1238-1</f>
        <v>5.1635246736558837E-3</v>
      </c>
      <c r="C1238" s="5">
        <f>prices!C1239/prices!C1238-1</f>
        <v>-6.7581186346228339E-3</v>
      </c>
      <c r="D1238" s="5">
        <f>prices!D1239/prices!D1238-1</f>
        <v>1.0725032150125546E-2</v>
      </c>
      <c r="E1238" s="5">
        <f>prices!E1239/prices!E1238-1</f>
        <v>1.5235598281261531E-2</v>
      </c>
      <c r="F1238" s="5">
        <f>prices!F1239/prices!F1238-1</f>
        <v>-1.7820090321004622E-3</v>
      </c>
      <c r="G1238" s="5">
        <f>prices!G1239/prices!G1238-1</f>
        <v>-6.1861785084242893E-3</v>
      </c>
      <c r="H1238" s="5">
        <f>prices!H1239/prices!H1238-1</f>
        <v>1.1046838277769533E-2</v>
      </c>
      <c r="I1238" s="5">
        <f>prices!I1239/prices!I1238-1</f>
        <v>5.3355069478033812E-3</v>
      </c>
      <c r="J1238" s="5">
        <f>prices!J1239/prices!J1238-1</f>
        <v>6.5644700671783074E-3</v>
      </c>
      <c r="K1238" s="8">
        <f>SUMPRODUCT(B1238:I1238,weights!$B$5:$I$5)</f>
        <v>3.5185826254503319E-3</v>
      </c>
      <c r="L1238" s="4">
        <f t="shared" si="38"/>
        <v>250.00079925966239</v>
      </c>
      <c r="M1238" s="4">
        <f>L1238/MAX(L$2:L1238)-1</f>
        <v>-6.791374329768729E-3</v>
      </c>
      <c r="N1238" s="4">
        <f t="shared" si="37"/>
        <v>1.7624737983381822E-2</v>
      </c>
    </row>
    <row r="1239" spans="1:14">
      <c r="A1239" s="3">
        <f>prices!A1240</f>
        <v>45296</v>
      </c>
      <c r="B1239" s="5">
        <f>prices!B1240/prices!B1239-1</f>
        <v>4.2561484195346999E-3</v>
      </c>
      <c r="C1239" s="5">
        <f>prices!C1240/prices!C1239-1</f>
        <v>1.9388705191410116E-2</v>
      </c>
      <c r="D1239" s="5">
        <f>prices!D1240/prices!D1239-1</f>
        <v>-5.1141417136080225E-3</v>
      </c>
      <c r="E1239" s="5">
        <f>prices!E1240/prices!E1239-1</f>
        <v>1.3120328259278891E-2</v>
      </c>
      <c r="F1239" s="5">
        <f>prices!F1240/prices!F1239-1</f>
        <v>-5.1354788222636172E-3</v>
      </c>
      <c r="G1239" s="5">
        <f>prices!G1240/prices!G1239-1</f>
        <v>1.6979221548996115E-4</v>
      </c>
      <c r="H1239" s="5">
        <f>prices!H1240/prices!H1239-1</f>
        <v>-9.7129931829033067E-3</v>
      </c>
      <c r="I1239" s="5">
        <f>prices!I1240/prices!I1239-1</f>
        <v>1.8270752836985871E-2</v>
      </c>
      <c r="J1239" s="5">
        <f>prices!J1240/prices!J1239-1</f>
        <v>2.4101280784538659E-3</v>
      </c>
      <c r="K1239" s="8">
        <f>SUMPRODUCT(B1239:I1239,weights!$B$5:$I$5)</f>
        <v>4.7134311086616081E-3</v>
      </c>
      <c r="L1239" s="4">
        <f t="shared" si="38"/>
        <v>251.17916080408315</v>
      </c>
      <c r="M1239" s="4">
        <f>L1239/MAX(L$2:L1239)-1</f>
        <v>-2.109953896143546E-3</v>
      </c>
      <c r="N1239" s="4">
        <f t="shared" ref="N1239:N1302" si="39">L1239/L1219-1</f>
        <v>2.4674199054361967E-2</v>
      </c>
    </row>
    <row r="1240" spans="1:14">
      <c r="A1240" s="3">
        <f>prices!A1241</f>
        <v>45299</v>
      </c>
      <c r="B1240" s="5">
        <f>prices!B1241/prices!B1240-1</f>
        <v>-7.8009174810410586E-3</v>
      </c>
      <c r="C1240" s="5">
        <f>prices!C1241/prices!C1240-1</f>
        <v>-1.5943136342212449E-2</v>
      </c>
      <c r="D1240" s="5">
        <f>prices!D1241/prices!D1240-1</f>
        <v>-1.1137599642404905E-2</v>
      </c>
      <c r="E1240" s="5">
        <f>prices!E1241/prices!E1240-1</f>
        <v>-6.3583774100587354E-3</v>
      </c>
      <c r="F1240" s="5">
        <f>prices!F1241/prices!F1240-1</f>
        <v>-1.7845730298412077E-2</v>
      </c>
      <c r="G1240" s="5">
        <f>prices!G1241/prices!G1240-1</f>
        <v>-7.0189445655651772E-3</v>
      </c>
      <c r="H1240" s="5">
        <f>prices!H1241/prices!H1240-1</f>
        <v>3.928046409433561E-3</v>
      </c>
      <c r="I1240" s="5">
        <f>prices!I1241/prices!I1240-1</f>
        <v>-5.9061146515392293E-3</v>
      </c>
      <c r="J1240" s="5">
        <f>prices!J1241/prices!J1240-1</f>
        <v>-9.1106730290915205E-3</v>
      </c>
      <c r="K1240" s="8">
        <f>SUMPRODUCT(B1240:I1240,weights!$B$5:$I$5)</f>
        <v>-7.1870370851811532E-3</v>
      </c>
      <c r="L1240" s="4">
        <f t="shared" si="38"/>
        <v>249.37392686035952</v>
      </c>
      <c r="M1240" s="4">
        <f>L1240/MAX(L$2:L1240)-1</f>
        <v>-9.2818266644251191E-3</v>
      </c>
      <c r="N1240" s="4">
        <f t="shared" si="39"/>
        <v>1.6722268699579157E-2</v>
      </c>
    </row>
    <row r="1241" spans="1:14">
      <c r="A1241" s="3">
        <f>prices!A1242</f>
        <v>45300</v>
      </c>
      <c r="B1241" s="5">
        <f>prices!B1242/prices!B1241-1</f>
        <v>-2.6442194858634638E-3</v>
      </c>
      <c r="C1241" s="5">
        <f>prices!C1242/prices!C1241-1</f>
        <v>3.1534198243010625E-3</v>
      </c>
      <c r="D1241" s="5">
        <f>prices!D1242/prices!D1241-1</f>
        <v>-7.784934895342821E-3</v>
      </c>
      <c r="E1241" s="5">
        <f>prices!E1242/prices!E1241-1</f>
        <v>4.2684186898305221E-3</v>
      </c>
      <c r="F1241" s="5">
        <f>prices!F1242/prices!F1241-1</f>
        <v>-2.0272299529482396E-3</v>
      </c>
      <c r="G1241" s="5">
        <f>prices!G1242/prices!G1241-1</f>
        <v>7.7814238451423545E-3</v>
      </c>
      <c r="H1241" s="5">
        <f>prices!H1242/prices!H1241-1</f>
        <v>1.4320241216157825E-2</v>
      </c>
      <c r="I1241" s="5">
        <f>prices!I1242/prices!I1241-1</f>
        <v>1.5667175214176821E-2</v>
      </c>
      <c r="J1241" s="5">
        <f>prices!J1242/prices!J1241-1</f>
        <v>1.4805001626922998E-3</v>
      </c>
      <c r="K1241" s="8">
        <f>SUMPRODUCT(B1241:I1241,weights!$B$5:$I$5)</f>
        <v>6.312511571963551E-3</v>
      </c>
      <c r="L1241" s="4">
        <f t="shared" si="38"/>
        <v>250.94810265941152</v>
      </c>
      <c r="M1241" s="4">
        <f>L1241/MAX(L$2:L1241)-1</f>
        <v>-3.0279067306897556E-3</v>
      </c>
      <c r="N1241" s="4">
        <f t="shared" si="39"/>
        <v>2.247662796282901E-2</v>
      </c>
    </row>
    <row r="1242" spans="1:14">
      <c r="A1242" s="3">
        <f>prices!A1243</f>
        <v>45301</v>
      </c>
      <c r="B1242" s="5">
        <f>prices!B1243/prices!B1242-1</f>
        <v>2.6967243975903443E-2</v>
      </c>
      <c r="C1242" s="5">
        <f>prices!C1243/prices!C1242-1</f>
        <v>6.2721861905141729E-3</v>
      </c>
      <c r="D1242" s="5">
        <f>prices!D1243/prices!D1242-1</f>
        <v>3.2902646132040303E-3</v>
      </c>
      <c r="E1242" s="5">
        <f>prices!E1243/prices!E1242-1</f>
        <v>-6.1519030454402213E-3</v>
      </c>
      <c r="F1242" s="5">
        <f>prices!F1243/prices!F1242-1</f>
        <v>-2.683385579937303E-3</v>
      </c>
      <c r="G1242" s="5">
        <f>prices!G1243/prices!G1242-1</f>
        <v>-1.3859344107569616E-3</v>
      </c>
      <c r="H1242" s="5">
        <f>prices!H1243/prices!H1242-1</f>
        <v>6.4419987271224777E-4</v>
      </c>
      <c r="I1242" s="5">
        <f>prices!I1243/prices!I1242-1</f>
        <v>-2.9377780345485327E-3</v>
      </c>
      <c r="J1242" s="5">
        <f>prices!J1243/prices!J1242-1</f>
        <v>3.4277333098164942E-3</v>
      </c>
      <c r="K1242" s="8">
        <f>SUMPRODUCT(B1242:I1242,weights!$B$5:$I$5)</f>
        <v>2.7310474432614591E-3</v>
      </c>
      <c r="L1242" s="4">
        <f t="shared" si="38"/>
        <v>251.6334538335708</v>
      </c>
      <c r="M1242" s="4">
        <f>L1242/MAX(L$2:L1242)-1</f>
        <v>-3.0512864436371689E-4</v>
      </c>
      <c r="N1242" s="4">
        <f t="shared" si="39"/>
        <v>3.7268209786813111E-2</v>
      </c>
    </row>
    <row r="1243" spans="1:14">
      <c r="A1243" s="3">
        <f>prices!A1244</f>
        <v>45302</v>
      </c>
      <c r="B1243" s="5">
        <f>prices!B1244/prices!B1243-1</f>
        <v>2.6304935612483371E-2</v>
      </c>
      <c r="C1243" s="5">
        <f>prices!C1244/prices!C1243-1</f>
        <v>6.0592128917416055E-3</v>
      </c>
      <c r="D1243" s="5">
        <f>prices!D1244/prices!D1243-1</f>
        <v>-4.1876363819829399E-3</v>
      </c>
      <c r="E1243" s="5">
        <f>prices!E1244/prices!E1243-1</f>
        <v>-1.690643629743338E-2</v>
      </c>
      <c r="F1243" s="5">
        <f>prices!F1244/prices!F1243-1</f>
        <v>-1.408167370750335E-3</v>
      </c>
      <c r="G1243" s="5">
        <f>prices!G1244/prices!G1243-1</f>
        <v>8.957243063556497E-5</v>
      </c>
      <c r="H1243" s="5">
        <f>prices!H1244/prices!H1243-1</f>
        <v>-6.4921465968585945E-3</v>
      </c>
      <c r="I1243" s="5">
        <f>prices!I1244/prices!I1243-1</f>
        <v>-1.1467046004351555E-2</v>
      </c>
      <c r="J1243" s="5">
        <f>prices!J1244/prices!J1243-1</f>
        <v>1.3183031357111297E-3</v>
      </c>
      <c r="K1243" s="8">
        <f>SUMPRODUCT(B1243:I1243,weights!$B$5:$I$5)</f>
        <v>-1.2026503438623919E-3</v>
      </c>
      <c r="L1243" s="4">
        <f t="shared" si="38"/>
        <v>251.33082677379059</v>
      </c>
      <c r="M1243" s="4">
        <f>L1243/MAX(L$2:L1243)-1</f>
        <v>-1.5074120251569179E-3</v>
      </c>
      <c r="N1243" s="4">
        <f t="shared" si="39"/>
        <v>3.2480887814048565E-2</v>
      </c>
    </row>
    <row r="1244" spans="1:14">
      <c r="A1244" s="3">
        <f>prices!A1245</f>
        <v>45303</v>
      </c>
      <c r="B1244" s="5">
        <f>prices!B1245/prices!B1244-1</f>
        <v>7.9556448612041475E-3</v>
      </c>
      <c r="C1244" s="5">
        <f>prices!C1245/prices!C1244-1</f>
        <v>3.9420108151177358E-2</v>
      </c>
      <c r="D1244" s="5">
        <f>prices!D1245/prices!D1244-1</f>
        <v>-4.7372354304677788E-3</v>
      </c>
      <c r="E1244" s="5">
        <f>prices!E1245/prices!E1244-1</f>
        <v>7.9340871623927889E-2</v>
      </c>
      <c r="F1244" s="5">
        <f>prices!F1245/prices!F1244-1</f>
        <v>8.7379129734084238E-3</v>
      </c>
      <c r="G1244" s="5">
        <f>prices!G1245/prices!G1244-1</f>
        <v>-4.5399889640177493E-3</v>
      </c>
      <c r="H1244" s="5">
        <f>prices!H1245/prices!H1244-1</f>
        <v>7.3699331709449201E-3</v>
      </c>
      <c r="I1244" s="5">
        <f>prices!I1245/prices!I1244-1</f>
        <v>1.8247094854999091E-2</v>
      </c>
      <c r="J1244" s="5">
        <f>prices!J1245/prices!J1244-1</f>
        <v>1.1426420045086649E-2</v>
      </c>
      <c r="K1244" s="8">
        <f>SUMPRODUCT(B1244:I1244,weights!$B$5:$I$5)</f>
        <v>1.5400273379439298E-2</v>
      </c>
      <c r="L1244" s="4">
        <f t="shared" si="38"/>
        <v>255.20139021478749</v>
      </c>
      <c r="M1244" s="4">
        <f>L1244/MAX(L$2:L1244)-1</f>
        <v>0</v>
      </c>
      <c r="N1244" s="4">
        <f t="shared" si="39"/>
        <v>3.8671468096352468E-2</v>
      </c>
    </row>
    <row r="1245" spans="1:14">
      <c r="A1245" s="3">
        <f>prices!A1246</f>
        <v>45306</v>
      </c>
      <c r="B1245" s="5">
        <f>prices!B1246/prices!B1245-1</f>
        <v>1.7070415463787958E-2</v>
      </c>
      <c r="C1245" s="5">
        <f>prices!C1246/prices!C1245-1</f>
        <v>5.408208414710014E-3</v>
      </c>
      <c r="D1245" s="5">
        <f>prices!D1246/prices!D1245-1</f>
        <v>1.9255488386891395E-2</v>
      </c>
      <c r="E1245" s="5">
        <f>prices!E1246/prices!E1245-1</f>
        <v>2.4397464709127847E-2</v>
      </c>
      <c r="F1245" s="5">
        <f>prices!F1246/prices!F1245-1</f>
        <v>1.9471279862204316E-3</v>
      </c>
      <c r="G1245" s="5">
        <f>prices!G1246/prices!G1245-1</f>
        <v>1.2167022766242042E-2</v>
      </c>
      <c r="H1245" s="5">
        <f>prices!H1246/prices!H1245-1</f>
        <v>2.5652551305104243E-3</v>
      </c>
      <c r="I1245" s="5">
        <f>prices!I1246/prices!I1245-1</f>
        <v>-7.2158212709861891E-3</v>
      </c>
      <c r="J1245" s="5">
        <f>prices!J1246/prices!J1245-1</f>
        <v>9.2671463903117868E-3</v>
      </c>
      <c r="K1245" s="8">
        <f>SUMPRODUCT(B1245:I1245,weights!$B$5:$I$5)</f>
        <v>7.6405140991317429E-3</v>
      </c>
      <c r="L1245" s="4">
        <f t="shared" si="38"/>
        <v>257.15126003484164</v>
      </c>
      <c r="M1245" s="4">
        <f>L1245/MAX(L$2:L1245)-1</f>
        <v>0</v>
      </c>
      <c r="N1245" s="4">
        <f t="shared" si="39"/>
        <v>3.3185643641545637E-2</v>
      </c>
    </row>
    <row r="1246" spans="1:14">
      <c r="A1246" s="3">
        <f>prices!A1247</f>
        <v>45307</v>
      </c>
      <c r="B1246" s="5">
        <f>prices!B1247/prices!B1246-1</f>
        <v>-1.3981749678768196E-2</v>
      </c>
      <c r="C1246" s="5">
        <f>prices!C1247/prices!C1246-1</f>
        <v>-1.088717589348287E-2</v>
      </c>
      <c r="D1246" s="5">
        <f>prices!D1247/prices!D1246-1</f>
        <v>3.7958245929476941E-3</v>
      </c>
      <c r="E1246" s="5">
        <f>prices!E1247/prices!E1246-1</f>
        <v>-1.2440229099889732E-2</v>
      </c>
      <c r="F1246" s="5">
        <f>prices!F1247/prices!F1246-1</f>
        <v>1.004061090764119E-2</v>
      </c>
      <c r="G1246" s="5">
        <f>prices!G1247/prices!G1246-1</f>
        <v>9.5818735229478147E-3</v>
      </c>
      <c r="H1246" s="5">
        <f>prices!H1247/prices!H1246-1</f>
        <v>-1.1958597125916959E-2</v>
      </c>
      <c r="I1246" s="5">
        <f>prices!I1247/prices!I1246-1</f>
        <v>8.5960965314098026E-3</v>
      </c>
      <c r="J1246" s="5">
        <f>prices!J1247/prices!J1246-1</f>
        <v>-2.9483039898269281E-3</v>
      </c>
      <c r="K1246" s="8">
        <f>SUMPRODUCT(B1246:I1246,weights!$B$5:$I$5)</f>
        <v>-9.1595229020342947E-4</v>
      </c>
      <c r="L1246" s="4">
        <f t="shared" si="38"/>
        <v>256.91572174928405</v>
      </c>
      <c r="M1246" s="4">
        <f>L1246/MAX(L$2:L1246)-1</f>
        <v>-9.15952290203359E-4</v>
      </c>
      <c r="N1246" s="4">
        <f t="shared" si="39"/>
        <v>3.000133163252805E-2</v>
      </c>
    </row>
    <row r="1247" spans="1:14">
      <c r="A1247" s="3">
        <f>prices!A1248</f>
        <v>45308</v>
      </c>
      <c r="B1247" s="5">
        <f>prices!B1248/prices!B1247-1</f>
        <v>-9.4975151849807649E-3</v>
      </c>
      <c r="C1247" s="5">
        <f>prices!C1248/prices!C1247-1</f>
        <v>6.0334517918982922E-3</v>
      </c>
      <c r="D1247" s="5">
        <f>prices!D1248/prices!D1247-1</f>
        <v>-8.4361628022688762E-2</v>
      </c>
      <c r="E1247" s="5">
        <f>prices!E1248/prices!E1247-1</f>
        <v>5.3074743605092678E-3</v>
      </c>
      <c r="F1247" s="5">
        <f>prices!F1248/prices!F1247-1</f>
        <v>-1.2062160828811064E-2</v>
      </c>
      <c r="G1247" s="5">
        <f>prices!G1248/prices!G1247-1</f>
        <v>-1.2947057031619247E-2</v>
      </c>
      <c r="H1247" s="5">
        <f>prices!H1248/prices!H1247-1</f>
        <v>-1.1000187769919401E-2</v>
      </c>
      <c r="I1247" s="5">
        <f>prices!I1248/prices!I1247-1</f>
        <v>-7.1574553952546971E-4</v>
      </c>
      <c r="J1247" s="5">
        <f>prices!J1248/prices!J1247-1</f>
        <v>-2.0894323334377241E-2</v>
      </c>
      <c r="K1247" s="8">
        <f>SUMPRODUCT(B1247:I1247,weights!$B$5:$I$5)</f>
        <v>-1.182706914863348E-2</v>
      </c>
      <c r="L1247" s="4">
        <f t="shared" si="38"/>
        <v>253.87716174278418</v>
      </c>
      <c r="M1247" s="4">
        <f>L1247/MAX(L$2:L1247)-1</f>
        <v>-1.27321884077638E-2</v>
      </c>
      <c r="N1247" s="4">
        <f t="shared" si="39"/>
        <v>1.8714906942272735E-2</v>
      </c>
    </row>
    <row r="1248" spans="1:14">
      <c r="A1248" s="3">
        <f>prices!A1249</f>
        <v>45309</v>
      </c>
      <c r="B1248" s="5">
        <f>prices!B1249/prices!B1248-1</f>
        <v>4.6827962983611027E-3</v>
      </c>
      <c r="C1248" s="5">
        <f>prices!C1249/prices!C1248-1</f>
        <v>4.6338680826492062E-3</v>
      </c>
      <c r="D1248" s="5">
        <f>prices!D1249/prices!D1248-1</f>
        <v>-3.3392202146447558E-2</v>
      </c>
      <c r="E1248" s="5">
        <f>prices!E1249/prices!E1248-1</f>
        <v>1.4621043717581994E-3</v>
      </c>
      <c r="F1248" s="5">
        <f>prices!F1249/prices!F1248-1</f>
        <v>-2.3719757309430545E-3</v>
      </c>
      <c r="G1248" s="5">
        <f>prices!G1249/prices!G1248-1</f>
        <v>-1.2655489342853765E-2</v>
      </c>
      <c r="H1248" s="5">
        <f>prices!H1249/prices!H1248-1</f>
        <v>2.8288901194525762E-2</v>
      </c>
      <c r="I1248" s="5">
        <f>prices!I1249/prices!I1248-1</f>
        <v>7.0158784949947428E-3</v>
      </c>
      <c r="J1248" s="5">
        <f>prices!J1249/prices!J1248-1</f>
        <v>-5.0853075405793424E-3</v>
      </c>
      <c r="K1248" s="8">
        <f>SUMPRODUCT(B1248:I1248,weights!$B$5:$I$5)</f>
        <v>1.6346485437368906E-3</v>
      </c>
      <c r="L1248" s="4">
        <f t="shared" si="38"/>
        <v>254.29216167551508</v>
      </c>
      <c r="M1248" s="4">
        <f>L1248/MAX(L$2:L1248)-1</f>
        <v>-1.1118352517266228E-2</v>
      </c>
      <c r="N1248" s="4">
        <f t="shared" si="39"/>
        <v>3.4120965012582438E-2</v>
      </c>
    </row>
    <row r="1249" spans="1:14">
      <c r="A1249" s="3">
        <f>prices!A1250</f>
        <v>45310</v>
      </c>
      <c r="B1249" s="5">
        <f>prices!B1250/prices!B1249-1</f>
        <v>-3.625198831058718E-4</v>
      </c>
      <c r="C1249" s="5">
        <f>prices!C1250/prices!C1249-1</f>
        <v>1.7404104979811486E-2</v>
      </c>
      <c r="D1249" s="5">
        <f>prices!D1250/prices!D1249-1</f>
        <v>-1.0428378682257655E-2</v>
      </c>
      <c r="E1249" s="5">
        <f>prices!E1250/prices!E1249-1</f>
        <v>1.010087664246595E-2</v>
      </c>
      <c r="F1249" s="5">
        <f>prices!F1250/prices!F1249-1</f>
        <v>1.2889178095905507E-2</v>
      </c>
      <c r="G1249" s="5">
        <f>prices!G1250/prices!G1249-1</f>
        <v>1.1406437409459347E-2</v>
      </c>
      <c r="H1249" s="5">
        <f>prices!H1250/prices!H1249-1</f>
        <v>-1.1539704275831397E-4</v>
      </c>
      <c r="I1249" s="5">
        <f>prices!I1250/prices!I1249-1</f>
        <v>1.3905432773745341E-2</v>
      </c>
      <c r="J1249" s="5">
        <f>prices!J1250/prices!J1249-1</f>
        <v>7.4619389858938678E-3</v>
      </c>
      <c r="K1249" s="8">
        <f>SUMPRODUCT(B1249:I1249,weights!$B$5:$I$5)</f>
        <v>7.5792377073108531E-3</v>
      </c>
      <c r="L1249" s="4">
        <f t="shared" si="38"/>
        <v>256.21950241595977</v>
      </c>
      <c r="M1249" s="4">
        <f>L1249/MAX(L$2:L1249)-1</f>
        <v>-3.6233834465972947E-3</v>
      </c>
      <c r="N1249" s="4">
        <f t="shared" si="39"/>
        <v>3.9338098369897878E-2</v>
      </c>
    </row>
    <row r="1250" spans="1:14">
      <c r="A1250" s="3">
        <f>prices!A1251</f>
        <v>45314</v>
      </c>
      <c r="B1250" s="5">
        <f>prices!B1251/prices!B1250-1</f>
        <v>-2.8434826371414257E-2</v>
      </c>
      <c r="C1250" s="5">
        <f>prices!C1251/prices!C1250-1</f>
        <v>-2.1504931830771623E-2</v>
      </c>
      <c r="D1250" s="5">
        <f>prices!D1251/prices!D1250-1</f>
        <v>-2.9441840647635331E-2</v>
      </c>
      <c r="E1250" s="5">
        <f>prices!E1251/prices!E1250-1</f>
        <v>-1.0274554943689451E-2</v>
      </c>
      <c r="F1250" s="5">
        <f>prices!F1251/prices!F1250-1</f>
        <v>-2.5870376318845478E-2</v>
      </c>
      <c r="G1250" s="5">
        <f>prices!G1251/prices!G1250-1</f>
        <v>-1.7658008786907708E-2</v>
      </c>
      <c r="H1250" s="5">
        <f>prices!H1251/prices!H1250-1</f>
        <v>3.1976363958113652E-2</v>
      </c>
      <c r="I1250" s="5">
        <f>prices!I1251/prices!I1250-1</f>
        <v>-2.6057411388179075E-2</v>
      </c>
      <c r="J1250" s="5">
        <f>prices!J1251/prices!J1250-1</f>
        <v>-1.7740861328992219E-2</v>
      </c>
      <c r="K1250" s="8">
        <f>SUMPRODUCT(B1250:I1250,weights!$B$5:$I$5)</f>
        <v>-1.4472683214736725E-2</v>
      </c>
      <c r="L1250" s="4">
        <f t="shared" si="38"/>
        <v>252.51131872405611</v>
      </c>
      <c r="M1250" s="4">
        <f>L1250/MAX(L$2:L1250)-1</f>
        <v>-1.8043626580545813E-2</v>
      </c>
      <c r="N1250" s="4">
        <f t="shared" si="39"/>
        <v>1.3400384754711059E-2</v>
      </c>
    </row>
    <row r="1251" spans="1:14">
      <c r="A1251" s="3">
        <f>prices!A1252</f>
        <v>45315</v>
      </c>
      <c r="B1251" s="5">
        <f>prices!B1252/prices!B1251-1</f>
        <v>1.1517893870834905E-2</v>
      </c>
      <c r="C1251" s="5">
        <f>prices!C1252/prices!C1251-1</f>
        <v>-4.2642602043689859E-3</v>
      </c>
      <c r="D1251" s="5">
        <f>prices!D1252/prices!D1251-1</f>
        <v>2.0003804673895509E-2</v>
      </c>
      <c r="E1251" s="5">
        <f>prices!E1252/prices!E1251-1</f>
        <v>2.0247008213783113E-2</v>
      </c>
      <c r="F1251" s="5">
        <f>prices!F1252/prices!F1251-1</f>
        <v>9.3597808441558961E-3</v>
      </c>
      <c r="G1251" s="5">
        <f>prices!G1252/prices!G1251-1</f>
        <v>1.2955303940105578E-2</v>
      </c>
      <c r="H1251" s="5">
        <f>prices!H1252/prices!H1251-1</f>
        <v>2.7511239347781657E-3</v>
      </c>
      <c r="I1251" s="5">
        <f>prices!I1252/prices!I1251-1</f>
        <v>1.0757944795746655E-2</v>
      </c>
      <c r="J1251" s="5">
        <f>prices!J1252/prices!J1251-1</f>
        <v>1.0130045011959243E-2</v>
      </c>
      <c r="K1251" s="8">
        <f>SUMPRODUCT(B1251:I1251,weights!$B$5:$I$5)</f>
        <v>1.0130251041640032E-2</v>
      </c>
      <c r="L1251" s="4">
        <f t="shared" si="38"/>
        <v>255.06932177358641</v>
      </c>
      <c r="M1251" s="4">
        <f>L1251/MAX(L$2:L1251)-1</f>
        <v>-8.0961620058682682E-3</v>
      </c>
      <c r="N1251" s="4">
        <f t="shared" si="39"/>
        <v>2.1742754198079473E-2</v>
      </c>
    </row>
    <row r="1252" spans="1:14">
      <c r="A1252" s="3">
        <f>prices!A1253</f>
        <v>45316</v>
      </c>
      <c r="B1252" s="5">
        <f>prices!B1253/prices!B1252-1</f>
        <v>6.8456011928970106E-3</v>
      </c>
      <c r="C1252" s="5">
        <f>prices!C1253/prices!C1252-1</f>
        <v>-8.2001527451701639E-3</v>
      </c>
      <c r="D1252" s="5">
        <f>prices!D1253/prices!D1252-1</f>
        <v>-1.4432457247790631E-2</v>
      </c>
      <c r="E1252" s="5">
        <f>prices!E1253/prices!E1252-1</f>
        <v>-3.7565983354382881E-3</v>
      </c>
      <c r="F1252" s="5">
        <f>prices!F1253/prices!F1252-1</f>
        <v>-1.7138692734903094E-2</v>
      </c>
      <c r="G1252" s="5">
        <f>prices!G1253/prices!G1252-1</f>
        <v>-1.0732129111609479E-2</v>
      </c>
      <c r="H1252" s="5">
        <f>prices!H1253/prices!H1252-1</f>
        <v>-9.9854270758982233E-3</v>
      </c>
      <c r="I1252" s="5">
        <f>prices!I1253/prices!I1252-1</f>
        <v>1.1848307323341079E-3</v>
      </c>
      <c r="J1252" s="5">
        <f>prices!J1253/prices!J1252-1</f>
        <v>-4.7240717909756702E-3</v>
      </c>
      <c r="K1252" s="8">
        <f>SUMPRODUCT(B1252:I1252,weights!$B$5:$I$5)</f>
        <v>-6.031810206625886E-3</v>
      </c>
      <c r="L1252" s="4">
        <f t="shared" si="38"/>
        <v>253.53079203511535</v>
      </c>
      <c r="M1252" s="4">
        <f>L1252/MAX(L$2:L1252)-1</f>
        <v>-1.4079137699872568E-2</v>
      </c>
      <c r="N1252" s="4">
        <f t="shared" si="39"/>
        <v>8.4331380929902888E-3</v>
      </c>
    </row>
    <row r="1253" spans="1:14">
      <c r="A1253" s="3">
        <f>prices!A1254</f>
        <v>45320</v>
      </c>
      <c r="B1253" s="5">
        <f>prices!B1254/prices!B1253-1</f>
        <v>7.0197090392310812E-2</v>
      </c>
      <c r="C1253" s="5">
        <f>prices!C1254/prices!C1253-1</f>
        <v>-2.4413129472293793E-3</v>
      </c>
      <c r="D1253" s="5">
        <f>prices!D1254/prices!D1253-1</f>
        <v>1.3770415441497708E-2</v>
      </c>
      <c r="E1253" s="5">
        <f>prices!E1254/prices!E1253-1</f>
        <v>-7.4895166271169433E-3</v>
      </c>
      <c r="F1253" s="5">
        <f>prices!F1254/prices!F1253-1</f>
        <v>-1.2835263736544755E-2</v>
      </c>
      <c r="G1253" s="5">
        <f>prices!G1254/prices!G1253-1</f>
        <v>1.1172939624196188E-2</v>
      </c>
      <c r="H1253" s="5">
        <f>prices!H1254/prices!H1253-1</f>
        <v>2.3792178921992146E-2</v>
      </c>
      <c r="I1253" s="5">
        <f>prices!I1254/prices!I1253-1</f>
        <v>3.1878249783466872E-2</v>
      </c>
      <c r="J1253" s="5">
        <f>prices!J1254/prices!J1253-1</f>
        <v>1.8030591122392581E-2</v>
      </c>
      <c r="K1253" s="8">
        <f>SUMPRODUCT(B1253:I1253,weights!$B$5:$I$5)</f>
        <v>2.0076807929414818E-2</v>
      </c>
      <c r="L1253" s="4">
        <f t="shared" si="38"/>
        <v>258.62088105099679</v>
      </c>
      <c r="M1253" s="4">
        <f>L1253/MAX(L$2:L1253)-1</f>
        <v>0</v>
      </c>
      <c r="N1253" s="4">
        <f t="shared" si="39"/>
        <v>2.745467454083439E-2</v>
      </c>
    </row>
    <row r="1254" spans="1:14">
      <c r="A1254" s="3">
        <f>prices!A1255</f>
        <v>45321</v>
      </c>
      <c r="B1254" s="5">
        <f>prices!B1255/prices!B1254-1</f>
        <v>-2.7921442549622588E-2</v>
      </c>
      <c r="C1254" s="5">
        <f>prices!C1255/prices!C1254-1</f>
        <v>-1.172182117075149E-4</v>
      </c>
      <c r="D1254" s="5">
        <f>prices!D1255/prices!D1254-1</f>
        <v>-7.1219344092815495E-3</v>
      </c>
      <c r="E1254" s="5">
        <f>prices!E1255/prices!E1254-1</f>
        <v>-3.1114284404210046E-3</v>
      </c>
      <c r="F1254" s="5">
        <f>prices!F1255/prices!F1254-1</f>
        <v>-2.613380299930057E-2</v>
      </c>
      <c r="G1254" s="5">
        <f>prices!G1255/prices!G1254-1</f>
        <v>-3.9785158083338601E-3</v>
      </c>
      <c r="H1254" s="5">
        <f>prices!H1255/prices!H1254-1</f>
        <v>-2.0774495492257183E-2</v>
      </c>
      <c r="I1254" s="5">
        <f>prices!I1255/prices!I1254-1</f>
        <v>-2.0147763191064372E-2</v>
      </c>
      <c r="J1254" s="5">
        <f>prices!J1255/prices!J1254-1</f>
        <v>-9.9136979243338308E-3</v>
      </c>
      <c r="K1254" s="8">
        <f>SUMPRODUCT(B1254:I1254,weights!$B$5:$I$5)</f>
        <v>-1.441845942648403E-2</v>
      </c>
      <c r="L1254" s="4">
        <f t="shared" si="38"/>
        <v>254.89196637072143</v>
      </c>
      <c r="M1254" s="4">
        <f>L1254/MAX(L$2:L1254)-1</f>
        <v>-1.4418459426484009E-2</v>
      </c>
      <c r="N1254" s="4">
        <f t="shared" si="39"/>
        <v>1.4373757183472113E-2</v>
      </c>
    </row>
    <row r="1255" spans="1:14">
      <c r="A1255" s="3">
        <f>prices!A1256</f>
        <v>45322</v>
      </c>
      <c r="B1255" s="5">
        <f>prices!B1256/prices!B1255-1</f>
        <v>1.3502534421397039E-2</v>
      </c>
      <c r="C1255" s="5">
        <f>prices!C1256/prices!C1255-1</f>
        <v>4.0516506830905463E-3</v>
      </c>
      <c r="D1255" s="5">
        <f>prices!D1256/prices!D1255-1</f>
        <v>1.2639555735523889E-2</v>
      </c>
      <c r="E1255" s="5">
        <f>prices!E1256/prices!E1255-1</f>
        <v>5.7231844823506517E-3</v>
      </c>
      <c r="F1255" s="5">
        <f>prices!F1256/prices!F1255-1</f>
        <v>8.0053191489362074E-3</v>
      </c>
      <c r="G1255" s="5">
        <f>prices!G1256/prices!G1255-1</f>
        <v>2.3639188069594086E-2</v>
      </c>
      <c r="H1255" s="5">
        <f>prices!H1256/prices!H1255-1</f>
        <v>3.4047749252747339E-2</v>
      </c>
      <c r="I1255" s="5">
        <f>prices!I1256/prices!I1255-1</f>
        <v>-4.2260608973452851E-2</v>
      </c>
      <c r="J1255" s="5">
        <f>prices!J1256/prices!J1255-1</f>
        <v>9.4600433972522602E-3</v>
      </c>
      <c r="K1255" s="8">
        <f>SUMPRODUCT(B1255:I1255,weights!$B$5:$I$5)</f>
        <v>5.5739869205684318E-3</v>
      </c>
      <c r="L1255" s="4">
        <f t="shared" si="38"/>
        <v>256.31273085742981</v>
      </c>
      <c r="M1255" s="4">
        <f>L1255/MAX(L$2:L1255)-1</f>
        <v>-8.9248408101735288E-3</v>
      </c>
      <c r="N1255" s="4">
        <f t="shared" si="39"/>
        <v>1.857007932259136E-2</v>
      </c>
    </row>
    <row r="1256" spans="1:14">
      <c r="A1256" s="3">
        <f>prices!A1257</f>
        <v>45323</v>
      </c>
      <c r="B1256" s="5">
        <f>prices!B1257/prices!B1256-1</f>
        <v>1.4188120286862116E-5</v>
      </c>
      <c r="C1256" s="5">
        <f>prices!C1257/prices!C1256-1</f>
        <v>1.0009938744300673E-2</v>
      </c>
      <c r="D1256" s="5">
        <f>prices!D1257/prices!D1256-1</f>
        <v>2.5991831138783006E-3</v>
      </c>
      <c r="E1256" s="5">
        <f>prices!E1257/prices!E1256-1</f>
        <v>-2.3193670414676237E-3</v>
      </c>
      <c r="F1256" s="5">
        <f>prices!F1257/prices!F1256-1</f>
        <v>3.0342207329623339E-3</v>
      </c>
      <c r="G1256" s="5">
        <f>prices!G1257/prices!G1256-1</f>
        <v>4.4277467407777493E-2</v>
      </c>
      <c r="H1256" s="5">
        <f>prices!H1257/prices!H1256-1</f>
        <v>-7.4039729342045835E-3</v>
      </c>
      <c r="I1256" s="5">
        <f>prices!I1257/prices!I1256-1</f>
        <v>-2.3494370679119747E-2</v>
      </c>
      <c r="J1256" s="5">
        <f>prices!J1257/prices!J1256-1</f>
        <v>-1.3003033273956133E-3</v>
      </c>
      <c r="K1256" s="8">
        <f>SUMPRODUCT(B1256:I1256,weights!$B$5:$I$5)</f>
        <v>3.9925655986300327E-3</v>
      </c>
      <c r="L1256" s="4">
        <f t="shared" si="38"/>
        <v>257.33607624914208</v>
      </c>
      <c r="M1256" s="4">
        <f>L1256/MAX(L$2:L1256)-1</f>
        <v>-4.9679082239355576E-3</v>
      </c>
      <c r="N1256" s="4">
        <f t="shared" si="39"/>
        <v>2.4947392028228377E-2</v>
      </c>
    </row>
    <row r="1257" spans="1:14">
      <c r="A1257" s="3">
        <f>prices!A1258</f>
        <v>45324</v>
      </c>
      <c r="B1257" s="5">
        <f>prices!B1258/prices!B1257-1</f>
        <v>2.1764267726031239E-2</v>
      </c>
      <c r="C1257" s="5">
        <f>prices!C1258/prices!C1257-1</f>
        <v>2.9100618610185425E-2</v>
      </c>
      <c r="D1257" s="5">
        <f>prices!D1258/prices!D1257-1</f>
        <v>-1.3774143923423132E-2</v>
      </c>
      <c r="E1257" s="5">
        <f>prices!E1258/prices!E1257-1</f>
        <v>2.1911672254819825E-2</v>
      </c>
      <c r="F1257" s="5">
        <f>prices!F1258/prices!F1257-1</f>
        <v>-6.3131313131313815E-3</v>
      </c>
      <c r="G1257" s="5">
        <f>prices!G1258/prices!G1257-1</f>
        <v>1.6450443764768341E-3</v>
      </c>
      <c r="H1257" s="5">
        <f>prices!H1258/prices!H1257-1</f>
        <v>6.174641637228806E-3</v>
      </c>
      <c r="I1257" s="5">
        <f>prices!I1258/prices!I1257-1</f>
        <v>-6.4600381495936166E-3</v>
      </c>
      <c r="J1257" s="5">
        <f>prices!J1258/prices!J1257-1</f>
        <v>7.2059159025599229E-3</v>
      </c>
      <c r="K1257" s="8">
        <f>SUMPRODUCT(B1257:I1257,weights!$B$5:$I$5)</f>
        <v>5.6086966235221972E-3</v>
      </c>
      <c r="L1257" s="4">
        <f t="shared" si="38"/>
        <v>258.77939623111109</v>
      </c>
      <c r="M1257" s="4">
        <f>L1257/MAX(L$2:L1257)-1</f>
        <v>0</v>
      </c>
      <c r="N1257" s="4">
        <f t="shared" si="39"/>
        <v>3.8756410729664958E-2</v>
      </c>
    </row>
    <row r="1258" spans="1:14">
      <c r="A1258" s="3">
        <f>prices!A1259</f>
        <v>45327</v>
      </c>
      <c r="B1258" s="5">
        <f>prices!B1259/prices!B1258-1</f>
        <v>-1.2809564474807744E-2</v>
      </c>
      <c r="C1258" s="5">
        <f>prices!C1259/prices!C1258-1</f>
        <v>1.7644464049404451E-3</v>
      </c>
      <c r="D1258" s="5">
        <f>prices!D1259/prices!D1258-1</f>
        <v>-8.9547496280895089E-4</v>
      </c>
      <c r="E1258" s="5">
        <f>prices!E1259/prices!E1258-1</f>
        <v>-3.6334508170459134E-3</v>
      </c>
      <c r="F1258" s="5">
        <f>prices!F1259/prices!F1258-1</f>
        <v>-4.6590427784837241E-3</v>
      </c>
      <c r="G1258" s="5">
        <f>prices!G1259/prices!G1258-1</f>
        <v>-2.1294355583626468E-2</v>
      </c>
      <c r="H1258" s="5">
        <f>prices!H1259/prices!H1258-1</f>
        <v>3.3287875930305244E-2</v>
      </c>
      <c r="I1258" s="5">
        <f>prices!I1259/prices!I1258-1</f>
        <v>-1.0159249815922533E-2</v>
      </c>
      <c r="J1258" s="5">
        <f>prices!J1259/prices!J1258-1</f>
        <v>-3.756783717248191E-3</v>
      </c>
      <c r="K1258" s="8">
        <f>SUMPRODUCT(B1258:I1258,weights!$B$5:$I$5)</f>
        <v>-3.3593879913259681E-3</v>
      </c>
      <c r="L1258" s="4">
        <f t="shared" si="38"/>
        <v>257.9100558350097</v>
      </c>
      <c r="M1258" s="4">
        <f>L1258/MAX(L$2:L1258)-1</f>
        <v>-3.3593879913260682E-3</v>
      </c>
      <c r="N1258" s="4">
        <f t="shared" si="39"/>
        <v>3.1636925156916851E-2</v>
      </c>
    </row>
    <row r="1259" spans="1:14">
      <c r="A1259" s="3">
        <f>prices!A1260</f>
        <v>45328</v>
      </c>
      <c r="B1259" s="5">
        <f>prices!B1260/prices!B1259-1</f>
        <v>-7.7995330126312545E-3</v>
      </c>
      <c r="C1259" s="5">
        <f>prices!C1260/prices!C1259-1</f>
        <v>4.0948387855515689E-2</v>
      </c>
      <c r="D1259" s="5">
        <f>prices!D1260/prices!D1259-1</f>
        <v>-5.2041922659917805E-4</v>
      </c>
      <c r="E1259" s="5">
        <f>prices!E1260/prices!E1259-1</f>
        <v>2.5038107059935921E-2</v>
      </c>
      <c r="F1259" s="5">
        <f>prices!F1260/prices!F1259-1</f>
        <v>-1.5186170212765915E-2</v>
      </c>
      <c r="G1259" s="5">
        <f>prices!G1260/prices!G1259-1</f>
        <v>3.9919041223552831E-2</v>
      </c>
      <c r="H1259" s="5">
        <f>prices!H1260/prices!H1259-1</f>
        <v>7.7151501962133828E-3</v>
      </c>
      <c r="I1259" s="5">
        <f>prices!I1260/prices!I1259-1</f>
        <v>2.4689005216290028E-2</v>
      </c>
      <c r="J1259" s="5">
        <f>prices!J1260/prices!J1259-1</f>
        <v>7.2433480160023489E-3</v>
      </c>
      <c r="K1259" s="8">
        <f>SUMPRODUCT(B1259:I1259,weights!$B$5:$I$5)</f>
        <v>1.7202307148999098E-2</v>
      </c>
      <c r="L1259" s="4">
        <f t="shared" si="38"/>
        <v>262.34670383229906</v>
      </c>
      <c r="M1259" s="4">
        <f>L1259/MAX(L$2:L1259)-1</f>
        <v>0</v>
      </c>
      <c r="N1259" s="4">
        <f t="shared" si="39"/>
        <v>4.4460467948320259E-2</v>
      </c>
    </row>
    <row r="1260" spans="1:14">
      <c r="A1260" s="3">
        <f>prices!A1261</f>
        <v>45329</v>
      </c>
      <c r="B1260" s="5">
        <f>prices!B1261/prices!B1260-1</f>
        <v>1.0051106117848985E-2</v>
      </c>
      <c r="C1260" s="5">
        <f>prices!C1261/prices!C1260-1</f>
        <v>-1.2719290179005527E-2</v>
      </c>
      <c r="D1260" s="5">
        <f>prices!D1261/prices!D1260-1</f>
        <v>-9.8063321714227936E-3</v>
      </c>
      <c r="E1260" s="5">
        <f>prices!E1261/prices!E1260-1</f>
        <v>-2.06430077301476E-2</v>
      </c>
      <c r="F1260" s="5">
        <f>prices!F1261/prices!F1260-1</f>
        <v>9.4520510950868442E-4</v>
      </c>
      <c r="G1260" s="5">
        <f>prices!G1261/prices!G1260-1</f>
        <v>8.377159387455313E-3</v>
      </c>
      <c r="H1260" s="5">
        <f>prices!H1261/prices!H1260-1</f>
        <v>1.43090019923926E-2</v>
      </c>
      <c r="I1260" s="5">
        <f>prices!I1261/prices!I1260-1</f>
        <v>-8.6303354641692476E-3</v>
      </c>
      <c r="J1260" s="5">
        <f>prices!J1261/prices!J1260-1</f>
        <v>5.0160971116319786E-5</v>
      </c>
      <c r="K1260" s="8">
        <f>SUMPRODUCT(B1260:I1260,weights!$B$5:$I$5)</f>
        <v>-1.5052008196809216E-4</v>
      </c>
      <c r="L1260" s="4">
        <f t="shared" si="38"/>
        <v>262.30721538493412</v>
      </c>
      <c r="M1260" s="4">
        <f>L1260/MAX(L$2:L1260)-1</f>
        <v>-1.5052008196825284E-4</v>
      </c>
      <c r="N1260" s="4">
        <f t="shared" si="39"/>
        <v>5.1863034309183265E-2</v>
      </c>
    </row>
    <row r="1261" spans="1:14">
      <c r="A1261" s="3">
        <f>prices!A1262</f>
        <v>45330</v>
      </c>
      <c r="B1261" s="5">
        <f>prices!B1262/prices!B1261-1</f>
        <v>5.5299409812135103E-3</v>
      </c>
      <c r="C1261" s="5">
        <f>prices!C1262/prices!C1261-1</f>
        <v>1.2417434439884856E-2</v>
      </c>
      <c r="D1261" s="5">
        <f>prices!D1262/prices!D1261-1</f>
        <v>-1.8813631118447027E-2</v>
      </c>
      <c r="E1261" s="5">
        <f>prices!E1262/prices!E1261-1</f>
        <v>-9.7382212370100696E-4</v>
      </c>
      <c r="F1261" s="5">
        <f>prices!F1262/prices!F1261-1</f>
        <v>-2.5307576084610428E-2</v>
      </c>
      <c r="G1261" s="5">
        <f>prices!G1262/prices!G1261-1</f>
        <v>-1.7538717590834252E-2</v>
      </c>
      <c r="H1261" s="5">
        <f>prices!H1262/prices!H1261-1</f>
        <v>2.2733516483515182E-3</v>
      </c>
      <c r="I1261" s="5">
        <f>prices!I1262/prices!I1261-1</f>
        <v>-1.7438166072584971E-2</v>
      </c>
      <c r="J1261" s="5">
        <f>prices!J1262/prices!J1261-1</f>
        <v>-9.6919814869701471E-3</v>
      </c>
      <c r="K1261" s="8">
        <f>SUMPRODUCT(B1261:I1261,weights!$B$5:$I$5)</f>
        <v>-8.3049332564239416E-3</v>
      </c>
      <c r="L1261" s="4">
        <f t="shared" si="38"/>
        <v>260.12877146848382</v>
      </c>
      <c r="M1261" s="4">
        <f>L1261/MAX(L$2:L1261)-1</f>
        <v>-8.4542032791576904E-3</v>
      </c>
      <c r="N1261" s="4">
        <f t="shared" si="39"/>
        <v>3.6583933936063184E-2</v>
      </c>
    </row>
    <row r="1262" spans="1:14">
      <c r="A1262" s="3">
        <f>prices!A1263</f>
        <v>45331</v>
      </c>
      <c r="B1262" s="5">
        <f>prices!B1263/prices!B1262-1</f>
        <v>7.3210733852113741E-3</v>
      </c>
      <c r="C1262" s="5">
        <f>prices!C1263/prices!C1262-1</f>
        <v>-9.7258876844086295E-5</v>
      </c>
      <c r="D1262" s="5">
        <f>prices!D1263/prices!D1262-1</f>
        <v>4.0194721093289587E-4</v>
      </c>
      <c r="E1262" s="5">
        <f>prices!E1263/prices!E1262-1</f>
        <v>-1.34415842600073E-2</v>
      </c>
      <c r="F1262" s="5">
        <f>prices!F1263/prices!F1262-1</f>
        <v>2.2975142556607153E-3</v>
      </c>
      <c r="G1262" s="5">
        <f>prices!G1263/prices!G1262-1</f>
        <v>-1.0283259678206536E-3</v>
      </c>
      <c r="H1262" s="5">
        <f>prices!H1263/prices!H1262-1</f>
        <v>2.9301519211134108E-2</v>
      </c>
      <c r="I1262" s="5">
        <f>prices!I1263/prices!I1262-1</f>
        <v>-3.282838392579368E-3</v>
      </c>
      <c r="J1262" s="5">
        <f>prices!J1263/prices!J1262-1</f>
        <v>2.9721958103781088E-3</v>
      </c>
      <c r="K1262" s="8">
        <f>SUMPRODUCT(B1262:I1262,weights!$B$5:$I$5)</f>
        <v>3.5789694166933495E-3</v>
      </c>
      <c r="L1262" s="4">
        <f t="shared" si="38"/>
        <v>261.05976438597156</v>
      </c>
      <c r="M1262" s="4">
        <f>L1262/MAX(L$2:L1262)-1</f>
        <v>-4.9054911974428794E-3</v>
      </c>
      <c r="N1262" s="4">
        <f t="shared" si="39"/>
        <v>3.746048233568855E-2</v>
      </c>
    </row>
    <row r="1263" spans="1:14">
      <c r="A1263" s="3">
        <f>prices!A1264</f>
        <v>45334</v>
      </c>
      <c r="B1263" s="5">
        <f>prices!B1264/prices!B1263-1</f>
        <v>-5.7505508057699162E-3</v>
      </c>
      <c r="C1263" s="5">
        <f>prices!C1264/prices!C1263-1</f>
        <v>-3.1441332733950222E-3</v>
      </c>
      <c r="D1263" s="5">
        <f>prices!D1264/prices!D1263-1</f>
        <v>-9.68749999999996E-3</v>
      </c>
      <c r="E1263" s="5">
        <f>prices!E1264/prices!E1263-1</f>
        <v>6.4353410730768612E-3</v>
      </c>
      <c r="F1263" s="5">
        <f>prices!F1264/prices!F1263-1</f>
        <v>-2.0823552155541325E-2</v>
      </c>
      <c r="G1263" s="5">
        <f>prices!G1264/prices!G1263-1</f>
        <v>-2.1567141892779862E-3</v>
      </c>
      <c r="H1263" s="5">
        <f>prices!H1264/prices!H1263-1</f>
        <v>-2.2635429773576465E-4</v>
      </c>
      <c r="I1263" s="5">
        <f>prices!I1264/prices!I1263-1</f>
        <v>-7.5203999344978234E-3</v>
      </c>
      <c r="J1263" s="5">
        <f>prices!J1264/prices!J1263-1</f>
        <v>-7.6414552966831417E-3</v>
      </c>
      <c r="K1263" s="8">
        <f>SUMPRODUCT(B1263:I1263,weights!$B$5:$I$5)</f>
        <v>-4.8587453793168195E-3</v>
      </c>
      <c r="L1263" s="4">
        <f t="shared" si="38"/>
        <v>259.79134146203569</v>
      </c>
      <c r="M1263" s="4">
        <f>L1263/MAX(L$2:L1263)-1</f>
        <v>-9.7404020440707839E-3</v>
      </c>
      <c r="N1263" s="4">
        <f t="shared" si="39"/>
        <v>3.3662861006142908E-2</v>
      </c>
    </row>
    <row r="1264" spans="1:14">
      <c r="A1264" s="3">
        <f>prices!A1265</f>
        <v>45335</v>
      </c>
      <c r="B1264" s="5">
        <f>prices!B1265/prices!B1264-1</f>
        <v>8.7802430594270398E-3</v>
      </c>
      <c r="C1264" s="5">
        <f>prices!C1265/prices!C1264-1</f>
        <v>6.9884887722675426E-3</v>
      </c>
      <c r="D1264" s="5">
        <f>prices!D1265/prices!D1264-1</f>
        <v>3.2006491457421404E-3</v>
      </c>
      <c r="E1264" s="5">
        <f>prices!E1265/prices!E1264-1</f>
        <v>2.6545586069703919E-3</v>
      </c>
      <c r="F1264" s="5">
        <f>prices!F1265/prices!F1264-1</f>
        <v>-2.538428994500741E-4</v>
      </c>
      <c r="G1264" s="5">
        <f>prices!G1265/prices!G1264-1</f>
        <v>7.9179870529171303E-3</v>
      </c>
      <c r="H1264" s="5">
        <f>prices!H1265/prices!H1264-1</f>
        <v>5.0541708562790166E-3</v>
      </c>
      <c r="I1264" s="5">
        <f>prices!I1265/prices!I1264-1</f>
        <v>6.652782058346407E-3</v>
      </c>
      <c r="J1264" s="5">
        <f>prices!J1265/prices!J1264-1</f>
        <v>5.8845163663112654E-3</v>
      </c>
      <c r="K1264" s="8">
        <f>SUMPRODUCT(B1264:I1264,weights!$B$5:$I$5)</f>
        <v>5.7848032798694816E-3</v>
      </c>
      <c r="L1264" s="4">
        <f t="shared" si="38"/>
        <v>261.29418326620697</v>
      </c>
      <c r="M1264" s="4">
        <f>L1264/MAX(L$2:L1264)-1</f>
        <v>-4.0119450738931306E-3</v>
      </c>
      <c r="N1264" s="4">
        <f t="shared" si="39"/>
        <v>2.3874450865222663E-2</v>
      </c>
    </row>
    <row r="1265" spans="1:14">
      <c r="A1265" s="3">
        <f>prices!A1266</f>
        <v>45336</v>
      </c>
      <c r="B1265" s="5">
        <f>prices!B1266/prices!B1265-1</f>
        <v>1.110773396700826E-2</v>
      </c>
      <c r="C1265" s="5">
        <f>prices!C1266/prices!C1265-1</f>
        <v>-1.190535426678363E-2</v>
      </c>
      <c r="D1265" s="5">
        <f>prices!D1266/prices!D1265-1</f>
        <v>-7.4593331535903751E-3</v>
      </c>
      <c r="E1265" s="5">
        <f>prices!E1266/prices!E1265-1</f>
        <v>-1.0892881299158108E-2</v>
      </c>
      <c r="F1265" s="5">
        <f>prices!F1266/prices!F1265-1</f>
        <v>1.1820797833324015E-2</v>
      </c>
      <c r="G1265" s="5">
        <f>prices!G1266/prices!G1265-1</f>
        <v>2.162632318134472E-2</v>
      </c>
      <c r="H1265" s="5">
        <f>prices!H1266/prices!H1265-1</f>
        <v>-1.4138817480719768E-2</v>
      </c>
      <c r="I1265" s="5">
        <f>prices!I1266/prices!I1265-1</f>
        <v>-3.7636536820099264E-3</v>
      </c>
      <c r="J1265" s="5">
        <f>prices!J1266/prices!J1265-1</f>
        <v>4.4519563542708696E-3</v>
      </c>
      <c r="K1265" s="8">
        <f>SUMPRODUCT(B1265:I1265,weights!$B$5:$I$5)</f>
        <v>1.2089990846456465E-3</v>
      </c>
      <c r="L1265" s="4">
        <f t="shared" si="38"/>
        <v>261.61008769459903</v>
      </c>
      <c r="M1265" s="4">
        <f>L1265/MAX(L$2:L1265)-1</f>
        <v>-2.807796427169551E-3</v>
      </c>
      <c r="N1265" s="4">
        <f t="shared" si="39"/>
        <v>1.7339318730747344E-2</v>
      </c>
    </row>
    <row r="1266" spans="1:14">
      <c r="A1266" s="3">
        <f>prices!A1267</f>
        <v>45337</v>
      </c>
      <c r="B1266" s="5">
        <f>prices!B1267/prices!B1266-1</f>
        <v>-7.2691498374006791E-3</v>
      </c>
      <c r="C1266" s="5">
        <f>prices!C1267/prices!C1266-1</f>
        <v>7.5536908393614155E-4</v>
      </c>
      <c r="D1266" s="5">
        <f>prices!D1267/prices!D1266-1</f>
        <v>2.1670892188820456E-2</v>
      </c>
      <c r="E1266" s="5">
        <f>prices!E1267/prices!E1266-1</f>
        <v>6.0893010654647917E-3</v>
      </c>
      <c r="F1266" s="5">
        <f>prices!F1267/prices!F1266-1</f>
        <v>-1.8597518472047825E-2</v>
      </c>
      <c r="G1266" s="5">
        <f>prices!G1267/prices!G1266-1</f>
        <v>5.6493637573455935E-3</v>
      </c>
      <c r="H1266" s="5">
        <f>prices!H1267/prices!H1266-1</f>
        <v>-6.9086950093415478E-3</v>
      </c>
      <c r="I1266" s="5">
        <f>prices!I1267/prices!I1266-1</f>
        <v>-2.6292997743209146E-3</v>
      </c>
      <c r="J1266" s="5">
        <f>prices!J1267/prices!J1266-1</f>
        <v>3.2371720760713263E-3</v>
      </c>
      <c r="K1266" s="8">
        <f>SUMPRODUCT(B1266:I1266,weights!$B$5:$I$5)</f>
        <v>-7.4847785840124169E-4</v>
      </c>
      <c r="L1266" s="4">
        <f t="shared" si="38"/>
        <v>261.41427833642518</v>
      </c>
      <c r="M1266" s="4">
        <f>L1266/MAX(L$2:L1266)-1</f>
        <v>-3.554172712114223E-3</v>
      </c>
      <c r="N1266" s="4">
        <f t="shared" si="39"/>
        <v>1.7509853256590935E-2</v>
      </c>
    </row>
    <row r="1267" spans="1:14">
      <c r="A1267" s="3">
        <f>prices!A1268</f>
        <v>45338</v>
      </c>
      <c r="B1267" s="5">
        <f>prices!B1268/prices!B1267-1</f>
        <v>-6.8199961461171688E-3</v>
      </c>
      <c r="C1267" s="5">
        <f>prices!C1268/prices!C1267-1</f>
        <v>6.117843976439552E-3</v>
      </c>
      <c r="D1267" s="5">
        <f>prices!D1268/prices!D1267-1</f>
        <v>4.1358936484490183E-3</v>
      </c>
      <c r="E1267" s="5">
        <f>prices!E1268/prices!E1267-1</f>
        <v>1.5089038923376874E-2</v>
      </c>
      <c r="F1267" s="5">
        <f>prices!F1268/prices!F1267-1</f>
        <v>1.7330530143757628E-3</v>
      </c>
      <c r="G1267" s="5">
        <f>prices!G1268/prices!G1267-1</f>
        <v>2.6162625908740633E-2</v>
      </c>
      <c r="H1267" s="5">
        <f>prices!H1268/prices!H1267-1</f>
        <v>3.3836367327566563E-5</v>
      </c>
      <c r="I1267" s="5">
        <f>prices!I1268/prices!I1267-1</f>
        <v>2.6194240752959841E-2</v>
      </c>
      <c r="J1267" s="5">
        <f>prices!J1268/prices!J1267-1</f>
        <v>5.9308786782743539E-3</v>
      </c>
      <c r="K1267" s="8">
        <f>SUMPRODUCT(B1267:I1267,weights!$B$5:$I$5)</f>
        <v>1.165098343897325E-2</v>
      </c>
      <c r="L1267" s="4">
        <f t="shared" si="38"/>
        <v>264.46001176403405</v>
      </c>
      <c r="M1267" s="4">
        <f>L1267/MAX(L$2:L1267)-1</f>
        <v>0</v>
      </c>
      <c r="N1267" s="4">
        <f t="shared" si="39"/>
        <v>4.1684923325131074E-2</v>
      </c>
    </row>
    <row r="1268" spans="1:14">
      <c r="A1268" s="3">
        <f>prices!A1269</f>
        <v>45341</v>
      </c>
      <c r="B1268" s="5">
        <f>prices!B1269/prices!B1268-1</f>
        <v>9.1950359278532012E-3</v>
      </c>
      <c r="C1268" s="5">
        <f>prices!C1269/prices!C1268-1</f>
        <v>-5.9332340073809942E-3</v>
      </c>
      <c r="D1268" s="5">
        <f>prices!D1269/prices!D1268-1</f>
        <v>-1.9711679905853874E-3</v>
      </c>
      <c r="E1268" s="5">
        <f>prices!E1269/prices!E1268-1</f>
        <v>-1.1159717882331943E-3</v>
      </c>
      <c r="F1268" s="5">
        <f>prices!F1269/prices!F1268-1</f>
        <v>1.1486428996851927E-2</v>
      </c>
      <c r="G1268" s="5">
        <f>prices!G1269/prices!G1268-1</f>
        <v>9.0461226374940473E-3</v>
      </c>
      <c r="H1268" s="5">
        <f>prices!H1269/prices!H1268-1</f>
        <v>1.3344611740822243E-2</v>
      </c>
      <c r="I1268" s="5">
        <f>prices!I1269/prices!I1268-1</f>
        <v>-1.3848617564632959E-2</v>
      </c>
      <c r="J1268" s="5">
        <f>prices!J1269/prices!J1268-1</f>
        <v>3.6999732313400813E-3</v>
      </c>
      <c r="K1268" s="8">
        <f>SUMPRODUCT(B1268:I1268,weights!$B$5:$I$5)</f>
        <v>2.4119313902110032E-3</v>
      </c>
      <c r="L1268" s="4">
        <f t="shared" si="38"/>
        <v>265.09787116786327</v>
      </c>
      <c r="M1268" s="4">
        <f>L1268/MAX(L$2:L1268)-1</f>
        <v>0</v>
      </c>
      <c r="N1268" s="4">
        <f t="shared" si="39"/>
        <v>4.2493285758987032E-2</v>
      </c>
    </row>
    <row r="1269" spans="1:14">
      <c r="A1269" s="3">
        <f>prices!A1270</f>
        <v>45342</v>
      </c>
      <c r="B1269" s="5">
        <f>prices!B1270/prices!B1269-1</f>
        <v>-2.0186207464777395E-3</v>
      </c>
      <c r="C1269" s="5">
        <f>prices!C1270/prices!C1269-1</f>
        <v>-1.7826501429933361E-2</v>
      </c>
      <c r="D1269" s="5">
        <f>prices!D1270/prices!D1269-1</f>
        <v>2.6250626418653944E-2</v>
      </c>
      <c r="E1269" s="5">
        <f>prices!E1270/prices!E1269-1</f>
        <v>-8.5291657888521E-3</v>
      </c>
      <c r="F1269" s="5">
        <f>prices!F1270/prices!F1269-1</f>
        <v>-7.6828174069089039E-3</v>
      </c>
      <c r="G1269" s="5">
        <f>prices!G1270/prices!G1269-1</f>
        <v>-3.2130128816687531E-3</v>
      </c>
      <c r="H1269" s="5">
        <f>prices!H1270/prices!H1269-1</f>
        <v>5.6228171515957381E-3</v>
      </c>
      <c r="I1269" s="5">
        <f>prices!I1270/prices!I1269-1</f>
        <v>5.0624035036999082E-3</v>
      </c>
      <c r="J1269" s="5">
        <f>prices!J1270/prices!J1269-1</f>
        <v>3.3766908881329716E-3</v>
      </c>
      <c r="K1269" s="8">
        <f>SUMPRODUCT(B1269:I1269,weights!$B$5:$I$5)</f>
        <v>-1.4637499669972135E-5</v>
      </c>
      <c r="L1269" s="4">
        <f t="shared" si="38"/>
        <v>265.09399079786152</v>
      </c>
      <c r="M1269" s="4">
        <f>L1269/MAX(L$2:L1269)-1</f>
        <v>-1.46374996700116E-5</v>
      </c>
      <c r="N1269" s="4">
        <f t="shared" si="39"/>
        <v>3.4636272017632974E-2</v>
      </c>
    </row>
    <row r="1270" spans="1:14">
      <c r="A1270" s="3">
        <f>prices!A1271</f>
        <v>45343</v>
      </c>
      <c r="B1270" s="5">
        <f>prices!B1271/prices!B1270-1</f>
        <v>-2.2635018919848759E-3</v>
      </c>
      <c r="C1270" s="5">
        <f>prices!C1271/prices!C1270-1</f>
        <v>-9.7113030724600424E-3</v>
      </c>
      <c r="D1270" s="5">
        <f>prices!D1271/prices!D1270-1</f>
        <v>-1.0412627285392162E-2</v>
      </c>
      <c r="E1270" s="5">
        <f>prices!E1271/prices!E1270-1</f>
        <v>-1.7623613194851284E-2</v>
      </c>
      <c r="F1270" s="5">
        <f>prices!F1271/prices!F1270-1</f>
        <v>-6.7815767165865237E-3</v>
      </c>
      <c r="G1270" s="5">
        <f>prices!G1271/prices!G1270-1</f>
        <v>1.6945200015485717E-3</v>
      </c>
      <c r="H1270" s="5">
        <f>prices!H1271/prices!H1270-1</f>
        <v>3.0546719879938067E-3</v>
      </c>
      <c r="I1270" s="5">
        <f>prices!I1271/prices!I1270-1</f>
        <v>-1.7981076416514696E-2</v>
      </c>
      <c r="J1270" s="5">
        <f>prices!J1271/prices!J1270-1</f>
        <v>-6.3927701778848656E-3</v>
      </c>
      <c r="K1270" s="8">
        <f>SUMPRODUCT(B1270:I1270,weights!$B$5:$I$5)</f>
        <v>-6.7276605322795675E-3</v>
      </c>
      <c r="L1270" s="4">
        <f t="shared" si="38"/>
        <v>263.31052841862629</v>
      </c>
      <c r="M1270" s="4">
        <f>L1270/MAX(L$2:L1270)-1</f>
        <v>-6.7421995558206715E-3</v>
      </c>
      <c r="N1270" s="4">
        <f t="shared" si="39"/>
        <v>4.2767230194427519E-2</v>
      </c>
    </row>
    <row r="1271" spans="1:14">
      <c r="A1271" s="3">
        <f>prices!A1272</f>
        <v>45344</v>
      </c>
      <c r="B1271" s="5">
        <f>prices!B1272/prices!B1271-1</f>
        <v>9.5710276442722009E-3</v>
      </c>
      <c r="C1271" s="5">
        <f>prices!C1272/prices!C1271-1</f>
        <v>2.3950057989795992E-2</v>
      </c>
      <c r="D1271" s="5">
        <f>prices!D1272/prices!D1271-1</f>
        <v>-1.3628051435371935E-2</v>
      </c>
      <c r="E1271" s="5">
        <f>prices!E1272/prices!E1271-1</f>
        <v>1.5586696904946074E-2</v>
      </c>
      <c r="F1271" s="5">
        <f>prices!F1272/prices!F1271-1</f>
        <v>2.75106685633002E-2</v>
      </c>
      <c r="G1271" s="5">
        <f>prices!G1272/prices!G1271-1</f>
        <v>1.6741257018968669E-2</v>
      </c>
      <c r="H1271" s="5">
        <f>prices!H1272/prices!H1271-1</f>
        <v>9.4936080344787399E-3</v>
      </c>
      <c r="I1271" s="5">
        <f>prices!I1272/prices!I1271-1</f>
        <v>2.0432392680859612E-2</v>
      </c>
      <c r="J1271" s="5">
        <f>prices!J1272/prices!J1271-1</f>
        <v>7.3633929644232321E-3</v>
      </c>
      <c r="K1271" s="8">
        <f>SUMPRODUCT(B1271:I1271,weights!$B$5:$I$5)</f>
        <v>1.4640012299658115E-2</v>
      </c>
      <c r="L1271" s="4">
        <f t="shared" si="38"/>
        <v>267.16539779330446</v>
      </c>
      <c r="M1271" s="4">
        <f>L1271/MAX(L$2:L1271)-1</f>
        <v>0</v>
      </c>
      <c r="N1271" s="4">
        <f t="shared" si="39"/>
        <v>4.7422700368706883E-2</v>
      </c>
    </row>
    <row r="1272" spans="1:14">
      <c r="A1272" s="3">
        <f>prices!A1273</f>
        <v>45345</v>
      </c>
      <c r="B1272" s="5">
        <f>prices!B1273/prices!B1272-1</f>
        <v>8.0186327343263475E-3</v>
      </c>
      <c r="C1272" s="5">
        <f>prices!C1273/prices!C1272-1</f>
        <v>-8.5641433330763128E-3</v>
      </c>
      <c r="D1272" s="5">
        <f>prices!D1273/prices!D1272-1</f>
        <v>7.5040831040418254E-4</v>
      </c>
      <c r="E1272" s="5">
        <f>prices!E1273/prices!E1272-1</f>
        <v>-2.6783870301528845E-3</v>
      </c>
      <c r="F1272" s="5">
        <f>prices!F1273/prices!F1272-1</f>
        <v>-7.3372649998616479E-3</v>
      </c>
      <c r="G1272" s="5">
        <f>prices!G1273/prices!G1272-1</f>
        <v>-1.04822896425395E-2</v>
      </c>
      <c r="H1272" s="5">
        <f>prices!H1273/prices!H1272-1</f>
        <v>2.0526878406117444E-3</v>
      </c>
      <c r="I1272" s="5">
        <f>prices!I1273/prices!I1272-1</f>
        <v>7.1945741428960375E-3</v>
      </c>
      <c r="J1272" s="5">
        <f>prices!J1273/prices!J1272-1</f>
        <v>-2.1379591267223219E-4</v>
      </c>
      <c r="K1272" s="8">
        <f>SUMPRODUCT(B1272:I1272,weights!$B$5:$I$5)</f>
        <v>-8.2652285212313475E-4</v>
      </c>
      <c r="L1272" s="4">
        <f t="shared" si="38"/>
        <v>266.94457948673175</v>
      </c>
      <c r="M1272" s="4">
        <f>L1272/MAX(L$2:L1272)-1</f>
        <v>-8.26522852123035E-4</v>
      </c>
      <c r="N1272" s="4">
        <f t="shared" si="39"/>
        <v>5.2907922323528034E-2</v>
      </c>
    </row>
    <row r="1273" spans="1:14">
      <c r="A1273" s="3">
        <f>prices!A1274</f>
        <v>45348</v>
      </c>
      <c r="B1273" s="5">
        <f>prices!B1274/prices!B1273-1</f>
        <v>-4.2213534079128534E-3</v>
      </c>
      <c r="C1273" s="5">
        <f>prices!C1274/prices!C1273-1</f>
        <v>-1.2599160055996261E-2</v>
      </c>
      <c r="D1273" s="5">
        <f>prices!D1274/prices!D1273-1</f>
        <v>1.1909312788545012E-3</v>
      </c>
      <c r="E1273" s="5">
        <f>prices!E1274/prices!E1273-1</f>
        <v>-9.9592956661855858E-3</v>
      </c>
      <c r="F1273" s="5">
        <f>prices!F1274/prices!F1273-1</f>
        <v>-5.3553497712818254E-3</v>
      </c>
      <c r="G1273" s="5">
        <f>prices!G1274/prices!G1273-1</f>
        <v>-5.9466321924006582E-3</v>
      </c>
      <c r="H1273" s="5">
        <f>prices!H1274/prices!H1273-1</f>
        <v>-2.7553077305688678E-3</v>
      </c>
      <c r="I1273" s="5">
        <f>prices!I1274/prices!I1273-1</f>
        <v>2.4261350716288987E-2</v>
      </c>
      <c r="J1273" s="5">
        <f>prices!J1274/prices!J1273-1</f>
        <v>-4.0809987079464261E-3</v>
      </c>
      <c r="K1273" s="8">
        <f>SUMPRODUCT(B1273:I1273,weights!$B$5:$I$5)</f>
        <v>3.6106661683493833E-4</v>
      </c>
      <c r="L1273" s="4">
        <f t="shared" si="38"/>
        <v>267.04096426292949</v>
      </c>
      <c r="M1273" s="4">
        <f>L1273/MAX(L$2:L1273)-1</f>
        <v>-4.6575466509790608E-4</v>
      </c>
      <c r="N1273" s="4">
        <f t="shared" si="39"/>
        <v>3.2557630991413955E-2</v>
      </c>
    </row>
    <row r="1274" spans="1:14">
      <c r="A1274" s="3">
        <f>prices!A1275</f>
        <v>45349</v>
      </c>
      <c r="B1274" s="5">
        <f>prices!B1275/prices!B1274-1</f>
        <v>-1.1227544910178411E-3</v>
      </c>
      <c r="C1274" s="5">
        <f>prices!C1275/prices!C1274-1</f>
        <v>2.5832192599352322E-2</v>
      </c>
      <c r="D1274" s="5">
        <f>prices!D1275/prices!D1274-1</f>
        <v>-1.512592701373161E-3</v>
      </c>
      <c r="E1274" s="5">
        <f>prices!E1275/prices!E1274-1</f>
        <v>2.0785672266159239E-3</v>
      </c>
      <c r="F1274" s="5">
        <f>prices!F1275/prices!F1274-1</f>
        <v>4.767246214245624E-3</v>
      </c>
      <c r="G1274" s="5">
        <f>prices!G1275/prices!G1274-1</f>
        <v>2.9344806418647451E-3</v>
      </c>
      <c r="H1274" s="5">
        <f>prices!H1275/prices!H1274-1</f>
        <v>1.6570959803117402E-2</v>
      </c>
      <c r="I1274" s="5">
        <f>prices!I1275/prices!I1274-1</f>
        <v>1.0460975588096888E-2</v>
      </c>
      <c r="J1274" s="5">
        <f>prices!J1275/prices!J1274-1</f>
        <v>3.4490474436139618E-3</v>
      </c>
      <c r="K1274" s="8">
        <f>SUMPRODUCT(B1274:I1274,weights!$B$5:$I$5)</f>
        <v>7.7176145015743899E-3</v>
      </c>
      <c r="L1274" s="4">
        <f t="shared" si="38"/>
        <v>269.1018834812395</v>
      </c>
      <c r="M1274" s="4">
        <f>L1274/MAX(L$2:L1274)-1</f>
        <v>0</v>
      </c>
      <c r="N1274" s="4">
        <f t="shared" si="39"/>
        <v>5.5748783740994012E-2</v>
      </c>
    </row>
    <row r="1275" spans="1:14">
      <c r="A1275" s="3">
        <f>prices!A1276</f>
        <v>45350</v>
      </c>
      <c r="B1275" s="5">
        <f>prices!B1276/prices!B1275-1</f>
        <v>-2.0211860076978172E-2</v>
      </c>
      <c r="C1275" s="5">
        <f>prices!C1276/prices!C1275-1</f>
        <v>3.5451885780855008E-3</v>
      </c>
      <c r="D1275" s="5">
        <f>prices!D1276/prices!D1275-1</f>
        <v>-7.5744205200611869E-3</v>
      </c>
      <c r="E1275" s="5">
        <f>prices!E1276/prices!E1275-1</f>
        <v>4.5985858533150736E-3</v>
      </c>
      <c r="F1275" s="5">
        <f>prices!F1276/prices!F1275-1</f>
        <v>-6.9494836728998255E-3</v>
      </c>
      <c r="G1275" s="5">
        <f>prices!G1276/prices!G1275-1</f>
        <v>-3.0246492062894648E-2</v>
      </c>
      <c r="H1275" s="5">
        <f>prices!H1276/prices!H1275-1</f>
        <v>-5.6229825693996371E-3</v>
      </c>
      <c r="I1275" s="5">
        <f>prices!I1276/prices!I1275-1</f>
        <v>-1.0338029241770408E-2</v>
      </c>
      <c r="J1275" s="5">
        <f>prices!J1276/prices!J1275-1</f>
        <v>-1.1135962808046407E-2</v>
      </c>
      <c r="K1275" s="8">
        <f>SUMPRODUCT(B1275:I1275,weights!$B$5:$I$5)</f>
        <v>-1.1779875467574662E-2</v>
      </c>
      <c r="L1275" s="4">
        <f t="shared" si="38"/>
        <v>265.93189680574073</v>
      </c>
      <c r="M1275" s="4">
        <f>L1275/MAX(L$2:L1275)-1</f>
        <v>-1.177987546757453E-2</v>
      </c>
      <c r="N1275" s="4">
        <f t="shared" si="39"/>
        <v>3.7529021348773561E-2</v>
      </c>
    </row>
    <row r="1276" spans="1:14">
      <c r="A1276" s="3">
        <f>prices!A1277</f>
        <v>45351</v>
      </c>
      <c r="B1276" s="5">
        <f>prices!B1277/prices!B1276-1</f>
        <v>3.5528547987875303E-3</v>
      </c>
      <c r="C1276" s="5">
        <f>prices!C1277/prices!C1276-1</f>
        <v>-5.7910372156588785E-3</v>
      </c>
      <c r="D1276" s="5">
        <f>prices!D1277/prices!D1276-1</f>
        <v>-4.2533011248276908E-3</v>
      </c>
      <c r="E1276" s="5">
        <f>prices!E1277/prices!E1276-1</f>
        <v>1.5842818463376318E-3</v>
      </c>
      <c r="F1276" s="5">
        <f>prices!F1277/prices!F1276-1</f>
        <v>-4.8902504145471593E-3</v>
      </c>
      <c r="G1276" s="5">
        <f>prices!G1277/prices!G1276-1</f>
        <v>1.215362806867093E-2</v>
      </c>
      <c r="H1276" s="5">
        <f>prices!H1277/prices!H1276-1</f>
        <v>2.6034058521446912E-3</v>
      </c>
      <c r="I1276" s="5">
        <f>prices!I1277/prices!I1276-1</f>
        <v>2.1193966231736194E-3</v>
      </c>
      <c r="J1276" s="5">
        <f>prices!J1277/prices!J1276-1</f>
        <v>1.4418378991531977E-3</v>
      </c>
      <c r="K1276" s="8">
        <f>SUMPRODUCT(B1276:I1276,weights!$B$5:$I$5)</f>
        <v>2.5256209121470503E-3</v>
      </c>
      <c r="L1276" s="4">
        <f t="shared" si="38"/>
        <v>266.60353996552027</v>
      </c>
      <c r="M1276" s="4">
        <f>L1276/MAX(L$2:L1276)-1</f>
        <v>-9.2840060552508152E-3</v>
      </c>
      <c r="N1276" s="4">
        <f t="shared" si="39"/>
        <v>3.6013076174386871E-2</v>
      </c>
    </row>
    <row r="1277" spans="1:14">
      <c r="A1277" s="3">
        <f>prices!A1278</f>
        <v>45352</v>
      </c>
      <c r="B1277" s="5">
        <f>prices!B1278/prices!B1277-1</f>
        <v>2.1449504291979116E-2</v>
      </c>
      <c r="C1277" s="5">
        <f>prices!C1278/prices!C1277-1</f>
        <v>-1.8310206746119384E-4</v>
      </c>
      <c r="D1277" s="5">
        <f>prices!D1278/prices!D1277-1</f>
        <v>1.9496948950736837E-2</v>
      </c>
      <c r="E1277" s="5">
        <f>prices!E1278/prices!E1277-1</f>
        <v>-1.1467875039706366E-2</v>
      </c>
      <c r="F1277" s="5">
        <f>prices!F1278/prices!F1277-1</f>
        <v>7.8797977800999508E-3</v>
      </c>
      <c r="G1277" s="5">
        <f>prices!G1278/prices!G1277-1</f>
        <v>2.9464127570761667E-2</v>
      </c>
      <c r="H1277" s="5">
        <f>prices!H1278/prices!H1277-1</f>
        <v>-1.1850029139415907E-2</v>
      </c>
      <c r="I1277" s="5">
        <f>prices!I1278/prices!I1277-1</f>
        <v>4.4844453371456927E-2</v>
      </c>
      <c r="J1277" s="5">
        <f>prices!J1278/prices!J1277-1</f>
        <v>1.6192204814673428E-2</v>
      </c>
      <c r="K1277" s="8">
        <f>SUMPRODUCT(B1277:I1277,weights!$B$5:$I$5)</f>
        <v>1.6624486881901348E-2</v>
      </c>
      <c r="L1277" s="4">
        <f t="shared" si="38"/>
        <v>271.03568701834553</v>
      </c>
      <c r="M1277" s="4">
        <f>L1277/MAX(L$2:L1277)-1</f>
        <v>0</v>
      </c>
      <c r="N1277" s="4">
        <f t="shared" si="39"/>
        <v>4.7361926667023324E-2</v>
      </c>
    </row>
    <row r="1278" spans="1:14">
      <c r="A1278" s="3">
        <f>prices!A1279</f>
        <v>45355</v>
      </c>
      <c r="B1278" s="5">
        <f>prices!B1279/prices!B1278-1</f>
        <v>1.0235018821853847E-2</v>
      </c>
      <c r="C1278" s="5">
        <f>prices!C1279/prices!C1278-1</f>
        <v>-3.3335987472463691E-3</v>
      </c>
      <c r="D1278" s="5">
        <f>prices!D1279/prices!D1278-1</f>
        <v>1.3576642335766387E-3</v>
      </c>
      <c r="E1278" s="5">
        <f>prices!E1279/prices!E1278-1</f>
        <v>-1.057788153821948E-2</v>
      </c>
      <c r="F1278" s="5">
        <f>prices!F1279/prices!F1278-1</f>
        <v>-9.8077677520602702E-4</v>
      </c>
      <c r="G1278" s="5">
        <f>prices!G1279/prices!G1278-1</f>
        <v>-2.3058435396472454E-3</v>
      </c>
      <c r="H1278" s="5">
        <f>prices!H1279/prices!H1278-1</f>
        <v>-4.5871559633027248E-3</v>
      </c>
      <c r="I1278" s="5">
        <f>prices!I1279/prices!I1278-1</f>
        <v>3.0135979419330106E-3</v>
      </c>
      <c r="J1278" s="5">
        <f>prices!J1279/prices!J1278-1</f>
        <v>2.9925577751663823E-3</v>
      </c>
      <c r="K1278" s="8">
        <f>SUMPRODUCT(B1278:I1278,weights!$B$5:$I$5)</f>
        <v>-4.1395255901330156E-4</v>
      </c>
      <c r="L1278" s="4">
        <f t="shared" si="38"/>
        <v>270.92349110212035</v>
      </c>
      <c r="M1278" s="4">
        <f>L1278/MAX(L$2:L1278)-1</f>
        <v>-4.1395255901333083E-4</v>
      </c>
      <c r="N1278" s="4">
        <f t="shared" si="39"/>
        <v>5.0457262028726912E-2</v>
      </c>
    </row>
    <row r="1279" spans="1:14">
      <c r="A1279" s="3">
        <f>prices!A1280</f>
        <v>45356</v>
      </c>
      <c r="B1279" s="5">
        <f>prices!B1280/prices!B1279-1</f>
        <v>-4.780320120313708E-3</v>
      </c>
      <c r="C1279" s="5">
        <f>prices!C1280/prices!C1279-1</f>
        <v>-1.6811623534675024E-2</v>
      </c>
      <c r="D1279" s="5">
        <f>prices!D1280/prices!D1279-1</f>
        <v>5.6857113699650963E-3</v>
      </c>
      <c r="E1279" s="5">
        <f>prices!E1280/prices!E1279-1</f>
        <v>-1.8750621375310694E-2</v>
      </c>
      <c r="F1279" s="5">
        <f>prices!F1280/prices!F1279-1</f>
        <v>-7.2087739474347989E-3</v>
      </c>
      <c r="G1279" s="5">
        <f>prices!G1280/prices!G1279-1</f>
        <v>6.5939536165406931E-3</v>
      </c>
      <c r="H1279" s="5">
        <f>prices!H1280/prices!H1279-1</f>
        <v>1.4239631336405711E-2</v>
      </c>
      <c r="I1279" s="5">
        <f>prices!I1280/prices!I1279-1</f>
        <v>-8.740233824507615E-3</v>
      </c>
      <c r="J1279" s="5">
        <f>prices!J1280/prices!J1279-1</f>
        <v>-2.2003427714499812E-3</v>
      </c>
      <c r="K1279" s="8">
        <f>SUMPRODUCT(B1279:I1279,weights!$B$5:$I$5)</f>
        <v>-2.1458975222006021E-3</v>
      </c>
      <c r="L1279" s="4">
        <f t="shared" si="38"/>
        <v>270.34211705385837</v>
      </c>
      <c r="M1279" s="4">
        <f>L1279/MAX(L$2:L1279)-1</f>
        <v>-2.5589617814432142E-3</v>
      </c>
      <c r="N1279" s="4">
        <f t="shared" si="39"/>
        <v>3.0476514874264504E-2</v>
      </c>
    </row>
    <row r="1280" spans="1:14">
      <c r="A1280" s="3">
        <f>prices!A1281</f>
        <v>45357</v>
      </c>
      <c r="B1280" s="5">
        <f>prices!B1281/prices!B1280-1</f>
        <v>1.8686923201467476E-3</v>
      </c>
      <c r="C1280" s="5">
        <f>prices!C1281/prices!C1280-1</f>
        <v>1.3011882416353204E-2</v>
      </c>
      <c r="D1280" s="5">
        <f>prices!D1281/prices!D1280-1</f>
        <v>1.2176913152515123E-3</v>
      </c>
      <c r="E1280" s="5">
        <f>prices!E1281/prices!E1280-1</f>
        <v>6.8762411682856683E-3</v>
      </c>
      <c r="F1280" s="5">
        <f>prices!F1281/prices!F1280-1</f>
        <v>4.1814996892128864E-3</v>
      </c>
      <c r="G1280" s="5">
        <f>prices!G1281/prices!G1280-1</f>
        <v>-8.8724006259338628E-3</v>
      </c>
      <c r="H1280" s="5">
        <f>prices!H1281/prices!H1280-1</f>
        <v>1.8933812790871141E-2</v>
      </c>
      <c r="I1280" s="5">
        <f>prices!I1281/prices!I1280-1</f>
        <v>8.1946004350361701E-3</v>
      </c>
      <c r="J1280" s="5">
        <f>prices!J1281/prices!J1280-1</f>
        <v>5.2669717260906967E-3</v>
      </c>
      <c r="K1280" s="8">
        <f>SUMPRODUCT(B1280:I1280,weights!$B$5:$I$5)</f>
        <v>5.1485618038667079E-3</v>
      </c>
      <c r="L1280" s="4">
        <f t="shared" si="38"/>
        <v>271.73399015169832</v>
      </c>
      <c r="M1280" s="4">
        <f>L1280/MAX(L$2:L1280)-1</f>
        <v>0</v>
      </c>
      <c r="N1280" s="4">
        <f t="shared" si="39"/>
        <v>3.5937916358611988E-2</v>
      </c>
    </row>
    <row r="1281" spans="1:14">
      <c r="A1281" s="3">
        <f>prices!A1282</f>
        <v>45358</v>
      </c>
      <c r="B1281" s="5">
        <f>prices!B1282/prices!B1281-1</f>
        <v>-1.6019231157707536E-2</v>
      </c>
      <c r="C1281" s="5">
        <f>prices!C1282/prices!C1281-1</f>
        <v>1.0898250023395395E-2</v>
      </c>
      <c r="D1281" s="5">
        <f>prices!D1282/prices!D1281-1</f>
        <v>2.4324206929504655E-3</v>
      </c>
      <c r="E1281" s="5">
        <f>prices!E1282/prices!E1281-1</f>
        <v>-6.7756131594487456E-4</v>
      </c>
      <c r="F1281" s="5">
        <f>prices!F1282/prices!F1281-1</f>
        <v>1.3983456192673271E-2</v>
      </c>
      <c r="G1281" s="5">
        <f>prices!G1282/prices!G1281-1</f>
        <v>-4.9280922642939151E-3</v>
      </c>
      <c r="H1281" s="5">
        <f>prices!H1282/prices!H1281-1</f>
        <v>1.0574595489871719E-3</v>
      </c>
      <c r="I1281" s="5">
        <f>prices!I1282/prices!I1281-1</f>
        <v>9.5409459722428647E-3</v>
      </c>
      <c r="J1281" s="5">
        <f>prices!J1282/prices!J1281-1</f>
        <v>8.6766737637411495E-4</v>
      </c>
      <c r="K1281" s="8">
        <f>SUMPRODUCT(B1281:I1281,weights!$B$5:$I$5)</f>
        <v>1.2913592878539563E-3</v>
      </c>
      <c r="L1281" s="4">
        <f t="shared" si="38"/>
        <v>272.08489636370638</v>
      </c>
      <c r="M1281" s="4">
        <f>L1281/MAX(L$2:L1281)-1</f>
        <v>0</v>
      </c>
      <c r="N1281" s="4">
        <f t="shared" si="39"/>
        <v>4.5962331762563702E-2</v>
      </c>
    </row>
    <row r="1282" spans="1:14">
      <c r="A1282" s="3">
        <f>prices!A1283</f>
        <v>45362</v>
      </c>
      <c r="B1282" s="5">
        <f>prices!B1283/prices!B1282-1</f>
        <v>-8.3350441387806118E-3</v>
      </c>
      <c r="C1282" s="5">
        <f>prices!C1283/prices!C1282-1</f>
        <v>3.3484888158885617E-3</v>
      </c>
      <c r="D1282" s="5">
        <f>prices!D1283/prices!D1282-1</f>
        <v>-1.2667003683108247E-2</v>
      </c>
      <c r="E1282" s="5">
        <f>prices!E1283/prices!E1282-1</f>
        <v>-9.8078046226245386E-3</v>
      </c>
      <c r="F1282" s="5">
        <f>prices!F1283/prices!F1282-1</f>
        <v>-1.0044673825577832E-2</v>
      </c>
      <c r="G1282" s="5">
        <f>prices!G1283/prices!G1282-1</f>
        <v>-9.9479768268551094E-3</v>
      </c>
      <c r="H1282" s="5">
        <f>prices!H1283/prices!H1282-1</f>
        <v>-7.5343947666501876E-3</v>
      </c>
      <c r="I1282" s="5">
        <f>prices!I1283/prices!I1282-1</f>
        <v>-9.8865795060900652E-3</v>
      </c>
      <c r="J1282" s="5">
        <f>prices!J1283/prices!J1282-1</f>
        <v>-7.1531616841271628E-3</v>
      </c>
      <c r="K1282" s="8">
        <f>SUMPRODUCT(B1282:I1282,weights!$B$5:$I$5)</f>
        <v>-8.3976786460464199E-3</v>
      </c>
      <c r="L1282" s="4">
        <f t="shared" si="38"/>
        <v>269.80001483960109</v>
      </c>
      <c r="M1282" s="4">
        <f>L1282/MAX(L$2:L1282)-1</f>
        <v>-8.3976786460465691E-3</v>
      </c>
      <c r="N1282" s="4">
        <f t="shared" si="39"/>
        <v>3.347988332934837E-2</v>
      </c>
    </row>
    <row r="1283" spans="1:14">
      <c r="A1283" s="3">
        <f>prices!A1284</f>
        <v>45363</v>
      </c>
      <c r="B1283" s="5">
        <f>prices!B1284/prices!B1283-1</f>
        <v>6.0174450701115934E-3</v>
      </c>
      <c r="C1283" s="5">
        <f>prices!C1284/prices!C1283-1</f>
        <v>1.6955452395827519E-2</v>
      </c>
      <c r="D1283" s="5">
        <f>prices!D1284/prices!D1283-1</f>
        <v>2.2235875830187934E-2</v>
      </c>
      <c r="E1283" s="5">
        <f>prices!E1284/prices!E1283-1</f>
        <v>7.715149625090012E-3</v>
      </c>
      <c r="F1283" s="5">
        <f>prices!F1284/prices!F1283-1</f>
        <v>-1.2080612159094062E-2</v>
      </c>
      <c r="G1283" s="5">
        <f>prices!G1284/prices!G1283-1</f>
        <v>1.0034367369087471E-2</v>
      </c>
      <c r="H1283" s="5">
        <f>prices!H1284/prices!H1283-1</f>
        <v>-5.8347546197150546E-3</v>
      </c>
      <c r="I1283" s="5">
        <f>prices!I1284/prices!I1283-1</f>
        <v>-5.205673478715922E-3</v>
      </c>
      <c r="J1283" s="5">
        <f>prices!J1284/prices!J1283-1</f>
        <v>1.3657134285449679E-4</v>
      </c>
      <c r="K1283" s="8">
        <f>SUMPRODUCT(B1283:I1283,weights!$B$5:$I$5)</f>
        <v>3.5963857835726257E-3</v>
      </c>
      <c r="L1283" s="4">
        <f t="shared" si="38"/>
        <v>270.77031977737789</v>
      </c>
      <c r="M1283" s="4">
        <f>L1283/MAX(L$2:L1283)-1</f>
        <v>-4.831494154571625E-3</v>
      </c>
      <c r="N1283" s="4">
        <f t="shared" si="39"/>
        <v>4.2260755318308529E-2</v>
      </c>
    </row>
    <row r="1284" spans="1:14">
      <c r="A1284" s="3">
        <f>prices!A1285</f>
        <v>45364</v>
      </c>
      <c r="B1284" s="5">
        <f>prices!B1285/prices!B1284-1</f>
        <v>-2.9310486747516906E-2</v>
      </c>
      <c r="C1284" s="5">
        <f>prices!C1285/prices!C1284-1</f>
        <v>-1.0316787590822774E-2</v>
      </c>
      <c r="D1284" s="5">
        <f>prices!D1285/prices!D1284-1</f>
        <v>5.8673688428423354E-4</v>
      </c>
      <c r="E1284" s="5">
        <f>prices!E1285/prices!E1284-1</f>
        <v>-9.6205597416576527E-4</v>
      </c>
      <c r="F1284" s="5">
        <f>prices!F1285/prices!F1284-1</f>
        <v>4.4515689723656493E-2</v>
      </c>
      <c r="G1284" s="5">
        <f>prices!G1285/prices!G1284-1</f>
        <v>-1.0403878957194523E-2</v>
      </c>
      <c r="H1284" s="5">
        <f>prices!H1285/prices!H1284-1</f>
        <v>-1.6220364780847762E-2</v>
      </c>
      <c r="I1284" s="5">
        <f>prices!I1285/prices!I1284-1</f>
        <v>-2.2945407514975535E-2</v>
      </c>
      <c r="J1284" s="5">
        <f>prices!J1285/prices!J1284-1</f>
        <v>-1.5132724741109493E-2</v>
      </c>
      <c r="K1284" s="8">
        <f>SUMPRODUCT(B1284:I1284,weights!$B$5:$I$5)</f>
        <v>-9.9411508308766793E-3</v>
      </c>
      <c r="L1284" s="4">
        <f t="shared" ref="L1284:L1347" si="40">L1283*(1+K1284)</f>
        <v>268.07855118794629</v>
      </c>
      <c r="M1284" s="4">
        <f>L1284/MAX(L$2:L1284)-1</f>
        <v>-1.4724614373319178E-2</v>
      </c>
      <c r="N1284" s="4">
        <f t="shared" si="39"/>
        <v>2.5964481248430316E-2</v>
      </c>
    </row>
    <row r="1285" spans="1:14">
      <c r="A1285" s="3">
        <f>prices!A1286</f>
        <v>45365</v>
      </c>
      <c r="B1285" s="5">
        <f>prices!B1286/prices!B1285-1</f>
        <v>-4.8759460395297882E-4</v>
      </c>
      <c r="C1285" s="5">
        <f>prices!C1286/prices!C1285-1</f>
        <v>1.4125233434346463E-2</v>
      </c>
      <c r="D1285" s="5">
        <f>prices!D1286/prices!D1285-1</f>
        <v>-3.3896365794705563E-3</v>
      </c>
      <c r="E1285" s="5">
        <f>prices!E1286/prices!E1285-1</f>
        <v>2.6007259405913752E-2</v>
      </c>
      <c r="F1285" s="5">
        <f>prices!F1286/prices!F1285-1</f>
        <v>-6.6277332608990491E-3</v>
      </c>
      <c r="G1285" s="5">
        <f>prices!G1286/prices!G1285-1</f>
        <v>1.2685762267730105E-3</v>
      </c>
      <c r="H1285" s="5">
        <f>prices!H1286/prices!H1285-1</f>
        <v>7.440817637687891E-3</v>
      </c>
      <c r="I1285" s="5">
        <f>prices!I1286/prices!I1285-1</f>
        <v>1.9684399366011851E-2</v>
      </c>
      <c r="J1285" s="5">
        <f>prices!J1286/prices!J1285-1</f>
        <v>6.7711624397095438E-3</v>
      </c>
      <c r="K1285" s="8">
        <f>SUMPRODUCT(B1285:I1285,weights!$B$5:$I$5)</f>
        <v>7.8226982338142469E-3</v>
      </c>
      <c r="L1285" s="4">
        <f t="shared" si="40"/>
        <v>270.17564879684772</v>
      </c>
      <c r="M1285" s="4">
        <f>L1285/MAX(L$2:L1285)-1</f>
        <v>-7.0171023543567079E-3</v>
      </c>
      <c r="N1285" s="4">
        <f t="shared" si="39"/>
        <v>3.2741708004196068E-2</v>
      </c>
    </row>
    <row r="1286" spans="1:14">
      <c r="A1286" s="3">
        <f>prices!A1287</f>
        <v>45366</v>
      </c>
      <c r="B1286" s="5">
        <f>prices!B1287/prices!B1286-1</f>
        <v>-9.2546768286648762E-3</v>
      </c>
      <c r="C1286" s="5">
        <f>prices!C1287/prices!C1286-1</f>
        <v>2.768652244881098E-3</v>
      </c>
      <c r="D1286" s="5">
        <f>prices!D1287/prices!D1286-1</f>
        <v>-1.9230217272754313E-3</v>
      </c>
      <c r="E1286" s="5">
        <f>prices!E1287/prices!E1286-1</f>
        <v>-1.1676369626999361E-2</v>
      </c>
      <c r="F1286" s="5">
        <f>prices!F1287/prices!F1286-1</f>
        <v>-1.3125153810394918E-3</v>
      </c>
      <c r="G1286" s="5">
        <f>prices!G1287/prices!G1286-1</f>
        <v>6.3176748498523505E-3</v>
      </c>
      <c r="H1286" s="5">
        <f>prices!H1287/prices!H1286-1</f>
        <v>-1.4010359727211208E-2</v>
      </c>
      <c r="I1286" s="5">
        <f>prices!I1287/prices!I1286-1</f>
        <v>-1.9691573646257732E-2</v>
      </c>
      <c r="J1286" s="5">
        <f>prices!J1287/prices!J1286-1</f>
        <v>-5.5674334493028832E-3</v>
      </c>
      <c r="K1286" s="8">
        <f>SUMPRODUCT(B1286:I1286,weights!$B$5:$I$5)</f>
        <v>-6.9416358626510216E-3</v>
      </c>
      <c r="L1286" s="4">
        <f t="shared" si="40"/>
        <v>268.3001878239445</v>
      </c>
      <c r="M1286" s="4">
        <f>L1286/MAX(L$2:L1286)-1</f>
        <v>-1.3910028047652845E-2</v>
      </c>
      <c r="N1286" s="4">
        <f t="shared" si="39"/>
        <v>2.6340984629223518E-2</v>
      </c>
    </row>
    <row r="1287" spans="1:14">
      <c r="A1287" s="3">
        <f>prices!A1288</f>
        <v>45369</v>
      </c>
      <c r="B1287" s="5">
        <f>prices!B1288/prices!B1287-1</f>
        <v>1.4978627446782689E-2</v>
      </c>
      <c r="C1287" s="5">
        <f>prices!C1288/prices!C1287-1</f>
        <v>-1.5821708940308654E-2</v>
      </c>
      <c r="D1287" s="5">
        <f>prices!D1288/prices!D1287-1</f>
        <v>-4.5436245470753533E-3</v>
      </c>
      <c r="E1287" s="5">
        <f>prices!E1288/prices!E1287-1</f>
        <v>-1.9185814849249527E-2</v>
      </c>
      <c r="F1287" s="5">
        <f>prices!F1288/prices!F1287-1</f>
        <v>-3.9427210251075095E-3</v>
      </c>
      <c r="G1287" s="5">
        <f>prices!G1288/prices!G1287-1</f>
        <v>1.3911127195530781E-2</v>
      </c>
      <c r="H1287" s="5">
        <f>prices!H1288/prices!H1287-1</f>
        <v>1.4889221813765952E-2</v>
      </c>
      <c r="I1287" s="5">
        <f>prices!I1288/prices!I1287-1</f>
        <v>6.7983156671991285E-3</v>
      </c>
      <c r="J1287" s="5">
        <f>prices!J1288/prices!J1287-1</f>
        <v>1.4688955131714199E-3</v>
      </c>
      <c r="K1287" s="8">
        <f>SUMPRODUCT(B1287:I1287,weights!$B$5:$I$5)</f>
        <v>4.5129703291092917E-3</v>
      </c>
      <c r="L1287" s="4">
        <f t="shared" si="40"/>
        <v>269.51101861088841</v>
      </c>
      <c r="M1287" s="4">
        <f>L1287/MAX(L$2:L1287)-1</f>
        <v>-9.4598332623997416E-3</v>
      </c>
      <c r="N1287" s="4">
        <f t="shared" si="39"/>
        <v>1.9099321720370988E-2</v>
      </c>
    </row>
    <row r="1288" spans="1:14">
      <c r="A1288" s="3">
        <f>prices!A1289</f>
        <v>45370</v>
      </c>
      <c r="B1288" s="5">
        <f>prices!B1289/prices!B1288-1</f>
        <v>-9.8782271218853523E-3</v>
      </c>
      <c r="C1288" s="5">
        <f>prices!C1289/prices!C1288-1</f>
        <v>-4.219082437238475E-2</v>
      </c>
      <c r="D1288" s="5">
        <f>prices!D1289/prices!D1288-1</f>
        <v>2.2821816501039649E-3</v>
      </c>
      <c r="E1288" s="5">
        <f>prices!E1289/prices!E1288-1</f>
        <v>-2.5709081799161759E-2</v>
      </c>
      <c r="F1288" s="5">
        <f>prices!F1289/prices!F1288-1</f>
        <v>-1.8939498062068849E-2</v>
      </c>
      <c r="G1288" s="5">
        <f>prices!G1289/prices!G1288-1</f>
        <v>-3.3736028200449519E-3</v>
      </c>
      <c r="H1288" s="5">
        <f>prices!H1289/prices!H1288-1</f>
        <v>-1.4514713054787798E-2</v>
      </c>
      <c r="I1288" s="5">
        <f>prices!I1289/prices!I1288-1</f>
        <v>-1.670651963852543E-2</v>
      </c>
      <c r="J1288" s="5">
        <f>prices!J1289/prices!J1288-1</f>
        <v>-1.0802196257656771E-2</v>
      </c>
      <c r="K1288" s="8">
        <f>SUMPRODUCT(B1288:I1288,weights!$B$5:$I$5)</f>
        <v>-1.4690222319891885E-2</v>
      </c>
      <c r="L1288" s="4">
        <f t="shared" si="40"/>
        <v>265.55184182983396</v>
      </c>
      <c r="M1288" s="4">
        <f>L1288/MAX(L$2:L1288)-1</f>
        <v>-2.4011088528557711E-2</v>
      </c>
      <c r="N1288" s="4">
        <f t="shared" si="39"/>
        <v>1.7124643814405704E-3</v>
      </c>
    </row>
    <row r="1289" spans="1:14">
      <c r="A1289" s="3">
        <f>prices!A1290</f>
        <v>45371</v>
      </c>
      <c r="B1289" s="5">
        <f>prices!B1290/prices!B1289-1</f>
        <v>1.2980465393710006E-2</v>
      </c>
      <c r="C1289" s="5">
        <f>prices!C1290/prices!C1289-1</f>
        <v>-1.609294014464524E-3</v>
      </c>
      <c r="D1289" s="5">
        <f>prices!D1290/prices!D1289-1</f>
        <v>-1.2624297449200128E-2</v>
      </c>
      <c r="E1289" s="5">
        <f>prices!E1290/prices!E1289-1</f>
        <v>-4.1627864956148564E-3</v>
      </c>
      <c r="F1289" s="5">
        <f>prices!F1290/prices!F1289-1</f>
        <v>1.5018212384421359E-2</v>
      </c>
      <c r="G1289" s="5">
        <f>prices!G1290/prices!G1289-1</f>
        <v>2.9671602158096277E-2</v>
      </c>
      <c r="H1289" s="5">
        <f>prices!H1290/prices!H1289-1</f>
        <v>5.8069326857723702E-4</v>
      </c>
      <c r="I1289" s="5">
        <f>prices!I1290/prices!I1289-1</f>
        <v>2.2851343066423446E-3</v>
      </c>
      <c r="J1289" s="5">
        <f>prices!J1290/prices!J1289-1</f>
        <v>9.9232495089940365E-4</v>
      </c>
      <c r="K1289" s="8">
        <f>SUMPRODUCT(B1289:I1289,weights!$B$5:$I$5)</f>
        <v>7.7805438109272047E-3</v>
      </c>
      <c r="L1289" s="4">
        <f t="shared" si="40"/>
        <v>267.61797956926341</v>
      </c>
      <c r="M1289" s="4">
        <f>L1289/MAX(L$2:L1289)-1</f>
        <v>-1.6417364043874949E-2</v>
      </c>
      <c r="N1289" s="4">
        <f t="shared" si="39"/>
        <v>9.5211089614115618E-3</v>
      </c>
    </row>
    <row r="1290" spans="1:14">
      <c r="A1290" s="3">
        <f>prices!A1291</f>
        <v>45372</v>
      </c>
      <c r="B1290" s="5">
        <f>prices!B1291/prices!B1290-1</f>
        <v>5.0050821913008026E-3</v>
      </c>
      <c r="C1290" s="5">
        <f>prices!C1291/prices!C1290-1</f>
        <v>5.1722722421376766E-4</v>
      </c>
      <c r="D1290" s="5">
        <f>prices!D1291/prices!D1290-1</f>
        <v>1.0275272207140196E-2</v>
      </c>
      <c r="E1290" s="5">
        <f>prices!E1291/prices!E1290-1</f>
        <v>-1.6050804284872822E-4</v>
      </c>
      <c r="F1290" s="5">
        <f>prices!F1291/prices!F1290-1</f>
        <v>1.336056975652844E-2</v>
      </c>
      <c r="G1290" s="5">
        <f>prices!G1291/prices!G1290-1</f>
        <v>-2.7635872778318804E-3</v>
      </c>
      <c r="H1290" s="5">
        <f>prices!H1291/prices!H1290-1</f>
        <v>1.0235374033014333E-2</v>
      </c>
      <c r="I1290" s="5">
        <f>prices!I1291/prices!I1290-1</f>
        <v>1.432928078483231E-2</v>
      </c>
      <c r="J1290" s="5">
        <f>prices!J1291/prices!J1290-1</f>
        <v>7.9147034447391018E-3</v>
      </c>
      <c r="K1290" s="8">
        <f>SUMPRODUCT(B1290:I1290,weights!$B$5:$I$5)</f>
        <v>6.379362222544576E-3</v>
      </c>
      <c r="L1290" s="4">
        <f t="shared" si="40"/>
        <v>269.32521159820129</v>
      </c>
      <c r="M1290" s="4">
        <f>L1290/MAX(L$2:L1290)-1</f>
        <v>-1.0142734133305575E-2</v>
      </c>
      <c r="N1290" s="4">
        <f t="shared" si="39"/>
        <v>2.2842547222466258E-2</v>
      </c>
    </row>
    <row r="1291" spans="1:14">
      <c r="A1291" s="3">
        <f>prices!A1292</f>
        <v>45373</v>
      </c>
      <c r="B1291" s="5">
        <f>prices!B1292/prices!B1291-1</f>
        <v>2.79000341775415E-3</v>
      </c>
      <c r="C1291" s="5">
        <f>prices!C1292/prices!C1291-1</f>
        <v>-1.5618204644979872E-2</v>
      </c>
      <c r="D1291" s="5">
        <f>prices!D1292/prices!D1291-1</f>
        <v>-2.0081481695513048E-3</v>
      </c>
      <c r="E1291" s="5">
        <f>prices!E1292/prices!E1291-1</f>
        <v>-2.9489362890166904E-2</v>
      </c>
      <c r="F1291" s="5">
        <f>prices!F1292/prices!F1291-1</f>
        <v>1.7433941705257361E-2</v>
      </c>
      <c r="G1291" s="5">
        <f>prices!G1292/prices!G1291-1</f>
        <v>3.6072066239872802E-2</v>
      </c>
      <c r="H1291" s="5">
        <f>prices!H1292/prices!H1291-1</f>
        <v>2.7914324696604709E-2</v>
      </c>
      <c r="I1291" s="5">
        <f>prices!I1292/prices!I1291-1</f>
        <v>1.6236070795847546E-2</v>
      </c>
      <c r="J1291" s="5">
        <f>prices!J1292/prices!J1291-1</f>
        <v>3.8524528721899376E-3</v>
      </c>
      <c r="K1291" s="8">
        <f>SUMPRODUCT(B1291:I1291,weights!$B$5:$I$5)</f>
        <v>1.2213316120194015E-2</v>
      </c>
      <c r="L1291" s="4">
        <f t="shared" si="40"/>
        <v>272.61456554658827</v>
      </c>
      <c r="M1291" s="4">
        <f>L1291/MAX(L$2:L1291)-1</f>
        <v>0</v>
      </c>
      <c r="N1291" s="4">
        <f t="shared" si="39"/>
        <v>2.0396233188474611E-2</v>
      </c>
    </row>
    <row r="1292" spans="1:14">
      <c r="A1292" s="3">
        <f>prices!A1293</f>
        <v>45377</v>
      </c>
      <c r="B1292" s="5">
        <f>prices!B1293/prices!B1292-1</f>
        <v>-9.2439955762368964E-3</v>
      </c>
      <c r="C1292" s="5">
        <f>prices!C1293/prices!C1292-1</f>
        <v>-8.5415225250007332E-3</v>
      </c>
      <c r="D1292" s="5">
        <f>prices!D1293/prices!D1292-1</f>
        <v>-1.2102086017458324E-2</v>
      </c>
      <c r="E1292" s="5">
        <f>prices!E1293/prices!E1292-1</f>
        <v>-1.0737376570512214E-2</v>
      </c>
      <c r="F1292" s="5">
        <f>prices!F1293/prices!F1292-1</f>
        <v>-2.1954484605086755E-3</v>
      </c>
      <c r="G1292" s="5">
        <f>prices!G1293/prices!G1292-1</f>
        <v>-7.0636429552357605E-3</v>
      </c>
      <c r="H1292" s="5">
        <f>prices!H1293/prices!H1292-1</f>
        <v>-6.7128585854094869E-3</v>
      </c>
      <c r="I1292" s="5">
        <f>prices!I1293/prices!I1292-1</f>
        <v>1.4457653442210505E-2</v>
      </c>
      <c r="J1292" s="5">
        <f>prices!J1293/prices!J1292-1</f>
        <v>-4.1657709844207247E-3</v>
      </c>
      <c r="K1292" s="8">
        <f>SUMPRODUCT(B1292:I1292,weights!$B$5:$I$5)</f>
        <v>-3.4574238893837895E-3</v>
      </c>
      <c r="L1292" s="4">
        <f t="shared" si="40"/>
        <v>271.67202143507353</v>
      </c>
      <c r="M1292" s="4">
        <f>L1292/MAX(L$2:L1292)-1</f>
        <v>-3.4574238893837483E-3</v>
      </c>
      <c r="N1292" s="4">
        <f t="shared" si="39"/>
        <v>1.7709450993279141E-2</v>
      </c>
    </row>
    <row r="1293" spans="1:14">
      <c r="A1293" s="3">
        <f>prices!A1294</f>
        <v>45378</v>
      </c>
      <c r="B1293" s="5">
        <f>prices!B1294/prices!B1293-1</f>
        <v>3.5565852288682809E-2</v>
      </c>
      <c r="C1293" s="5">
        <f>prices!C1294/prices!C1293-1</f>
        <v>-9.4390650617267591E-3</v>
      </c>
      <c r="D1293" s="5">
        <f>prices!D1294/prices!D1293-1</f>
        <v>1.0741028383863593E-2</v>
      </c>
      <c r="E1293" s="5">
        <f>prices!E1294/prices!E1293-1</f>
        <v>-5.8958663506695208E-3</v>
      </c>
      <c r="F1293" s="5">
        <f>prices!F1294/prices!F1293-1</f>
        <v>8.0498014382324179E-4</v>
      </c>
      <c r="G1293" s="5">
        <f>prices!G1294/prices!G1293-1</f>
        <v>2.1207073511348984E-2</v>
      </c>
      <c r="H1293" s="5">
        <f>prices!H1294/prices!H1293-1</f>
        <v>3.7915116174984664E-3</v>
      </c>
      <c r="I1293" s="5">
        <f>prices!I1294/prices!I1293-1</f>
        <v>9.8910418060247363E-3</v>
      </c>
      <c r="J1293" s="5">
        <f>prices!J1294/prices!J1293-1</f>
        <v>5.4056633355601402E-3</v>
      </c>
      <c r="K1293" s="8">
        <f>SUMPRODUCT(B1293:I1293,weights!$B$5:$I$5)</f>
        <v>1.0707188889393442E-2</v>
      </c>
      <c r="L1293" s="4">
        <f t="shared" si="40"/>
        <v>274.58086508454221</v>
      </c>
      <c r="M1293" s="4">
        <f>L1293/MAX(L$2:L1293)-1</f>
        <v>0</v>
      </c>
      <c r="N1293" s="4">
        <f t="shared" si="39"/>
        <v>2.8234996987911209E-2</v>
      </c>
    </row>
    <row r="1294" spans="1:14">
      <c r="A1294" s="3">
        <f>prices!A1295</f>
        <v>45379</v>
      </c>
      <c r="B1294" s="5">
        <f>prices!B1295/prices!B1294-1</f>
        <v>-4.6845552045339245E-3</v>
      </c>
      <c r="C1294" s="5">
        <f>prices!C1295/prices!C1294-1</f>
        <v>9.2177893715323922E-3</v>
      </c>
      <c r="D1294" s="5">
        <f>prices!D1295/prices!D1294-1</f>
        <v>5.0017397355601734E-3</v>
      </c>
      <c r="E1294" s="5">
        <f>prices!E1295/prices!E1294-1</f>
        <v>9.5727020761573467E-3</v>
      </c>
      <c r="F1294" s="5">
        <f>prices!F1295/prices!F1294-1</f>
        <v>8.3114376105952736E-4</v>
      </c>
      <c r="G1294" s="5">
        <f>prices!G1295/prices!G1294-1</f>
        <v>7.1943572118220445E-3</v>
      </c>
      <c r="H1294" s="5">
        <f>prices!H1295/prices!H1294-1</f>
        <v>1.0223255517691543E-2</v>
      </c>
      <c r="I1294" s="5">
        <f>prices!I1295/prices!I1294-1</f>
        <v>1.551436006728979E-2</v>
      </c>
      <c r="J1294" s="5">
        <f>prices!J1295/prices!J1294-1</f>
        <v>9.1870012407537782E-3</v>
      </c>
      <c r="K1294" s="8">
        <f>SUMPRODUCT(B1294:I1294,weights!$B$5:$I$5)</f>
        <v>7.4622878943773861E-3</v>
      </c>
      <c r="L1294" s="4">
        <f t="shared" si="40"/>
        <v>276.62986655009024</v>
      </c>
      <c r="M1294" s="4">
        <f>L1294/MAX(L$2:L1294)-1</f>
        <v>0</v>
      </c>
      <c r="N1294" s="4">
        <f t="shared" si="39"/>
        <v>2.7974471867178829E-2</v>
      </c>
    </row>
    <row r="1295" spans="1:14">
      <c r="A1295" s="3">
        <f>prices!A1296</f>
        <v>45383</v>
      </c>
      <c r="B1295" s="5">
        <f>prices!B1296/prices!B1295-1</f>
        <v>-7.2880836426802986E-4</v>
      </c>
      <c r="C1295" s="5">
        <f>prices!C1296/prices!C1295-1</f>
        <v>1.0434392565285E-2</v>
      </c>
      <c r="D1295" s="5">
        <f>prices!D1296/prices!D1295-1</f>
        <v>1.5608545750926739E-2</v>
      </c>
      <c r="E1295" s="5">
        <f>prices!E1296/prices!E1295-1</f>
        <v>-1.7384753571119127E-3</v>
      </c>
      <c r="F1295" s="5">
        <f>prices!F1296/prices!F1295-1</f>
        <v>-3.8575906131961268E-3</v>
      </c>
      <c r="G1295" s="5">
        <f>prices!G1296/prices!G1295-1</f>
        <v>-2.440698150909415E-3</v>
      </c>
      <c r="H1295" s="5">
        <f>prices!H1296/prices!H1295-1</f>
        <v>5.3656998738966788E-3</v>
      </c>
      <c r="I1295" s="5">
        <f>prices!I1296/prices!I1295-1</f>
        <v>1.96847922494372E-2</v>
      </c>
      <c r="J1295" s="5">
        <f>prices!J1296/prices!J1295-1</f>
        <v>6.0509967796693598E-3</v>
      </c>
      <c r="K1295" s="8">
        <f>SUMPRODUCT(B1295:I1295,weights!$B$5:$I$5)</f>
        <v>5.7264351261416841E-3</v>
      </c>
      <c r="L1295" s="4">
        <f t="shared" si="40"/>
        <v>278.21396953484259</v>
      </c>
      <c r="M1295" s="4">
        <f>L1295/MAX(L$2:L1295)-1</f>
        <v>0</v>
      </c>
      <c r="N1295" s="4">
        <f t="shared" si="39"/>
        <v>4.6185030365401225E-2</v>
      </c>
    </row>
    <row r="1296" spans="1:14">
      <c r="A1296" s="3">
        <f>prices!A1297</f>
        <v>45384</v>
      </c>
      <c r="B1296" s="5">
        <f>prices!B1297/prices!B1296-1</f>
        <v>1.465496087466267E-3</v>
      </c>
      <c r="C1296" s="5">
        <f>prices!C1297/prices!C1296-1</f>
        <v>-8.4122443657107526E-3</v>
      </c>
      <c r="D1296" s="5">
        <f>prices!D1297/prices!D1296-1</f>
        <v>6.5622203599278173E-3</v>
      </c>
      <c r="E1296" s="5">
        <f>prices!E1297/prices!E1296-1</f>
        <v>-8.4245203610715524E-3</v>
      </c>
      <c r="F1296" s="5">
        <f>prices!F1297/prices!F1296-1</f>
        <v>-1.9900497512438386E-3</v>
      </c>
      <c r="G1296" s="5">
        <f>prices!G1297/prices!G1296-1</f>
        <v>-1.364362746665515E-3</v>
      </c>
      <c r="H1296" s="5">
        <f>prices!H1297/prices!H1296-1</f>
        <v>-4.2959906178072771E-3</v>
      </c>
      <c r="I1296" s="5">
        <f>prices!I1297/prices!I1296-1</f>
        <v>-7.9729577826666009E-3</v>
      </c>
      <c r="J1296" s="5">
        <f>prices!J1297/prices!J1296-1</f>
        <v>-3.8732080847658779E-4</v>
      </c>
      <c r="K1296" s="8">
        <f>SUMPRODUCT(B1296:I1296,weights!$B$5:$I$5)</f>
        <v>-3.4282771607229948E-3</v>
      </c>
      <c r="L1296" s="4">
        <f t="shared" si="40"/>
        <v>277.26017493729222</v>
      </c>
      <c r="M1296" s="4">
        <f>L1296/MAX(L$2:L1296)-1</f>
        <v>-3.4282771607229146E-3</v>
      </c>
      <c r="N1296" s="4">
        <f t="shared" si="39"/>
        <v>3.9971843483961766E-2</v>
      </c>
    </row>
    <row r="1297" spans="1:14">
      <c r="A1297" s="3">
        <f>prices!A1298</f>
        <v>45385</v>
      </c>
      <c r="B1297" s="5">
        <f>prices!B1298/prices!B1297-1</f>
        <v>-1.0318330009596921E-2</v>
      </c>
      <c r="C1297" s="5">
        <f>prices!C1298/prices!C1297-1</f>
        <v>1.6348857706459219E-2</v>
      </c>
      <c r="D1297" s="5">
        <f>prices!D1298/prices!D1297-1</f>
        <v>1.4534678614266383E-3</v>
      </c>
      <c r="E1297" s="5">
        <f>prices!E1298/prices!E1297-1</f>
        <v>-1.4855361468265604E-3</v>
      </c>
      <c r="F1297" s="5">
        <f>prices!F1298/prices!F1297-1</f>
        <v>-1.5359327423135616E-3</v>
      </c>
      <c r="G1297" s="5">
        <f>prices!G1298/prices!G1297-1</f>
        <v>-9.9264914163356144E-3</v>
      </c>
      <c r="H1297" s="5">
        <f>prices!H1298/prices!H1297-1</f>
        <v>-1.480165778567244E-3</v>
      </c>
      <c r="I1297" s="5">
        <f>prices!I1298/prices!I1297-1</f>
        <v>-6.553193096619836E-3</v>
      </c>
      <c r="J1297" s="5">
        <f>prices!J1298/prices!J1297-1</f>
        <v>-8.306128720498851E-4</v>
      </c>
      <c r="K1297" s="8">
        <f>SUMPRODUCT(B1297:I1297,weights!$B$5:$I$5)</f>
        <v>-3.4681840355638891E-3</v>
      </c>
      <c r="L1297" s="4">
        <f t="shared" si="40"/>
        <v>276.29858562487703</v>
      </c>
      <c r="M1297" s="4">
        <f>L1297/MAX(L$2:L1297)-1</f>
        <v>-6.8845713001686182E-3</v>
      </c>
      <c r="N1297" s="4">
        <f t="shared" si="39"/>
        <v>1.9417733009363003E-2</v>
      </c>
    </row>
    <row r="1298" spans="1:14">
      <c r="A1298" s="3">
        <f>prices!A1299</f>
        <v>45386</v>
      </c>
      <c r="B1298" s="5">
        <f>prices!B1299/prices!B1298-1</f>
        <v>-5.900678784377611E-3</v>
      </c>
      <c r="C1298" s="5">
        <f>prices!C1299/prices!C1298-1</f>
        <v>1.4186291081880187E-2</v>
      </c>
      <c r="D1298" s="5">
        <f>prices!D1299/prices!D1298-1</f>
        <v>3.0548979821891642E-2</v>
      </c>
      <c r="E1298" s="5">
        <f>prices!E1299/prices!E1298-1</f>
        <v>4.0894699812381585E-3</v>
      </c>
      <c r="F1298" s="5">
        <f>prices!F1299/prices!F1298-1</f>
        <v>-5.7483672478004788E-3</v>
      </c>
      <c r="G1298" s="5">
        <f>prices!G1299/prices!G1298-1</f>
        <v>1.1216862943800532E-2</v>
      </c>
      <c r="H1298" s="5">
        <f>prices!H1299/prices!H1298-1</f>
        <v>-3.0908781247829253E-4</v>
      </c>
      <c r="I1298" s="5">
        <f>prices!I1299/prices!I1298-1</f>
        <v>4.0735409934009592E-3</v>
      </c>
      <c r="J1298" s="5">
        <f>prices!J1299/prices!J1298-1</f>
        <v>3.5659125504521327E-3</v>
      </c>
      <c r="K1298" s="8">
        <f>SUMPRODUCT(B1298:I1298,weights!$B$5:$I$5)</f>
        <v>5.567722730294866E-3</v>
      </c>
      <c r="L1298" s="4">
        <f t="shared" si="40"/>
        <v>277.83693954040899</v>
      </c>
      <c r="M1298" s="4">
        <f>L1298/MAX(L$2:L1298)-1</f>
        <v>-1.3551799539900378E-3</v>
      </c>
      <c r="N1298" s="4">
        <f t="shared" si="39"/>
        <v>2.5518084128344221E-2</v>
      </c>
    </row>
    <row r="1299" spans="1:14">
      <c r="A1299" s="3">
        <f>prices!A1300</f>
        <v>45387</v>
      </c>
      <c r="B1299" s="5">
        <f>prices!B1300/prices!B1299-1</f>
        <v>-1.9301413361558772E-3</v>
      </c>
      <c r="C1299" s="5">
        <f>prices!C1300/prices!C1299-1</f>
        <v>-6.0072043019507859E-3</v>
      </c>
      <c r="D1299" s="5">
        <f>prices!D1300/prices!D1299-1</f>
        <v>1.4370487858236691E-2</v>
      </c>
      <c r="E1299" s="5">
        <f>prices!E1300/prices!E1299-1</f>
        <v>-5.1165642380626153E-3</v>
      </c>
      <c r="F1299" s="5">
        <f>prices!F1300/prices!F1299-1</f>
        <v>1.1346054667354277E-2</v>
      </c>
      <c r="G1299" s="5">
        <f>prices!G1300/prices!G1299-1</f>
        <v>-1.1589410762275154E-2</v>
      </c>
      <c r="H1299" s="5">
        <f>prices!H1300/prices!H1299-1</f>
        <v>-6.3918930856500245E-3</v>
      </c>
      <c r="I1299" s="5">
        <f>prices!I1300/prices!I1299-1</f>
        <v>-1.4415925134557694E-2</v>
      </c>
      <c r="J1299" s="5">
        <f>prices!J1300/prices!J1299-1</f>
        <v>-4.2194748752555356E-5</v>
      </c>
      <c r="K1299" s="8">
        <f>SUMPRODUCT(B1299:I1299,weights!$B$5:$I$5)</f>
        <v>-5.2462254432659207E-3</v>
      </c>
      <c r="L1299" s="4">
        <f t="shared" si="40"/>
        <v>276.37934431911299</v>
      </c>
      <c r="M1299" s="4">
        <f>L1299/MAX(L$2:L1299)-1</f>
        <v>-6.5942958177009903E-3</v>
      </c>
      <c r="N1299" s="4">
        <f t="shared" si="39"/>
        <v>2.233180434867954E-2</v>
      </c>
    </row>
    <row r="1300" spans="1:14">
      <c r="A1300" s="3">
        <f>prices!A1301</f>
        <v>45390</v>
      </c>
      <c r="B1300" s="5">
        <f>prices!B1301/prices!B1300-1</f>
        <v>1.7723712483537657E-2</v>
      </c>
      <c r="C1300" s="5">
        <f>prices!C1301/prices!C1300-1</f>
        <v>-1.6822419697525293E-3</v>
      </c>
      <c r="D1300" s="5">
        <f>prices!D1301/prices!D1300-1</f>
        <v>-1.9006025314407538E-3</v>
      </c>
      <c r="E1300" s="5">
        <f>prices!E1301/prices!E1300-1</f>
        <v>-1.6213638531235031E-3</v>
      </c>
      <c r="F1300" s="5">
        <f>prices!F1301/prices!F1300-1</f>
        <v>3.6232856491049681E-3</v>
      </c>
      <c r="G1300" s="5">
        <f>prices!G1301/prices!G1300-1</f>
        <v>3.5703588529251373E-2</v>
      </c>
      <c r="H1300" s="5">
        <f>prices!H1301/prices!H1300-1</f>
        <v>-5.7789152150582446E-3</v>
      </c>
      <c r="I1300" s="5">
        <f>prices!I1301/prices!I1300-1</f>
        <v>1.7296926454445805E-2</v>
      </c>
      <c r="J1300" s="5">
        <f>prices!J1301/prices!J1300-1</f>
        <v>6.7780951154186031E-3</v>
      </c>
      <c r="K1300" s="8">
        <f>SUMPRODUCT(B1300:I1300,weights!$B$5:$I$5)</f>
        <v>1.1608316747954503E-2</v>
      </c>
      <c r="L1300" s="4">
        <f t="shared" si="40"/>
        <v>279.58764329056123</v>
      </c>
      <c r="M1300" s="4">
        <f>L1300/MAX(L$2:L1300)-1</f>
        <v>0</v>
      </c>
      <c r="N1300" s="4">
        <f t="shared" si="39"/>
        <v>2.8901990268050515E-2</v>
      </c>
    </row>
    <row r="1301" spans="1:14">
      <c r="A1301" s="3">
        <f>prices!A1302</f>
        <v>45391</v>
      </c>
      <c r="B1301" s="5">
        <f>prices!B1302/prices!B1301-1</f>
        <v>-1.5024484597519483E-2</v>
      </c>
      <c r="C1301" s="5">
        <f>prices!C1302/prices!C1301-1</f>
        <v>-6.5460852057926955E-3</v>
      </c>
      <c r="D1301" s="5">
        <f>prices!D1302/prices!D1301-1</f>
        <v>1.2559760149095656E-3</v>
      </c>
      <c r="E1301" s="5">
        <f>prices!E1302/prices!E1301-1</f>
        <v>1.2293877311072565E-2</v>
      </c>
      <c r="F1301" s="5">
        <f>prices!F1302/prices!F1301-1</f>
        <v>-6.4181419479060198E-3</v>
      </c>
      <c r="G1301" s="5">
        <f>prices!G1302/prices!G1301-1</f>
        <v>1.7800365139803986E-3</v>
      </c>
      <c r="H1301" s="5">
        <f>prices!H1302/prices!H1301-1</f>
        <v>1.7820757669633203E-3</v>
      </c>
      <c r="I1301" s="5">
        <f>prices!I1302/prices!I1301-1</f>
        <v>-5.9346700728075685E-3</v>
      </c>
      <c r="J1301" s="5">
        <f>prices!J1302/prices!J1301-1</f>
        <v>-1.0389873953843276E-3</v>
      </c>
      <c r="K1301" s="8">
        <f>SUMPRODUCT(B1301:I1301,weights!$B$5:$I$5)</f>
        <v>-2.4425726543763036E-3</v>
      </c>
      <c r="L1301" s="4">
        <f t="shared" si="40"/>
        <v>278.90473015855821</v>
      </c>
      <c r="M1301" s="4">
        <f>L1301/MAX(L$2:L1301)-1</f>
        <v>-2.4425726543761961E-3</v>
      </c>
      <c r="N1301" s="4">
        <f t="shared" si="39"/>
        <v>2.5065095071412857E-2</v>
      </c>
    </row>
    <row r="1302" spans="1:14">
      <c r="A1302" s="3">
        <f>prices!A1303</f>
        <v>45392</v>
      </c>
      <c r="B1302" s="5">
        <f>prices!B1303/prices!B1302-1</f>
        <v>1.0883619944544787E-2</v>
      </c>
      <c r="C1302" s="5">
        <f>prices!C1303/prices!C1302-1</f>
        <v>9.653907684851859E-3</v>
      </c>
      <c r="D1302" s="5">
        <f>prices!D1303/prices!D1302-1</f>
        <v>-7.8770957255965834E-3</v>
      </c>
      <c r="E1302" s="5">
        <f>prices!E1303/prices!E1302-1</f>
        <v>7.9923343278380798E-3</v>
      </c>
      <c r="F1302" s="5">
        <f>prices!F1303/prices!F1302-1</f>
        <v>2.4869462238251483E-2</v>
      </c>
      <c r="G1302" s="5">
        <f>prices!G1303/prices!G1302-1</f>
        <v>-1.5925489659827208E-2</v>
      </c>
      <c r="H1302" s="5">
        <f>prices!H1303/prices!H1302-1</f>
        <v>9.372728547927256E-4</v>
      </c>
      <c r="I1302" s="5">
        <f>prices!I1303/prices!I1302-1</f>
        <v>-8.4666881952114581E-3</v>
      </c>
      <c r="J1302" s="5">
        <f>prices!J1303/prices!J1302-1</f>
        <v>4.904439610913025E-3</v>
      </c>
      <c r="K1302" s="8">
        <f>SUMPRODUCT(B1302:I1302,weights!$B$5:$I$5)</f>
        <v>-2.1805198211537311E-4</v>
      </c>
      <c r="L1302" s="4">
        <f t="shared" si="40"/>
        <v>278.84391442932582</v>
      </c>
      <c r="M1302" s="4">
        <f>L1302/MAX(L$2:L1302)-1</f>
        <v>-2.6600920286826701E-3</v>
      </c>
      <c r="N1302" s="4">
        <f t="shared" si="39"/>
        <v>3.3520752751260652E-2</v>
      </c>
    </row>
    <row r="1303" spans="1:14">
      <c r="A1303" s="3">
        <f>prices!A1304</f>
        <v>45394</v>
      </c>
      <c r="B1303" s="5">
        <f>prices!B1304/prices!B1303-1</f>
        <v>-8.3997400731898875E-3</v>
      </c>
      <c r="C1303" s="5">
        <f>prices!C1304/prices!C1303-1</f>
        <v>4.2053589691144477E-3</v>
      </c>
      <c r="D1303" s="5">
        <f>prices!D1304/prices!D1303-1</f>
        <v>-1.1324858949085637E-2</v>
      </c>
      <c r="E1303" s="5">
        <f>prices!E1304/prices!E1303-1</f>
        <v>-1.4633654524766282E-2</v>
      </c>
      <c r="F1303" s="5">
        <f>prices!F1304/prices!F1303-1</f>
        <v>-1.5678344450863912E-2</v>
      </c>
      <c r="G1303" s="5">
        <f>prices!G1304/prices!G1303-1</f>
        <v>-3.2816618939115583E-2</v>
      </c>
      <c r="H1303" s="5">
        <f>prices!H1304/prices!H1303-1</f>
        <v>-3.993375163232149E-2</v>
      </c>
      <c r="I1303" s="5">
        <f>prices!I1304/prices!I1303-1</f>
        <v>-1.9702613422080351E-2</v>
      </c>
      <c r="J1303" s="5">
        <f>prices!J1304/prices!J1303-1</f>
        <v>-1.0301576000492085E-2</v>
      </c>
      <c r="K1303" s="8">
        <f>SUMPRODUCT(B1303:I1303,weights!$B$5:$I$5)</f>
        <v>-2.0376686923042765E-2</v>
      </c>
      <c r="L1303" s="4">
        <f t="shared" si="40"/>
        <v>273.16199928460372</v>
      </c>
      <c r="M1303" s="4">
        <f>L1303/MAX(L$2:L1303)-1</f>
        <v>-2.2982575089270485E-2</v>
      </c>
      <c r="N1303" s="4">
        <f t="shared" ref="N1303:N1366" si="41">L1303/L1283-1</f>
        <v>8.8328717460326445E-3</v>
      </c>
    </row>
    <row r="1304" spans="1:14">
      <c r="A1304" s="3">
        <f>prices!A1305</f>
        <v>45397</v>
      </c>
      <c r="B1304" s="5">
        <f>prices!B1305/prices!B1304-1</f>
        <v>-1.5865679775398656E-3</v>
      </c>
      <c r="C1304" s="5">
        <f>prices!C1305/prices!C1304-1</f>
        <v>-1.5045475901438565E-2</v>
      </c>
      <c r="D1304" s="5">
        <f>prices!D1305/prices!D1304-1</f>
        <v>-1.59649074557906E-2</v>
      </c>
      <c r="E1304" s="5">
        <f>prices!E1305/prices!E1304-1</f>
        <v>-1.1182085276190135E-2</v>
      </c>
      <c r="F1304" s="5">
        <f>prices!F1305/prices!F1304-1</f>
        <v>-9.7649475734372659E-3</v>
      </c>
      <c r="G1304" s="5">
        <f>prices!G1305/prices!G1304-1</f>
        <v>1.2742267764062287E-2</v>
      </c>
      <c r="H1304" s="5">
        <f>prices!H1305/prices!H1304-1</f>
        <v>3.3174978104399955E-5</v>
      </c>
      <c r="I1304" s="5">
        <f>prices!I1305/prices!I1304-1</f>
        <v>-2.1324235588412677E-2</v>
      </c>
      <c r="J1304" s="5">
        <f>prices!J1305/prices!J1304-1</f>
        <v>-1.0963880032327733E-2</v>
      </c>
      <c r="K1304" s="8">
        <f>SUMPRODUCT(B1304:I1304,weights!$B$5:$I$5)</f>
        <v>-6.1928744761103561E-3</v>
      </c>
      <c r="L1304" s="4">
        <f t="shared" si="40"/>
        <v>271.47034131139083</v>
      </c>
      <c r="M1304" s="4">
        <f>L1304/MAX(L$2:L1304)-1</f>
        <v>-2.9033121362715297E-2</v>
      </c>
      <c r="N1304" s="4">
        <f t="shared" si="41"/>
        <v>1.26522249109986E-2</v>
      </c>
    </row>
    <row r="1305" spans="1:14">
      <c r="A1305" s="3">
        <f>prices!A1306</f>
        <v>45398</v>
      </c>
      <c r="B1305" s="5">
        <f>prices!B1306/prices!B1305-1</f>
        <v>6.2872658684387517E-4</v>
      </c>
      <c r="C1305" s="5">
        <f>prices!C1306/prices!C1305-1</f>
        <v>-1.7354284942248888E-2</v>
      </c>
      <c r="D1305" s="5">
        <f>prices!D1306/prices!D1305-1</f>
        <v>9.7399421472590397E-3</v>
      </c>
      <c r="E1305" s="5">
        <f>prices!E1306/prices!E1305-1</f>
        <v>-3.657166508987697E-2</v>
      </c>
      <c r="F1305" s="5">
        <f>prices!F1306/prices!F1305-1</f>
        <v>0</v>
      </c>
      <c r="G1305" s="5">
        <f>prices!G1306/prices!G1305-1</f>
        <v>6.4278591446003119E-3</v>
      </c>
      <c r="H1305" s="5">
        <f>prices!H1306/prices!H1305-1</f>
        <v>-1.6188852250184071E-3</v>
      </c>
      <c r="I1305" s="5">
        <f>prices!I1306/prices!I1305-1</f>
        <v>-1.5926583101789737E-2</v>
      </c>
      <c r="J1305" s="5">
        <f>prices!J1306/prices!J1305-1</f>
        <v>-5.5943427994162853E-3</v>
      </c>
      <c r="K1305" s="8">
        <f>SUMPRODUCT(B1305:I1305,weights!$B$5:$I$5)</f>
        <v>-5.9512703593852211E-3</v>
      </c>
      <c r="L1305" s="4">
        <f t="shared" si="40"/>
        <v>269.85474791569214</v>
      </c>
      <c r="M1305" s="4">
        <f>L1305/MAX(L$2:L1305)-1</f>
        <v>-3.4811607767494146E-2</v>
      </c>
      <c r="N1305" s="4">
        <f t="shared" si="41"/>
        <v>-1.1877490905809474E-3</v>
      </c>
    </row>
    <row r="1306" spans="1:14">
      <c r="A1306" s="3">
        <f>prices!A1307</f>
        <v>45400</v>
      </c>
      <c r="B1306" s="5">
        <f>prices!B1307/prices!B1306-1</f>
        <v>-9.6666390476973785E-4</v>
      </c>
      <c r="C1306" s="5">
        <f>prices!C1307/prices!C1306-1</f>
        <v>-2.7891341618427878E-3</v>
      </c>
      <c r="D1306" s="5">
        <f>prices!D1307/prices!D1306-1</f>
        <v>-9.6459907553488877E-3</v>
      </c>
      <c r="E1306" s="5">
        <f>prices!E1307/prices!E1306-1</f>
        <v>3.3909227606101489E-3</v>
      </c>
      <c r="F1306" s="5">
        <f>prices!F1307/prices!F1306-1</f>
        <v>-1.6543176613229127E-2</v>
      </c>
      <c r="G1306" s="5">
        <f>prices!G1307/prices!G1306-1</f>
        <v>-7.8145221518622909E-3</v>
      </c>
      <c r="H1306" s="5">
        <f>prices!H1307/prices!H1306-1</f>
        <v>-1.3756255108754223E-2</v>
      </c>
      <c r="I1306" s="5">
        <f>prices!I1307/prices!I1306-1</f>
        <v>2.1161689804412021E-3</v>
      </c>
      <c r="J1306" s="5">
        <f>prices!J1307/prices!J1306-1</f>
        <v>-6.8652106971768267E-3</v>
      </c>
      <c r="K1306" s="8">
        <f>SUMPRODUCT(B1306:I1306,weights!$B$5:$I$5)</f>
        <v>-5.3578679262438859E-3</v>
      </c>
      <c r="L1306" s="4">
        <f t="shared" si="40"/>
        <v>268.40890181709</v>
      </c>
      <c r="M1306" s="4">
        <f>L1306/MAX(L$2:L1306)-1</f>
        <v>-3.9982959697019704E-2</v>
      </c>
      <c r="N1306" s="4">
        <f t="shared" si="41"/>
        <v>4.0519536727590122E-4</v>
      </c>
    </row>
    <row r="1307" spans="1:14">
      <c r="A1307" s="3">
        <f>prices!A1308</f>
        <v>45401</v>
      </c>
      <c r="B1307" s="5">
        <f>prices!B1308/prices!B1307-1</f>
        <v>3.9602454937519571E-3</v>
      </c>
      <c r="C1307" s="5">
        <f>prices!C1308/prices!C1307-1</f>
        <v>-9.2715306326306424E-3</v>
      </c>
      <c r="D1307" s="5">
        <f>prices!D1308/prices!D1307-1</f>
        <v>2.449658333449789E-2</v>
      </c>
      <c r="E1307" s="5">
        <f>prices!E1308/prices!E1307-1</f>
        <v>-5.6349873843566378E-3</v>
      </c>
      <c r="F1307" s="5">
        <f>prices!F1308/prices!F1307-1</f>
        <v>1.4081805977918416E-2</v>
      </c>
      <c r="G1307" s="5">
        <f>prices!G1308/prices!G1307-1</f>
        <v>2.4663397709957957E-2</v>
      </c>
      <c r="H1307" s="5">
        <f>prices!H1308/prices!H1307-1</f>
        <v>4.2181298725800787E-3</v>
      </c>
      <c r="I1307" s="5">
        <f>prices!I1308/prices!I1307-1</f>
        <v>-9.1786643061907425E-3</v>
      </c>
      <c r="J1307" s="5">
        <f>prices!J1308/prices!J1307-1</f>
        <v>6.8717508075386569E-3</v>
      </c>
      <c r="K1307" s="8">
        <f>SUMPRODUCT(B1307:I1307,weights!$B$5:$I$5)</f>
        <v>5.8334852030572796E-3</v>
      </c>
      <c r="L1307" s="4">
        <f t="shared" si="40"/>
        <v>269.97466117420885</v>
      </c>
      <c r="M1307" s="4">
        <f>L1307/MAX(L$2:L1307)-1</f>
        <v>-3.438271449772945E-2</v>
      </c>
      <c r="N1307" s="4">
        <f t="shared" si="41"/>
        <v>1.7203102333631648E-3</v>
      </c>
    </row>
    <row r="1308" spans="1:14">
      <c r="A1308" s="3">
        <f>prices!A1309</f>
        <v>45404</v>
      </c>
      <c r="B1308" s="5">
        <f>prices!B1309/prices!B1308-1</f>
        <v>6.6156779865209625E-3</v>
      </c>
      <c r="C1308" s="5">
        <f>prices!C1309/prices!C1308-1</f>
        <v>1.0037092367379152E-2</v>
      </c>
      <c r="D1308" s="5">
        <f>prices!D1309/prices!D1308-1</f>
        <v>-1.2480563057533312E-2</v>
      </c>
      <c r="E1308" s="5">
        <f>prices!E1309/prices!E1308-1</f>
        <v>1.523225146670959E-2</v>
      </c>
      <c r="F1308" s="5">
        <f>prices!F1309/prices!F1308-1</f>
        <v>1.296771579089695E-3</v>
      </c>
      <c r="G1308" s="5">
        <f>prices!G1309/prices!G1308-1</f>
        <v>5.8654117463909916E-3</v>
      </c>
      <c r="H1308" s="5">
        <f>prices!H1309/prices!H1308-1</f>
        <v>1.1359900156341363E-2</v>
      </c>
      <c r="I1308" s="5">
        <f>prices!I1309/prices!I1308-1</f>
        <v>2.6815952353147265E-2</v>
      </c>
      <c r="J1308" s="5">
        <f>prices!J1309/prices!J1308-1</f>
        <v>8.5519483451483858E-3</v>
      </c>
      <c r="K1308" s="8">
        <f>SUMPRODUCT(B1308:I1308,weights!$B$5:$I$5)</f>
        <v>1.0330866418490885E-2</v>
      </c>
      <c r="L1308" s="4">
        <f t="shared" si="40"/>
        <v>272.76373333517694</v>
      </c>
      <c r="M1308" s="4">
        <f>L1308/MAX(L$2:L1308)-1</f>
        <v>-2.4407051309819683E-2</v>
      </c>
      <c r="N1308" s="4">
        <f t="shared" si="41"/>
        <v>2.7158130237953104E-2</v>
      </c>
    </row>
    <row r="1309" spans="1:14">
      <c r="A1309" s="3">
        <f>prices!A1310</f>
        <v>45405</v>
      </c>
      <c r="B1309" s="5">
        <f>prices!B1310/prices!B1309-1</f>
        <v>-1.3869321989851024E-2</v>
      </c>
      <c r="C1309" s="5">
        <f>prices!C1310/prices!C1309-1</f>
        <v>2.6122802478993901E-3</v>
      </c>
      <c r="D1309" s="5">
        <f>prices!D1310/prices!D1309-1</f>
        <v>-3.0387160043647832E-3</v>
      </c>
      <c r="E1309" s="5">
        <f>prices!E1310/prices!E1309-1</f>
        <v>6.7331141978581588E-3</v>
      </c>
      <c r="F1309" s="5">
        <f>prices!F1310/prices!F1309-1</f>
        <v>9.1735693279011432E-3</v>
      </c>
      <c r="G1309" s="5">
        <f>prices!G1310/prices!G1309-1</f>
        <v>1.648279898046523E-2</v>
      </c>
      <c r="H1309" s="5">
        <f>prices!H1310/prices!H1309-1</f>
        <v>-3.6005732255881551E-2</v>
      </c>
      <c r="I1309" s="5">
        <f>prices!I1310/prices!I1309-1</f>
        <v>-7.051364069319277E-4</v>
      </c>
      <c r="J1309" s="5">
        <f>prices!J1310/prices!J1309-1</f>
        <v>1.4147311115488836E-3</v>
      </c>
      <c r="K1309" s="8">
        <f>SUMPRODUCT(B1309:I1309,weights!$B$5:$I$5)</f>
        <v>-2.7899808303689716E-3</v>
      </c>
      <c r="L1309" s="4">
        <f t="shared" si="40"/>
        <v>272.00272774795189</v>
      </c>
      <c r="M1309" s="4">
        <f>L1309/MAX(L$2:L1309)-1</f>
        <v>-2.7128936934908476E-2</v>
      </c>
      <c r="N1309" s="4">
        <f t="shared" si="41"/>
        <v>1.6384355736284384E-2</v>
      </c>
    </row>
    <row r="1310" spans="1:14">
      <c r="A1310" s="3">
        <f>prices!A1311</f>
        <v>45406</v>
      </c>
      <c r="B1310" s="5">
        <f>prices!B1311/prices!B1310-1</f>
        <v>-6.2693315949345907E-3</v>
      </c>
      <c r="C1310" s="5">
        <f>prices!C1311/prices!C1310-1</f>
        <v>-1.1263276278407175E-2</v>
      </c>
      <c r="D1310" s="5">
        <f>prices!D1311/prices!D1310-1</f>
        <v>2.7154712589534391E-3</v>
      </c>
      <c r="E1310" s="5">
        <f>prices!E1311/prices!E1310-1</f>
        <v>-8.0723426344575522E-3</v>
      </c>
      <c r="F1310" s="5">
        <f>prices!F1311/prices!F1310-1</f>
        <v>-6.951314065716252E-4</v>
      </c>
      <c r="G1310" s="5">
        <f>prices!G1311/prices!G1310-1</f>
        <v>-4.0158158434402402E-3</v>
      </c>
      <c r="H1310" s="5">
        <f>prices!H1311/prices!H1310-1</f>
        <v>7.4329486094182329E-4</v>
      </c>
      <c r="I1310" s="5">
        <f>prices!I1311/prices!I1310-1</f>
        <v>6.840097081577623E-3</v>
      </c>
      <c r="J1310" s="5">
        <f>prices!J1311/prices!J1310-1</f>
        <v>1.5379113018598733E-3</v>
      </c>
      <c r="K1310" s="8">
        <f>SUMPRODUCT(B1310:I1310,weights!$B$5:$I$5)</f>
        <v>-1.648235597867326E-3</v>
      </c>
      <c r="L1310" s="4">
        <f t="shared" si="40"/>
        <v>271.55440316936068</v>
      </c>
      <c r="M1310" s="4">
        <f>L1310/MAX(L$2:L1310)-1</f>
        <v>-2.8732457653187549E-2</v>
      </c>
      <c r="N1310" s="4">
        <f t="shared" si="41"/>
        <v>8.276950969169139E-3</v>
      </c>
    </row>
    <row r="1311" spans="1:14">
      <c r="A1311" s="3">
        <f>prices!A1312</f>
        <v>45407</v>
      </c>
      <c r="B1311" s="5">
        <f>prices!B1312/prices!B1311-1</f>
        <v>6.7555307418520893E-3</v>
      </c>
      <c r="C1311" s="5">
        <f>prices!C1312/prices!C1311-1</f>
        <v>5.5199253420170624E-3</v>
      </c>
      <c r="D1311" s="5">
        <f>prices!D1312/prices!D1311-1</f>
        <v>-6.2176165803118355E-4</v>
      </c>
      <c r="E1311" s="5">
        <f>prices!E1312/prices!E1311-1</f>
        <v>5.3773227152065228E-3</v>
      </c>
      <c r="F1311" s="5">
        <f>prices!F1312/prices!F1311-1</f>
        <v>2.0146079139577999E-2</v>
      </c>
      <c r="G1311" s="5">
        <f>prices!G1312/prices!G1311-1</f>
        <v>-1.6648751940762097E-3</v>
      </c>
      <c r="H1311" s="5">
        <f>prices!H1312/prices!H1311-1</f>
        <v>2.3155694017481965E-2</v>
      </c>
      <c r="I1311" s="5">
        <f>prices!I1312/prices!I1311-1</f>
        <v>4.8013202924310772E-3</v>
      </c>
      <c r="J1311" s="5">
        <f>prices!J1312/prices!J1311-1</f>
        <v>7.496964610934409E-3</v>
      </c>
      <c r="K1311" s="8">
        <f>SUMPRODUCT(B1311:I1311,weights!$B$5:$I$5)</f>
        <v>7.553306403602098E-3</v>
      </c>
      <c r="L1311" s="4">
        <f t="shared" si="40"/>
        <v>273.6055367817462</v>
      </c>
      <c r="M1311" s="4">
        <f>L1311/MAX(L$2:L1311)-1</f>
        <v>-2.1396176305968351E-2</v>
      </c>
      <c r="N1311" s="4">
        <f t="shared" si="41"/>
        <v>3.6350634206614441E-3</v>
      </c>
    </row>
    <row r="1312" spans="1:14">
      <c r="A1312" s="3">
        <f>prices!A1313</f>
        <v>45408</v>
      </c>
      <c r="B1312" s="5">
        <f>prices!B1313/prices!B1312-1</f>
        <v>-5.0881060322477412E-3</v>
      </c>
      <c r="C1312" s="5">
        <f>prices!C1313/prices!C1312-1</f>
        <v>-8.0087563154642716E-3</v>
      </c>
      <c r="D1312" s="5">
        <f>prices!D1313/prices!D1312-1</f>
        <v>-6.3597400801873594E-4</v>
      </c>
      <c r="E1312" s="5">
        <f>prices!E1313/prices!E1312-1</f>
        <v>-5.6955770637979741E-3</v>
      </c>
      <c r="F1312" s="5">
        <f>prices!F1313/prices!F1312-1</f>
        <v>5.6123787044322082E-3</v>
      </c>
      <c r="G1312" s="5">
        <f>prices!G1313/prices!G1312-1</f>
        <v>-1.6958844654781702E-2</v>
      </c>
      <c r="H1312" s="5">
        <f>prices!H1313/prices!H1312-1</f>
        <v>-8.9464556979041987E-3</v>
      </c>
      <c r="I1312" s="5">
        <f>prices!I1313/prices!I1312-1</f>
        <v>-1.2895151310608588E-2</v>
      </c>
      <c r="J1312" s="5">
        <f>prices!J1313/prices!J1312-1</f>
        <v>-6.6636095585579369E-3</v>
      </c>
      <c r="K1312" s="8">
        <f>SUMPRODUCT(B1312:I1312,weights!$B$5:$I$5)</f>
        <v>-8.5975611079865989E-3</v>
      </c>
      <c r="L1312" s="4">
        <f t="shared" si="40"/>
        <v>271.25319645978163</v>
      </c>
      <c r="M1312" s="4">
        <f>L1312/MAX(L$2:L1312)-1</f>
        <v>-2.9809782480687219E-2</v>
      </c>
      <c r="N1312" s="4">
        <f t="shared" si="41"/>
        <v>-1.5416566383226193E-3</v>
      </c>
    </row>
    <row r="1313" spans="1:14">
      <c r="A1313" s="3">
        <f>prices!A1314</f>
        <v>45411</v>
      </c>
      <c r="B1313" s="5">
        <f>prices!B1314/prices!B1313-1</f>
        <v>8.5908976895849865E-3</v>
      </c>
      <c r="C1313" s="5">
        <f>prices!C1314/prices!C1313-1</f>
        <v>1.2782669032668892E-2</v>
      </c>
      <c r="D1313" s="5">
        <f>prices!D1314/prices!D1313-1</f>
        <v>1.3045763931160304E-2</v>
      </c>
      <c r="E1313" s="5">
        <f>prices!E1314/prices!E1313-1</f>
        <v>3.1410275864163228E-3</v>
      </c>
      <c r="F1313" s="5">
        <f>prices!F1314/prices!F1313-1</f>
        <v>-4.0945128312122048E-3</v>
      </c>
      <c r="G1313" s="5">
        <f>prices!G1314/prices!G1313-1</f>
        <v>-1.0627984049911277E-3</v>
      </c>
      <c r="H1313" s="5">
        <f>prices!H1314/prices!H1313-1</f>
        <v>9.9903013367876881E-3</v>
      </c>
      <c r="I1313" s="5">
        <f>prices!I1314/prices!I1313-1</f>
        <v>8.0717999857540246E-3</v>
      </c>
      <c r="J1313" s="5">
        <f>prices!J1314/prices!J1313-1</f>
        <v>9.9665699522077933E-3</v>
      </c>
      <c r="K1313" s="8">
        <f>SUMPRODUCT(B1313:I1313,weights!$B$5:$I$5)</f>
        <v>5.9997961224360786E-3</v>
      </c>
      <c r="L1313" s="4">
        <f t="shared" si="40"/>
        <v>272.88066033609942</v>
      </c>
      <c r="M1313" s="4">
        <f>L1313/MAX(L$2:L1313)-1</f>
        <v>-2.3988838975589455E-2</v>
      </c>
      <c r="N1313" s="4">
        <f t="shared" si="41"/>
        <v>-6.1920001159559979E-3</v>
      </c>
    </row>
    <row r="1314" spans="1:14">
      <c r="A1314" s="3">
        <f>prices!A1315</f>
        <v>45412</v>
      </c>
      <c r="B1314" s="5">
        <f>prices!B1315/prices!B1314-1</f>
        <v>1.3470851150549912E-3</v>
      </c>
      <c r="C1314" s="5">
        <f>prices!C1315/prices!C1314-1</f>
        <v>-1.2801037785383884E-2</v>
      </c>
      <c r="D1314" s="5">
        <f>prices!D1315/prices!D1314-1</f>
        <v>-6.1452742840755192E-3</v>
      </c>
      <c r="E1314" s="5">
        <f>prices!E1315/prices!E1314-1</f>
        <v>-9.8927528778230966E-3</v>
      </c>
      <c r="F1314" s="5">
        <f>prices!F1315/prices!F1314-1</f>
        <v>-5.8134967397281967E-3</v>
      </c>
      <c r="G1314" s="5">
        <f>prices!G1315/prices!G1314-1</f>
        <v>1.0059409478715198E-2</v>
      </c>
      <c r="H1314" s="5">
        <f>prices!H1315/prices!H1314-1</f>
        <v>-1.2819307529076895E-2</v>
      </c>
      <c r="I1314" s="5">
        <f>prices!I1315/prices!I1314-1</f>
        <v>-1.1005969339302646E-2</v>
      </c>
      <c r="J1314" s="5">
        <f>prices!J1315/prices!J1314-1</f>
        <v>-1.7024828426828176E-3</v>
      </c>
      <c r="K1314" s="8">
        <f>SUMPRODUCT(B1314:I1314,weights!$B$5:$I$5)</f>
        <v>-4.880072124132594E-3</v>
      </c>
      <c r="L1314" s="4">
        <f t="shared" si="40"/>
        <v>271.54898303237832</v>
      </c>
      <c r="M1314" s="4">
        <f>L1314/MAX(L$2:L1314)-1</f>
        <v>-2.8751843835347013E-2</v>
      </c>
      <c r="N1314" s="4">
        <f t="shared" si="41"/>
        <v>-1.8367082271616986E-2</v>
      </c>
    </row>
    <row r="1315" spans="1:14">
      <c r="A1315" s="3">
        <f>prices!A1316</f>
        <v>45414</v>
      </c>
      <c r="B1315" s="5">
        <f>prices!B1316/prices!B1315-1</f>
        <v>-3.0354876096916339E-4</v>
      </c>
      <c r="C1315" s="5">
        <f>prices!C1316/prices!C1315-1</f>
        <v>1.1160917447892826E-2</v>
      </c>
      <c r="D1315" s="5">
        <f>prices!D1316/prices!D1315-1</f>
        <v>7.9970320293500929E-3</v>
      </c>
      <c r="E1315" s="5">
        <f>prices!E1316/prices!E1315-1</f>
        <v>-4.2930257428767105E-3</v>
      </c>
      <c r="F1315" s="5">
        <f>prices!F1316/prices!F1315-1</f>
        <v>7.6912946134597426E-3</v>
      </c>
      <c r="G1315" s="5">
        <f>prices!G1316/prices!G1315-1</f>
        <v>-9.4799991316019128E-4</v>
      </c>
      <c r="H1315" s="5">
        <f>prices!H1316/prices!H1315-1</f>
        <v>1.1251164910514477E-2</v>
      </c>
      <c r="I1315" s="5">
        <f>prices!I1316/prices!I1315-1</f>
        <v>1.4460696056746158E-3</v>
      </c>
      <c r="J1315" s="5">
        <f>prices!J1316/prices!J1315-1</f>
        <v>1.917730044658672E-3</v>
      </c>
      <c r="K1315" s="8">
        <f>SUMPRODUCT(B1315:I1315,weights!$B$5:$I$5)</f>
        <v>3.612521892630758E-3</v>
      </c>
      <c r="L1315" s="4">
        <f t="shared" si="40"/>
        <v>272.52995967850444</v>
      </c>
      <c r="M1315" s="4">
        <f>L1315/MAX(L$2:L1315)-1</f>
        <v>-2.5243188608024769E-2</v>
      </c>
      <c r="N1315" s="4">
        <f t="shared" si="41"/>
        <v>-2.0430353895749653E-2</v>
      </c>
    </row>
    <row r="1316" spans="1:14">
      <c r="A1316" s="3">
        <f>prices!A1317</f>
        <v>45415</v>
      </c>
      <c r="B1316" s="5">
        <f>prices!B1317/prices!B1316-1</f>
        <v>-2.2200292599442339E-2</v>
      </c>
      <c r="C1316" s="5">
        <f>prices!C1317/prices!C1316-1</f>
        <v>-5.150376362838549E-3</v>
      </c>
      <c r="D1316" s="5">
        <f>prices!D1317/prices!D1316-1</f>
        <v>-8.2607451028504641E-3</v>
      </c>
      <c r="E1316" s="5">
        <f>prices!E1317/prices!E1316-1</f>
        <v>1.3042010617732025E-3</v>
      </c>
      <c r="F1316" s="5">
        <f>prices!F1317/prices!F1316-1</f>
        <v>-5.8028596073920191E-3</v>
      </c>
      <c r="G1316" s="5">
        <f>prices!G1317/prices!G1316-1</f>
        <v>-2.4458909997005951E-2</v>
      </c>
      <c r="H1316" s="5">
        <f>prices!H1317/prices!H1316-1</f>
        <v>-5.1661161972540448E-3</v>
      </c>
      <c r="I1316" s="5">
        <f>prices!I1317/prices!I1316-1</f>
        <v>-2.7698190742537543E-2</v>
      </c>
      <c r="J1316" s="5">
        <f>prices!J1317/prices!J1316-1</f>
        <v>-7.6098762815588472E-3</v>
      </c>
      <c r="K1316" s="8">
        <f>SUMPRODUCT(B1316:I1316,weights!$B$5:$I$5)</f>
        <v>-1.5256622806391389E-2</v>
      </c>
      <c r="L1316" s="4">
        <f t="shared" si="40"/>
        <v>268.37207288024842</v>
      </c>
      <c r="M1316" s="4">
        <f>L1316/MAX(L$2:L1316)-1</f>
        <v>-4.0114685607393064E-2</v>
      </c>
      <c r="N1316" s="4">
        <f t="shared" si="41"/>
        <v>-3.2056901280733907E-2</v>
      </c>
    </row>
    <row r="1317" spans="1:14">
      <c r="A1317" s="3">
        <f>prices!A1318</f>
        <v>45418</v>
      </c>
      <c r="B1317" s="5">
        <f>prices!B1318/prices!B1317-1</f>
        <v>-1.0092384131666909E-2</v>
      </c>
      <c r="C1317" s="5">
        <f>prices!C1318/prices!C1317-1</f>
        <v>2.0204876200601074E-2</v>
      </c>
      <c r="D1317" s="5">
        <f>prices!D1318/prices!D1317-1</f>
        <v>2.0067900980029751E-3</v>
      </c>
      <c r="E1317" s="5">
        <f>prices!E1318/prices!E1317-1</f>
        <v>6.7806739300326768E-3</v>
      </c>
      <c r="F1317" s="5">
        <f>prices!F1318/prices!F1317-1</f>
        <v>-3.917444459050845E-3</v>
      </c>
      <c r="G1317" s="5">
        <f>prices!G1318/prices!G1317-1</f>
        <v>-4.2306670560728898E-3</v>
      </c>
      <c r="H1317" s="5">
        <f>prices!H1318/prices!H1317-1</f>
        <v>1.19072572738399E-2</v>
      </c>
      <c r="I1317" s="5">
        <f>prices!I1318/prices!I1317-1</f>
        <v>-1.0431036000868699E-2</v>
      </c>
      <c r="J1317" s="5">
        <f>prices!J1318/prices!J1317-1</f>
        <v>-1.4749164102803025E-3</v>
      </c>
      <c r="K1317" s="8">
        <f>SUMPRODUCT(B1317:I1317,weights!$B$5:$I$5)</f>
        <v>-1.9578119732574333E-4</v>
      </c>
      <c r="L1317" s="4">
        <f t="shared" si="40"/>
        <v>268.31953067449115</v>
      </c>
      <c r="M1317" s="4">
        <f>L1317/MAX(L$2:L1317)-1</f>
        <v>-4.0302613103540108E-2</v>
      </c>
      <c r="N1317" s="4">
        <f t="shared" si="41"/>
        <v>-2.8878377832953661E-2</v>
      </c>
    </row>
    <row r="1318" spans="1:14">
      <c r="A1318" s="3">
        <f>prices!A1319</f>
        <v>45419</v>
      </c>
      <c r="B1318" s="5">
        <f>prices!B1319/prices!B1318-1</f>
        <v>-1.2712015456898151E-2</v>
      </c>
      <c r="C1318" s="5">
        <f>prices!C1319/prices!C1318-1</f>
        <v>1.4766242728429191E-2</v>
      </c>
      <c r="D1318" s="5">
        <f>prices!D1319/prices!D1318-1</f>
        <v>-1.0823193733796033E-2</v>
      </c>
      <c r="E1318" s="5">
        <f>prices!E1319/prices!E1318-1</f>
        <v>1.0555314566638607E-2</v>
      </c>
      <c r="F1318" s="5">
        <f>prices!F1319/prices!F1318-1</f>
        <v>1.2880747505674917E-2</v>
      </c>
      <c r="G1318" s="5">
        <f>prices!G1319/prices!G1318-1</f>
        <v>-6.0490118262697123E-3</v>
      </c>
      <c r="H1318" s="5">
        <f>prices!H1319/prices!H1318-1</f>
        <v>-9.0208079971133559E-3</v>
      </c>
      <c r="I1318" s="5">
        <f>prices!I1319/prices!I1318-1</f>
        <v>-1.0262190058132559E-2</v>
      </c>
      <c r="J1318" s="5">
        <f>prices!J1319/prices!J1318-1</f>
        <v>-6.2470201891929866E-3</v>
      </c>
      <c r="K1318" s="8">
        <f>SUMPRODUCT(B1318:I1318,weights!$B$5:$I$5)</f>
        <v>-3.7128161432228093E-3</v>
      </c>
      <c r="L1318" s="4">
        <f t="shared" si="40"/>
        <v>267.32330958946091</v>
      </c>
      <c r="M1318" s="4">
        <f>L1318/MAX(L$2:L1318)-1</f>
        <v>-4.3865793054218116E-2</v>
      </c>
      <c r="N1318" s="4">
        <f t="shared" si="41"/>
        <v>-3.7841008356698236E-2</v>
      </c>
    </row>
    <row r="1319" spans="1:14">
      <c r="A1319" s="3">
        <f>prices!A1320</f>
        <v>45420</v>
      </c>
      <c r="B1319" s="5">
        <f>prices!B1320/prices!B1319-1</f>
        <v>1.2182440532070071E-2</v>
      </c>
      <c r="C1319" s="5">
        <f>prices!C1320/prices!C1319-1</f>
        <v>-5.0252491458446791E-4</v>
      </c>
      <c r="D1319" s="5">
        <f>prices!D1320/prices!D1319-1</f>
        <v>-1.561503258910002E-2</v>
      </c>
      <c r="E1319" s="5">
        <f>prices!E1320/prices!E1319-1</f>
        <v>-9.4736049401311639E-3</v>
      </c>
      <c r="F1319" s="5">
        <f>prices!F1320/prices!F1319-1</f>
        <v>1.4853807265335917E-3</v>
      </c>
      <c r="G1319" s="5">
        <f>prices!G1320/prices!G1319-1</f>
        <v>1.4517289294666114E-2</v>
      </c>
      <c r="H1319" s="5">
        <f>prices!H1320/prices!H1319-1</f>
        <v>4.2210594454634709E-3</v>
      </c>
      <c r="I1319" s="5">
        <f>prices!I1320/prices!I1319-1</f>
        <v>1.7240035960443656E-2</v>
      </c>
      <c r="J1319" s="5">
        <f>prices!J1320/prices!J1319-1</f>
        <v>0</v>
      </c>
      <c r="K1319" s="8">
        <f>SUMPRODUCT(B1319:I1319,weights!$B$5:$I$5)</f>
        <v>6.5214507063727119E-3</v>
      </c>
      <c r="L1319" s="4">
        <f t="shared" si="40"/>
        <v>269.06664537561295</v>
      </c>
      <c r="M1319" s="4">
        <f>L1319/MAX(L$2:L1319)-1</f>
        <v>-3.7630410954944571E-2</v>
      </c>
      <c r="N1319" s="4">
        <f t="shared" si="41"/>
        <v>-2.645891993671079E-2</v>
      </c>
    </row>
    <row r="1320" spans="1:14">
      <c r="A1320" s="3">
        <f>prices!A1321</f>
        <v>45421</v>
      </c>
      <c r="B1320" s="5">
        <f>prices!B1321/prices!B1320-1</f>
        <v>-1.7222559126743531E-2</v>
      </c>
      <c r="C1320" s="5">
        <f>prices!C1321/prices!C1320-1</f>
        <v>-4.2134946593544997E-3</v>
      </c>
      <c r="D1320" s="5">
        <f>prices!D1321/prices!D1320-1</f>
        <v>-2.3695480671700686E-2</v>
      </c>
      <c r="E1320" s="5">
        <f>prices!E1321/prices!E1320-1</f>
        <v>8.5834625794483088E-3</v>
      </c>
      <c r="F1320" s="5">
        <f>prices!F1321/prices!F1320-1</f>
        <v>-3.606463532044446E-2</v>
      </c>
      <c r="G1320" s="5">
        <f>prices!G1321/prices!G1320-1</f>
        <v>-3.1008414339460666E-3</v>
      </c>
      <c r="H1320" s="5">
        <f>prices!H1321/prices!H1320-1</f>
        <v>-1.7807023433828006E-2</v>
      </c>
      <c r="I1320" s="5">
        <f>prices!I1321/prices!I1320-1</f>
        <v>-6.0626949828105903E-2</v>
      </c>
      <c r="J1320" s="5">
        <f>prices!J1321/prices!J1320-1</f>
        <v>-1.546911781190452E-2</v>
      </c>
      <c r="K1320" s="8">
        <f>SUMPRODUCT(B1320:I1320,weights!$B$5:$I$5)</f>
        <v>-2.1843437593180012E-2</v>
      </c>
      <c r="L1320" s="4">
        <f t="shared" si="40"/>
        <v>263.18930489894444</v>
      </c>
      <c r="M1320" s="4">
        <f>L1320/MAX(L$2:L1320)-1</f>
        <v>-5.8651871014824608E-2</v>
      </c>
      <c r="N1320" s="4">
        <f t="shared" si="41"/>
        <v>-5.8651871014824608E-2</v>
      </c>
    </row>
    <row r="1321" spans="1:14">
      <c r="A1321" s="3">
        <f>prices!A1322</f>
        <v>45422</v>
      </c>
      <c r="B1321" s="5">
        <f>prices!B1322/prices!B1321-1</f>
        <v>9.5389507154213238E-3</v>
      </c>
      <c r="C1321" s="5">
        <f>prices!C1322/prices!C1321-1</f>
        <v>-1.6741441997667583E-2</v>
      </c>
      <c r="D1321" s="5">
        <f>prices!D1322/prices!D1321-1</f>
        <v>6.9262070358719896E-3</v>
      </c>
      <c r="E1321" s="5">
        <f>prices!E1322/prices!E1321-1</f>
        <v>-1.0176314063666037E-2</v>
      </c>
      <c r="F1321" s="5">
        <f>prices!F1322/prices!F1321-1</f>
        <v>1.9408827102173065E-2</v>
      </c>
      <c r="G1321" s="5">
        <f>prices!G1322/prices!G1321-1</f>
        <v>1.3662569077280029E-2</v>
      </c>
      <c r="H1321" s="5">
        <f>prices!H1322/prices!H1321-1</f>
        <v>7.9642871792067194E-3</v>
      </c>
      <c r="I1321" s="5">
        <f>prices!I1322/prices!I1321-1</f>
        <v>-1.2230574554760176E-3</v>
      </c>
      <c r="J1321" s="5">
        <f>prices!J1322/prices!J1321-1</f>
        <v>4.4495047250370234E-3</v>
      </c>
      <c r="K1321" s="8">
        <f>SUMPRODUCT(B1321:I1321,weights!$B$5:$I$5)</f>
        <v>4.6358561239344901E-3</v>
      </c>
      <c r="L1321" s="4">
        <f t="shared" si="40"/>
        <v>264.40941264981427</v>
      </c>
      <c r="M1321" s="4">
        <f>L1321/MAX(L$2:L1321)-1</f>
        <v>-5.4287916526314373E-2</v>
      </c>
      <c r="N1321" s="4">
        <f t="shared" si="41"/>
        <v>-5.1972289966194962E-2</v>
      </c>
    </row>
    <row r="1322" spans="1:14">
      <c r="A1322" s="3">
        <f>prices!A1323</f>
        <v>45425</v>
      </c>
      <c r="B1322" s="5">
        <f>prices!B1323/prices!B1322-1</f>
        <v>-3.3509509941395121E-3</v>
      </c>
      <c r="C1322" s="5">
        <f>prices!C1323/prices!C1322-1</f>
        <v>1.3842221006686861E-2</v>
      </c>
      <c r="D1322" s="5">
        <f>prices!D1323/prices!D1322-1</f>
        <v>1.2066148863603798E-2</v>
      </c>
      <c r="E1322" s="5">
        <f>prices!E1323/prices!E1322-1</f>
        <v>-1.0204781016061037E-3</v>
      </c>
      <c r="F1322" s="5">
        <f>prices!F1323/prices!F1322-1</f>
        <v>-3.4424319457684316E-3</v>
      </c>
      <c r="G1322" s="5">
        <f>prices!G1323/prices!G1322-1</f>
        <v>-1.3009272358877055E-4</v>
      </c>
      <c r="H1322" s="5">
        <f>prices!H1323/prices!H1322-1</f>
        <v>1.2275930359528786E-2</v>
      </c>
      <c r="I1322" s="5">
        <f>prices!I1323/prices!I1322-1</f>
        <v>6.848089222972531E-3</v>
      </c>
      <c r="J1322" s="5">
        <f>prices!J1323/prices!J1322-1</f>
        <v>2.2148971671078765E-3</v>
      </c>
      <c r="K1322" s="8">
        <f>SUMPRODUCT(B1322:I1322,weights!$B$5:$I$5)</f>
        <v>4.4866939133124647E-3</v>
      </c>
      <c r="L1322" s="4">
        <f t="shared" si="40"/>
        <v>265.59573675217268</v>
      </c>
      <c r="M1322" s="4">
        <f>L1322/MAX(L$2:L1322)-1</f>
        <v>-5.0044795877647097E-2</v>
      </c>
      <c r="N1322" s="4">
        <f t="shared" si="41"/>
        <v>-4.7511087714668165E-2</v>
      </c>
    </row>
    <row r="1323" spans="1:14">
      <c r="A1323" s="3">
        <f>prices!A1324</f>
        <v>45426</v>
      </c>
      <c r="B1323" s="5">
        <f>prices!B1324/prices!B1323-1</f>
        <v>1.2381041710257668E-2</v>
      </c>
      <c r="C1323" s="5">
        <f>prices!C1324/prices!C1323-1</f>
        <v>-1.1803437530967575E-2</v>
      </c>
      <c r="D1323" s="5">
        <f>prices!D1324/prices!D1323-1</f>
        <v>3.9221794290893452E-3</v>
      </c>
      <c r="E1323" s="5">
        <f>prices!E1324/prices!E1323-1</f>
        <v>8.7667807618729832E-4</v>
      </c>
      <c r="F1323" s="5">
        <f>prices!F1324/prices!F1323-1</f>
        <v>-4.9954828080990277E-3</v>
      </c>
      <c r="G1323" s="5">
        <f>prices!G1324/prices!G1323-1</f>
        <v>1.1073957577748761E-2</v>
      </c>
      <c r="H1323" s="5">
        <f>prices!H1324/prices!H1323-1</f>
        <v>1.3245964905228114E-2</v>
      </c>
      <c r="I1323" s="5">
        <f>prices!I1324/prices!I1323-1</f>
        <v>2.5986702592121436E-2</v>
      </c>
      <c r="J1323" s="5">
        <f>prices!J1324/prices!J1323-1</f>
        <v>5.1483777859713253E-3</v>
      </c>
      <c r="K1323" s="8">
        <f>SUMPRODUCT(B1323:I1323,weights!$B$5:$I$5)</f>
        <v>9.7576377874136009E-3</v>
      </c>
      <c r="L1323" s="4">
        <f t="shared" si="40"/>
        <v>268.18732374928163</v>
      </c>
      <c r="M1323" s="4">
        <f>L1323/MAX(L$2:L1323)-1</f>
        <v>-4.0775477081552713E-2</v>
      </c>
      <c r="N1323" s="4">
        <f t="shared" si="41"/>
        <v>-1.821144796256613E-2</v>
      </c>
    </row>
    <row r="1324" spans="1:14">
      <c r="A1324" s="3">
        <f>prices!A1325</f>
        <v>45427</v>
      </c>
      <c r="B1324" s="5">
        <f>prices!B1325/prices!B1324-1</f>
        <v>-2.6725581726828596E-3</v>
      </c>
      <c r="C1324" s="5">
        <f>prices!C1325/prices!C1324-1</f>
        <v>-5.3315357274175135E-3</v>
      </c>
      <c r="D1324" s="5">
        <f>prices!D1325/prices!D1324-1</f>
        <v>-1.5373549033158906E-2</v>
      </c>
      <c r="E1324" s="5">
        <f>prices!E1325/prices!E1324-1</f>
        <v>-3.3284587027390122E-3</v>
      </c>
      <c r="F1324" s="5">
        <f>prices!F1325/prices!F1324-1</f>
        <v>-4.4063451369972251E-3</v>
      </c>
      <c r="G1324" s="5">
        <f>prices!G1325/prices!G1324-1</f>
        <v>-3.6594683717376952E-3</v>
      </c>
      <c r="H1324" s="5">
        <f>prices!H1325/prices!H1324-1</f>
        <v>-1.1551940752496215E-2</v>
      </c>
      <c r="I1324" s="5">
        <f>prices!I1325/prices!I1324-1</f>
        <v>9.4256178627769582E-3</v>
      </c>
      <c r="J1324" s="5">
        <f>prices!J1325/prices!J1324-1</f>
        <v>-7.7865320001702099E-4</v>
      </c>
      <c r="K1324" s="8">
        <f>SUMPRODUCT(B1324:I1324,weights!$B$5:$I$5)</f>
        <v>-3.1987286851991145E-3</v>
      </c>
      <c r="L1324" s="4">
        <f t="shared" si="40"/>
        <v>267.329465263798</v>
      </c>
      <c r="M1324" s="4">
        <f>L1324/MAX(L$2:L1324)-1</f>
        <v>-4.3843776078558383E-2</v>
      </c>
      <c r="N1324" s="4">
        <f t="shared" si="41"/>
        <v>-1.5253511774396822E-2</v>
      </c>
    </row>
    <row r="1325" spans="1:14">
      <c r="A1325" s="3">
        <f>prices!A1326</f>
        <v>45428</v>
      </c>
      <c r="B1325" s="5">
        <f>prices!B1326/prices!B1325-1</f>
        <v>6.4098899528368669E-3</v>
      </c>
      <c r="C1325" s="5">
        <f>prices!C1326/prices!C1325-1</f>
        <v>1.2602147405917918E-2</v>
      </c>
      <c r="D1325" s="5">
        <f>prices!D1326/prices!D1325-1</f>
        <v>1.5126555986878731E-2</v>
      </c>
      <c r="E1325" s="5">
        <f>prices!E1326/prices!E1325-1</f>
        <v>2.3514577203775255E-2</v>
      </c>
      <c r="F1325" s="5">
        <f>prices!F1326/prices!F1325-1</f>
        <v>8.5298141144283246E-3</v>
      </c>
      <c r="G1325" s="5">
        <f>prices!G1326/prices!G1325-1</f>
        <v>-2.112043913464634E-2</v>
      </c>
      <c r="H1325" s="5">
        <f>prices!H1326/prices!H1325-1</f>
        <v>5.8267495300470262E-3</v>
      </c>
      <c r="I1325" s="5">
        <f>prices!I1326/prices!I1325-1</f>
        <v>1.4453564911562244E-2</v>
      </c>
      <c r="J1325" s="5">
        <f>prices!J1326/prices!J1325-1</f>
        <v>9.1574307843724778E-3</v>
      </c>
      <c r="K1325" s="8">
        <f>SUMPRODUCT(B1325:I1325,weights!$B$5:$I$5)</f>
        <v>5.3738962662792603E-3</v>
      </c>
      <c r="L1325" s="4">
        <f t="shared" si="40"/>
        <v>268.76606607904557</v>
      </c>
      <c r="M1325" s="4">
        <f>L1325/MAX(L$2:L1325)-1</f>
        <v>-3.8705491716847229E-2</v>
      </c>
      <c r="N1325" s="4">
        <f t="shared" si="41"/>
        <v>-4.0343252992780521E-3</v>
      </c>
    </row>
    <row r="1326" spans="1:14">
      <c r="A1326" s="3">
        <f>prices!A1327</f>
        <v>45429</v>
      </c>
      <c r="B1326" s="5">
        <f>prices!B1327/prices!B1326-1</f>
        <v>7.2566158040856532E-3</v>
      </c>
      <c r="C1326" s="5">
        <f>prices!C1327/prices!C1326-1</f>
        <v>-1.7135808751541859E-2</v>
      </c>
      <c r="D1326" s="5">
        <f>prices!D1327/prices!D1326-1</f>
        <v>2.6246348794221053E-3</v>
      </c>
      <c r="E1326" s="5">
        <f>prices!E1327/prices!E1326-1</f>
        <v>-6.2270405877609125E-3</v>
      </c>
      <c r="F1326" s="5">
        <f>prices!F1327/prices!F1326-1</f>
        <v>1.1250299210085357E-2</v>
      </c>
      <c r="G1326" s="5">
        <f>prices!G1327/prices!G1326-1</f>
        <v>1.1509636857226724E-2</v>
      </c>
      <c r="H1326" s="5">
        <f>prices!H1327/prices!H1326-1</f>
        <v>-3.185814810380827E-3</v>
      </c>
      <c r="I1326" s="5">
        <f>prices!I1327/prices!I1326-1</f>
        <v>-2.8465588991327673E-3</v>
      </c>
      <c r="J1326" s="5">
        <f>prices!J1327/prices!J1326-1</f>
        <v>2.7785402955295968E-3</v>
      </c>
      <c r="K1326" s="8">
        <f>SUMPRODUCT(B1326:I1326,weights!$B$5:$I$5)</f>
        <v>1.2234047275148576E-3</v>
      </c>
      <c r="L1326" s="4">
        <f t="shared" si="40"/>
        <v>269.09487575488225</v>
      </c>
      <c r="M1326" s="4">
        <f>L1326/MAX(L$2:L1326)-1</f>
        <v>-3.75294394708795E-2</v>
      </c>
      <c r="N1326" s="4">
        <f t="shared" si="41"/>
        <v>2.5557048709945462E-3</v>
      </c>
    </row>
    <row r="1327" spans="1:14">
      <c r="A1327" s="3">
        <f>prices!A1328</f>
        <v>45433</v>
      </c>
      <c r="B1327" s="5">
        <f>prices!B1328/prices!B1327-1</f>
        <v>2.9606863152853435E-4</v>
      </c>
      <c r="C1327" s="5">
        <f>prices!C1328/prices!C1327-1</f>
        <v>-3.6270421457232915E-3</v>
      </c>
      <c r="D1327" s="5">
        <f>prices!D1328/prices!D1327-1</f>
        <v>-3.6170182821273489E-3</v>
      </c>
      <c r="E1327" s="5">
        <f>prices!E1328/prices!E1327-1</f>
        <v>-7.0248989466407119E-3</v>
      </c>
      <c r="F1327" s="5">
        <f>prices!F1328/prices!F1327-1</f>
        <v>-3.4453737309978472E-3</v>
      </c>
      <c r="G1327" s="5">
        <f>prices!G1328/prices!G1327-1</f>
        <v>-1.3305146858004324E-2</v>
      </c>
      <c r="H1327" s="5">
        <f>prices!H1328/prices!H1327-1</f>
        <v>6.2318598832360461E-3</v>
      </c>
      <c r="I1327" s="5">
        <f>prices!I1328/prices!I1327-1</f>
        <v>-2.8398012734455191E-3</v>
      </c>
      <c r="J1327" s="5">
        <f>prices!J1328/prices!J1327-1</f>
        <v>2.8019994569596918E-3</v>
      </c>
      <c r="K1327" s="8">
        <f>SUMPRODUCT(B1327:I1327,weights!$B$5:$I$5)</f>
        <v>-3.6388794387128692E-3</v>
      </c>
      <c r="L1327" s="4">
        <f t="shared" si="40"/>
        <v>268.11567194443484</v>
      </c>
      <c r="M1327" s="4">
        <f>L1327/MAX(L$2:L1327)-1</f>
        <v>-4.1031753803955295E-2</v>
      </c>
      <c r="N1327" s="4">
        <f t="shared" si="41"/>
        <v>-6.8857915097981781E-3</v>
      </c>
    </row>
    <row r="1328" spans="1:14">
      <c r="A1328" s="3">
        <f>prices!A1329</f>
        <v>45434</v>
      </c>
      <c r="B1328" s="5">
        <f>prices!B1329/prices!B1328-1</f>
        <v>1.7082332048399929E-2</v>
      </c>
      <c r="C1328" s="5">
        <f>prices!C1329/prices!C1328-1</f>
        <v>3.0895489089148853E-3</v>
      </c>
      <c r="D1328" s="5">
        <f>prices!D1329/prices!D1328-1</f>
        <v>2.8250183626177261E-4</v>
      </c>
      <c r="E1328" s="5">
        <f>prices!E1329/prices!E1328-1</f>
        <v>1.4398886223829566E-2</v>
      </c>
      <c r="F1328" s="5">
        <f>prices!F1329/prices!F1328-1</f>
        <v>1.1717822174130976E-2</v>
      </c>
      <c r="G1328" s="5">
        <f>prices!G1329/prices!G1328-1</f>
        <v>4.6543217935126613E-3</v>
      </c>
      <c r="H1328" s="5">
        <f>prices!H1329/prices!H1328-1</f>
        <v>-1.06757554257364E-3</v>
      </c>
      <c r="I1328" s="5">
        <f>prices!I1329/prices!I1328-1</f>
        <v>5.7823484633638955E-3</v>
      </c>
      <c r="J1328" s="5">
        <f>prices!J1329/prices!J1328-1</f>
        <v>3.0516155807722711E-3</v>
      </c>
      <c r="K1328" s="8">
        <f>SUMPRODUCT(B1328:I1328,weights!$B$5:$I$5)</f>
        <v>6.5495987076984452E-3</v>
      </c>
      <c r="L1328" s="4">
        <f t="shared" si="40"/>
        <v>269.87172200291582</v>
      </c>
      <c r="M1328" s="4">
        <f>L1328/MAX(L$2:L1328)-1</f>
        <v>-3.4750896617945837E-2</v>
      </c>
      <c r="N1328" s="4">
        <f t="shared" si="41"/>
        <v>-1.0602624098517421E-2</v>
      </c>
    </row>
    <row r="1329" spans="1:14">
      <c r="A1329" s="3">
        <f>prices!A1330</f>
        <v>45435</v>
      </c>
      <c r="B1329" s="5">
        <f>prices!B1330/prices!B1329-1</f>
        <v>1.7384375541313002E-2</v>
      </c>
      <c r="C1329" s="5">
        <f>prices!C1330/prices!C1329-1</f>
        <v>1.6036442364812276E-2</v>
      </c>
      <c r="D1329" s="5">
        <f>prices!D1330/prices!D1329-1</f>
        <v>2.2890307275192034E-2</v>
      </c>
      <c r="E1329" s="5">
        <f>prices!E1330/prices!E1329-1</f>
        <v>1.2098518640072831E-2</v>
      </c>
      <c r="F1329" s="5">
        <f>prices!F1330/prices!F1329-1</f>
        <v>3.3128994391546929E-3</v>
      </c>
      <c r="G1329" s="5">
        <f>prices!G1330/prices!G1329-1</f>
        <v>3.2203147282767075E-2</v>
      </c>
      <c r="H1329" s="5">
        <f>prices!H1330/prices!H1329-1</f>
        <v>-2.8715947108491346E-2</v>
      </c>
      <c r="I1329" s="5">
        <f>prices!I1330/prices!I1329-1</f>
        <v>3.5987557951098426E-2</v>
      </c>
      <c r="J1329" s="5">
        <f>prices!J1330/prices!J1329-1</f>
        <v>1.6366637460283773E-2</v>
      </c>
      <c r="K1329" s="8">
        <f>SUMPRODUCT(B1329:I1329,weights!$B$5:$I$5)</f>
        <v>1.564262345320196E-2</v>
      </c>
      <c r="L1329" s="4">
        <f t="shared" si="40"/>
        <v>274.09322373087463</v>
      </c>
      <c r="M1329" s="4">
        <f>L1329/MAX(L$2:L1329)-1</f>
        <v>-1.9651868355199609E-2</v>
      </c>
      <c r="N1329" s="4">
        <f t="shared" si="41"/>
        <v>7.6855699214157802E-3</v>
      </c>
    </row>
    <row r="1330" spans="1:14">
      <c r="A1330" s="3">
        <f>prices!A1331</f>
        <v>45436</v>
      </c>
      <c r="B1330" s="5">
        <f>prices!B1331/prices!B1330-1</f>
        <v>-3.9023659370445163E-3</v>
      </c>
      <c r="C1330" s="5">
        <f>prices!C1331/prices!C1330-1</f>
        <v>-1.1288852189189402E-2</v>
      </c>
      <c r="D1330" s="5">
        <f>prices!D1331/prices!D1330-1</f>
        <v>1.6469483827325826E-2</v>
      </c>
      <c r="E1330" s="5">
        <f>prices!E1331/prices!E1330-1</f>
        <v>-4.9599080242910265E-3</v>
      </c>
      <c r="F1330" s="5">
        <f>prices!F1331/prices!F1330-1</f>
        <v>-1.1673859913681084E-2</v>
      </c>
      <c r="G1330" s="5">
        <f>prices!G1331/prices!G1330-1</f>
        <v>5.0674787381019826E-3</v>
      </c>
      <c r="H1330" s="5">
        <f>prices!H1331/prices!H1330-1</f>
        <v>-5.6177471603723328E-3</v>
      </c>
      <c r="I1330" s="5">
        <f>prices!I1331/prices!I1330-1</f>
        <v>1.1296472967823989E-2</v>
      </c>
      <c r="J1330" s="5">
        <f>prices!J1331/prices!J1330-1</f>
        <v>-4.5934172629780168E-4</v>
      </c>
      <c r="K1330" s="8">
        <f>SUMPRODUCT(B1330:I1330,weights!$B$5:$I$5)</f>
        <v>7.0329212805107007E-4</v>
      </c>
      <c r="L1330" s="4">
        <f t="shared" si="40"/>
        <v>274.28599133747667</v>
      </c>
      <c r="M1330" s="4">
        <f>L1330/MAX(L$2:L1330)-1</f>
        <v>-1.8962397231464312E-2</v>
      </c>
      <c r="N1330" s="4">
        <f t="shared" si="41"/>
        <v>1.0059082586159951E-2</v>
      </c>
    </row>
    <row r="1331" spans="1:14">
      <c r="A1331" s="3">
        <f>prices!A1332</f>
        <v>45439</v>
      </c>
      <c r="B1331" s="5">
        <f>prices!B1332/prices!B1331-1</f>
        <v>-9.4556990585322742E-3</v>
      </c>
      <c r="C1331" s="5">
        <f>prices!C1332/prices!C1331-1</f>
        <v>-6.3618758285155508E-4</v>
      </c>
      <c r="D1331" s="5">
        <f>prices!D1332/prices!D1331-1</f>
        <v>6.926524514464294E-3</v>
      </c>
      <c r="E1331" s="5">
        <f>prices!E1332/prices!E1331-1</f>
        <v>4.2661926452616239E-3</v>
      </c>
      <c r="F1331" s="5">
        <f>prices!F1332/prices!F1331-1</f>
        <v>-1.0785783810801641E-2</v>
      </c>
      <c r="G1331" s="5">
        <f>prices!G1332/prices!G1331-1</f>
        <v>-7.257682203100857E-3</v>
      </c>
      <c r="H1331" s="5">
        <f>prices!H1332/prices!H1331-1</f>
        <v>-1.3890034364261172E-2</v>
      </c>
      <c r="I1331" s="5">
        <f>prices!I1332/prices!I1331-1</f>
        <v>7.1985042069180327E-3</v>
      </c>
      <c r="J1331" s="5">
        <f>prices!J1332/prices!J1331-1</f>
        <v>-1.073741892486324E-3</v>
      </c>
      <c r="K1331" s="8">
        <f>SUMPRODUCT(B1331:I1331,weights!$B$5:$I$5)</f>
        <v>-3.3724178112610062E-3</v>
      </c>
      <c r="L1331" s="4">
        <f t="shared" si="40"/>
        <v>273.3609843749108</v>
      </c>
      <c r="M1331" s="4">
        <f>L1331/MAX(L$2:L1331)-1</f>
        <v>-2.2270865916557581E-2</v>
      </c>
      <c r="N1331" s="4">
        <f t="shared" si="41"/>
        <v>-8.9381380841890845E-4</v>
      </c>
    </row>
    <row r="1332" spans="1:14">
      <c r="A1332" s="3">
        <f>prices!A1333</f>
        <v>45440</v>
      </c>
      <c r="B1332" s="5">
        <f>prices!B1333/prices!B1332-1</f>
        <v>-6.8540427117989022E-3</v>
      </c>
      <c r="C1332" s="5">
        <f>prices!C1333/prices!C1332-1</f>
        <v>-1.8592990190304803E-3</v>
      </c>
      <c r="D1332" s="5">
        <f>prices!D1333/prices!D1332-1</f>
        <v>1.8343674130023579E-3</v>
      </c>
      <c r="E1332" s="5">
        <f>prices!E1333/prices!E1332-1</f>
        <v>-2.920547823970665E-3</v>
      </c>
      <c r="F1332" s="5">
        <f>prices!F1333/prices!F1332-1</f>
        <v>-5.7974097811342995E-3</v>
      </c>
      <c r="G1332" s="5">
        <f>prices!G1333/prices!G1332-1</f>
        <v>-6.7797043282302738E-3</v>
      </c>
      <c r="H1332" s="5">
        <f>prices!H1333/prices!H1332-1</f>
        <v>-7.875717003881233E-4</v>
      </c>
      <c r="I1332" s="5">
        <f>prices!I1333/prices!I1332-1</f>
        <v>1.696054633773203E-3</v>
      </c>
      <c r="J1332" s="5">
        <f>prices!J1333/prices!J1332-1</f>
        <v>-1.9317604529824894E-3</v>
      </c>
      <c r="K1332" s="8">
        <f>SUMPRODUCT(B1332:I1332,weights!$B$5:$I$5)</f>
        <v>-2.7340787558363293E-3</v>
      </c>
      <c r="L1332" s="4">
        <f t="shared" si="40"/>
        <v>272.61359391485684</v>
      </c>
      <c r="M1332" s="4">
        <f>L1332/MAX(L$2:L1332)-1</f>
        <v>-2.4944054371017432E-2</v>
      </c>
      <c r="N1332" s="4">
        <f t="shared" si="41"/>
        <v>5.015231056556102E-3</v>
      </c>
    </row>
    <row r="1333" spans="1:14">
      <c r="A1333" s="3">
        <f>prices!A1334</f>
        <v>45441</v>
      </c>
      <c r="B1333" s="5">
        <f>prices!B1334/prices!B1333-1</f>
        <v>-1.0591792056156013E-2</v>
      </c>
      <c r="C1333" s="5">
        <f>prices!C1334/prices!C1333-1</f>
        <v>-9.4402440977402469E-3</v>
      </c>
      <c r="D1333" s="5">
        <f>prices!D1334/prices!D1333-1</f>
        <v>-1.4499973073401895E-2</v>
      </c>
      <c r="E1333" s="5">
        <f>prices!E1334/prices!E1333-1</f>
        <v>-1.0976737305373852E-2</v>
      </c>
      <c r="F1333" s="5">
        <f>prices!F1334/prices!F1333-1</f>
        <v>4.5472783201818689E-3</v>
      </c>
      <c r="G1333" s="5">
        <f>prices!G1334/prices!G1333-1</f>
        <v>-2.3364316915331917E-3</v>
      </c>
      <c r="H1333" s="5">
        <f>prices!H1334/prices!H1333-1</f>
        <v>9.5908374370492488E-3</v>
      </c>
      <c r="I1333" s="5">
        <f>prices!I1334/prices!I1333-1</f>
        <v>-6.3964687449107327E-3</v>
      </c>
      <c r="J1333" s="5">
        <f>prices!J1334/prices!J1333-1</f>
        <v>-8.015064563977492E-3</v>
      </c>
      <c r="K1333" s="8">
        <f>SUMPRODUCT(B1333:I1333,weights!$B$5:$I$5)</f>
        <v>-4.072793138769279E-3</v>
      </c>
      <c r="L1333" s="4">
        <f t="shared" si="40"/>
        <v>271.50329514002516</v>
      </c>
      <c r="M1333" s="4">
        <f>L1333/MAX(L$2:L1333)-1</f>
        <v>-2.8915255536291373E-2</v>
      </c>
      <c r="N1333" s="4">
        <f t="shared" si="41"/>
        <v>-5.0475002309720018E-3</v>
      </c>
    </row>
    <row r="1334" spans="1:14">
      <c r="A1334" s="3">
        <f>prices!A1335</f>
        <v>45442</v>
      </c>
      <c r="B1334" s="5">
        <f>prices!B1335/prices!B1334-1</f>
        <v>-1.105639887328691E-2</v>
      </c>
      <c r="C1334" s="5">
        <f>prices!C1335/prices!C1334-1</f>
        <v>-1.7758528263033924E-2</v>
      </c>
      <c r="D1334" s="5">
        <f>prices!D1335/prices!D1334-1</f>
        <v>4.33066025492157E-3</v>
      </c>
      <c r="E1334" s="5">
        <f>prices!E1335/prices!E1334-1</f>
        <v>-1.6191637187665808E-2</v>
      </c>
      <c r="F1334" s="5">
        <f>prices!F1335/prices!F1334-1</f>
        <v>-1.6455864731726777E-2</v>
      </c>
      <c r="G1334" s="5">
        <f>prices!G1335/prices!G1334-1</f>
        <v>-1.4907270779960125E-2</v>
      </c>
      <c r="H1334" s="5">
        <f>prices!H1335/prices!H1334-1</f>
        <v>-1.3417069109651125E-2</v>
      </c>
      <c r="I1334" s="5">
        <f>prices!I1335/prices!I1334-1</f>
        <v>-2.5434074877983548E-5</v>
      </c>
      <c r="J1334" s="5">
        <f>prices!J1335/prices!J1334-1</f>
        <v>-9.515650944518117E-3</v>
      </c>
      <c r="K1334" s="8">
        <f>SUMPRODUCT(B1334:I1334,weights!$B$5:$I$5)</f>
        <v>-1.0319034684067745E-2</v>
      </c>
      <c r="L1334" s="4">
        <f t="shared" si="40"/>
        <v>268.70164322063658</v>
      </c>
      <c r="M1334" s="4">
        <f>L1334/MAX(L$2:L1334)-1</f>
        <v>-3.8935912695581387E-2</v>
      </c>
      <c r="N1334" s="4">
        <f t="shared" si="41"/>
        <v>-1.0485547689943808E-2</v>
      </c>
    </row>
    <row r="1335" spans="1:14">
      <c r="A1335" s="3">
        <f>prices!A1336</f>
        <v>45443</v>
      </c>
      <c r="B1335" s="5">
        <f>prices!B1336/prices!B1335-1</f>
        <v>3.8995077670522793E-3</v>
      </c>
      <c r="C1335" s="5">
        <f>prices!C1336/prices!C1335-1</f>
        <v>-1.743853630646075E-2</v>
      </c>
      <c r="D1335" s="5">
        <f>prices!D1336/prices!D1335-1</f>
        <v>1.103161216605919E-2</v>
      </c>
      <c r="E1335" s="5">
        <f>prices!E1336/prices!E1335-1</f>
        <v>5.3213324616483426E-3</v>
      </c>
      <c r="F1335" s="5">
        <f>prices!F1336/prices!F1335-1</f>
        <v>6.1185261391016876E-3</v>
      </c>
      <c r="G1335" s="5">
        <f>prices!G1336/prices!G1335-1</f>
        <v>-1.5772599689292788E-2</v>
      </c>
      <c r="H1335" s="5">
        <f>prices!H1336/prices!H1335-1</f>
        <v>4.7619381088104262E-4</v>
      </c>
      <c r="I1335" s="5">
        <f>prices!I1336/prices!I1335-1</f>
        <v>9.5182381085612278E-3</v>
      </c>
      <c r="J1335" s="5">
        <f>prices!J1336/prices!J1335-1</f>
        <v>1.8698321153114428E-3</v>
      </c>
      <c r="K1335" s="8">
        <f>SUMPRODUCT(B1335:I1335,weights!$B$5:$I$5)</f>
        <v>-3.7065308888931223E-4</v>
      </c>
      <c r="L1335" s="4">
        <f t="shared" si="40"/>
        <v>268.60204812658725</v>
      </c>
      <c r="M1335" s="4">
        <f>L1335/MAX(L$2:L1335)-1</f>
        <v>-3.9292134068161233E-2</v>
      </c>
      <c r="N1335" s="4">
        <f t="shared" si="41"/>
        <v>-1.4412769724660102E-2</v>
      </c>
    </row>
    <row r="1336" spans="1:14">
      <c r="A1336" s="3">
        <f>prices!A1337</f>
        <v>45446</v>
      </c>
      <c r="B1336" s="5">
        <f>prices!B1337/prices!B1336-1</f>
        <v>5.5873945774608025E-2</v>
      </c>
      <c r="C1336" s="5">
        <f>prices!C1337/prices!C1336-1</f>
        <v>8.6903365925767861E-3</v>
      </c>
      <c r="D1336" s="5">
        <f>prices!D1337/prices!D1336-1</f>
        <v>2.6544862566765914E-2</v>
      </c>
      <c r="E1336" s="5">
        <f>prices!E1337/prices!E1336-1</f>
        <v>-7.107965458312826E-4</v>
      </c>
      <c r="F1336" s="5">
        <f>prices!F1337/prices!F1336-1</f>
        <v>9.1488846433280813E-3</v>
      </c>
      <c r="G1336" s="5">
        <f>prices!G1337/prices!G1336-1</f>
        <v>6.1981908298027744E-3</v>
      </c>
      <c r="H1336" s="5">
        <f>prices!H1337/prices!H1336-1</f>
        <v>-4.6196812419944111E-3</v>
      </c>
      <c r="I1336" s="5">
        <f>prices!I1337/prices!I1336-1</f>
        <v>6.2097056394608163E-2</v>
      </c>
      <c r="J1336" s="5">
        <f>prices!J1337/prices!J1336-1</f>
        <v>3.2542264554585643E-2</v>
      </c>
      <c r="K1336" s="8">
        <f>SUMPRODUCT(B1336:I1336,weights!$B$5:$I$5)</f>
        <v>2.32939063706755E-2</v>
      </c>
      <c r="L1336" s="4">
        <f t="shared" si="40"/>
        <v>274.85883908661964</v>
      </c>
      <c r="M1336" s="4">
        <f>L1336/MAX(L$2:L1336)-1</f>
        <v>-1.6913494989573619E-2</v>
      </c>
      <c r="N1336" s="4">
        <f t="shared" si="41"/>
        <v>2.4170794437563092E-2</v>
      </c>
    </row>
    <row r="1337" spans="1:14">
      <c r="A1337" s="3">
        <f>prices!A1338</f>
        <v>45447</v>
      </c>
      <c r="B1337" s="5">
        <f>prices!B1338/prices!B1337-1</f>
        <v>-7.4849396581185057E-2</v>
      </c>
      <c r="C1337" s="5">
        <f>prices!C1338/prices!C1337-1</f>
        <v>3.2806945982168934E-3</v>
      </c>
      <c r="D1337" s="5">
        <f>prices!D1338/prices!D1337-1</f>
        <v>-5.6644823066841488E-2</v>
      </c>
      <c r="E1337" s="5">
        <f>prices!E1338/prices!E1337-1</f>
        <v>-8.7096676554270225E-3</v>
      </c>
      <c r="F1337" s="5">
        <f>prices!F1338/prices!F1337-1</f>
        <v>-1.7411940378103008E-2</v>
      </c>
      <c r="G1337" s="5">
        <f>prices!G1338/prices!G1337-1</f>
        <v>-2.4054355458262844E-2</v>
      </c>
      <c r="H1337" s="5">
        <f>prices!H1338/prices!H1337-1</f>
        <v>-1.596967800459892E-2</v>
      </c>
      <c r="I1337" s="5">
        <f>prices!I1338/prices!I1337-1</f>
        <v>-0.12674586251340947</v>
      </c>
      <c r="J1337" s="5">
        <f>prices!J1338/prices!J1337-1</f>
        <v>-5.9293583620975032E-2</v>
      </c>
      <c r="K1337" s="8">
        <f>SUMPRODUCT(B1337:I1337,weights!$B$5:$I$5)</f>
        <v>-4.7697390877685417E-2</v>
      </c>
      <c r="L1337" s="4">
        <f t="shared" si="40"/>
        <v>261.74878960251829</v>
      </c>
      <c r="M1337" s="4">
        <f>L1337/MAX(L$2:L1337)-1</f>
        <v>-6.3804156285633629E-2</v>
      </c>
      <c r="N1337" s="4">
        <f t="shared" si="41"/>
        <v>-2.4488493459479455E-2</v>
      </c>
    </row>
    <row r="1338" spans="1:14">
      <c r="A1338" s="3">
        <f>prices!A1339</f>
        <v>45448</v>
      </c>
      <c r="B1338" s="5">
        <f>prices!B1339/prices!B1338-1</f>
        <v>1.6796679776623691E-2</v>
      </c>
      <c r="C1338" s="5">
        <f>prices!C1339/prices!C1338-1</f>
        <v>8.4653226696405071E-3</v>
      </c>
      <c r="D1338" s="5">
        <f>prices!D1339/prices!D1338-1</f>
        <v>4.6291922531884744E-2</v>
      </c>
      <c r="E1338" s="5">
        <f>prices!E1339/prices!E1338-1</f>
        <v>2.6152472118533332E-2</v>
      </c>
      <c r="F1338" s="5">
        <f>prices!F1339/prices!F1338-1</f>
        <v>3.6363636363636376E-2</v>
      </c>
      <c r="G1338" s="5">
        <f>prices!G1339/prices!G1338-1</f>
        <v>2.681917098840314E-2</v>
      </c>
      <c r="H1338" s="5">
        <f>prices!H1339/prices!H1338-1</f>
        <v>4.0182654927967132E-2</v>
      </c>
      <c r="I1338" s="5">
        <f>prices!I1339/prices!I1338-1</f>
        <v>1.7023331622951776E-3</v>
      </c>
      <c r="J1338" s="5">
        <f>prices!J1339/prices!J1338-1</f>
        <v>3.3624254609426751E-2</v>
      </c>
      <c r="K1338" s="8">
        <f>SUMPRODUCT(B1338:I1338,weights!$B$5:$I$5)</f>
        <v>2.3189400474032385E-2</v>
      </c>
      <c r="L1338" s="4">
        <f t="shared" si="40"/>
        <v>267.81858710820433</v>
      </c>
      <c r="M1338" s="4">
        <f>L1338/MAX(L$2:L1338)-1</f>
        <v>-4.2094335943616557E-2</v>
      </c>
      <c r="N1338" s="4">
        <f t="shared" si="41"/>
        <v>1.8527285162825979E-3</v>
      </c>
    </row>
    <row r="1339" spans="1:14">
      <c r="A1339" s="3">
        <f>prices!A1340</f>
        <v>45449</v>
      </c>
      <c r="B1339" s="5">
        <f>prices!B1340/prices!B1339-1</f>
        <v>7.6363066490006126E-3</v>
      </c>
      <c r="C1339" s="5">
        <f>prices!C1340/prices!C1339-1</f>
        <v>2.2409657289473861E-2</v>
      </c>
      <c r="D1339" s="5">
        <f>prices!D1340/prices!D1339-1</f>
        <v>5.0856459965475942E-3</v>
      </c>
      <c r="E1339" s="5">
        <f>prices!E1340/prices!E1339-1</f>
        <v>2.9473245702128281E-2</v>
      </c>
      <c r="F1339" s="5">
        <f>prices!F1340/prices!F1339-1</f>
        <v>1.1835559046871058E-2</v>
      </c>
      <c r="G1339" s="5">
        <f>prices!G1340/prices!G1339-1</f>
        <v>1.3668931907583337E-2</v>
      </c>
      <c r="H1339" s="5">
        <f>prices!H1340/prices!H1339-1</f>
        <v>-9.8173249335320456E-3</v>
      </c>
      <c r="I1339" s="5">
        <f>prices!I1340/prices!I1339-1</f>
        <v>2.1574452955037238E-2</v>
      </c>
      <c r="J1339" s="5">
        <f>prices!J1340/prices!J1339-1</f>
        <v>8.888014553267487E-3</v>
      </c>
      <c r="K1339" s="8">
        <f>SUMPRODUCT(B1339:I1339,weights!$B$5:$I$5)</f>
        <v>1.2231384329213084E-2</v>
      </c>
      <c r="L1339" s="4">
        <f t="shared" si="40"/>
        <v>271.09437917763159</v>
      </c>
      <c r="M1339" s="4">
        <f>L1339/MAX(L$2:L1339)-1</f>
        <v>-3.0377823615412858E-2</v>
      </c>
      <c r="N1339" s="4">
        <f t="shared" si="41"/>
        <v>7.5361767683539416E-3</v>
      </c>
    </row>
    <row r="1340" spans="1:14">
      <c r="A1340" s="3">
        <f>prices!A1341</f>
        <v>45450</v>
      </c>
      <c r="B1340" s="5">
        <f>prices!B1341/prices!B1340-1</f>
        <v>2.6786093005500167E-2</v>
      </c>
      <c r="C1340" s="5">
        <f>prices!C1341/prices!C1340-1</f>
        <v>1.6589539858552271E-2</v>
      </c>
      <c r="D1340" s="5">
        <f>prices!D1341/prices!D1340-1</f>
        <v>8.745854966773603E-3</v>
      </c>
      <c r="E1340" s="5">
        <f>prices!E1341/prices!E1340-1</f>
        <v>4.1672387256212362E-2</v>
      </c>
      <c r="F1340" s="5">
        <f>prices!F1341/prices!F1340-1</f>
        <v>8.6175663785517109E-3</v>
      </c>
      <c r="G1340" s="5">
        <f>prices!G1341/prices!G1340-1</f>
        <v>1.0841686332741851E-2</v>
      </c>
      <c r="H1340" s="5">
        <f>prices!H1341/prices!H1340-1</f>
        <v>2.3187400263650959E-2</v>
      </c>
      <c r="I1340" s="5">
        <f>prices!I1341/prices!I1340-1</f>
        <v>1.4343694142770147E-2</v>
      </c>
      <c r="J1340" s="5">
        <f>prices!J1341/prices!J1340-1</f>
        <v>2.0539931818380985E-2</v>
      </c>
      <c r="K1340" s="8">
        <f>SUMPRODUCT(B1340:I1340,weights!$B$5:$I$5)</f>
        <v>1.8199228447522846E-2</v>
      </c>
      <c r="L1340" s="4">
        <f t="shared" si="40"/>
        <v>276.02808771512468</v>
      </c>
      <c r="M1340" s="4">
        <f>L1340/MAX(L$2:L1340)-1</f>
        <v>-1.2731448119605471E-2</v>
      </c>
      <c r="N1340" s="4">
        <f t="shared" si="41"/>
        <v>4.8781552202928236E-2</v>
      </c>
    </row>
    <row r="1341" spans="1:14">
      <c r="A1341" s="3">
        <f>prices!A1342</f>
        <v>45453</v>
      </c>
      <c r="B1341" s="5">
        <f>prices!B1342/prices!B1341-1</f>
        <v>9.914419283545417E-4</v>
      </c>
      <c r="C1341" s="5">
        <f>prices!C1342/prices!C1341-1</f>
        <v>-9.0515414218151902E-3</v>
      </c>
      <c r="D1341" s="5">
        <f>prices!D1342/prices!D1341-1</f>
        <v>-7.6484840547441646E-3</v>
      </c>
      <c r="E1341" s="5">
        <f>prices!E1342/prices!E1341-1</f>
        <v>-2.2073309470296065E-2</v>
      </c>
      <c r="F1341" s="5">
        <f>prices!F1342/prices!F1341-1</f>
        <v>-5.1058370750480808E-3</v>
      </c>
      <c r="G1341" s="5">
        <f>prices!G1342/prices!G1341-1</f>
        <v>-7.2870324931819663E-3</v>
      </c>
      <c r="H1341" s="5">
        <f>prices!H1342/prices!H1341-1</f>
        <v>4.1499403276552549E-3</v>
      </c>
      <c r="I1341" s="5">
        <f>prices!I1342/prices!I1341-1</f>
        <v>3.184092911540537E-3</v>
      </c>
      <c r="J1341" s="5">
        <f>prices!J1342/prices!J1341-1</f>
        <v>-1.3288879633664985E-3</v>
      </c>
      <c r="K1341" s="8">
        <f>SUMPRODUCT(B1341:I1341,weights!$B$5:$I$5)</f>
        <v>-3.698223937545304E-3</v>
      </c>
      <c r="L1341" s="4">
        <f t="shared" si="40"/>
        <v>275.00727403370178</v>
      </c>
      <c r="M1341" s="4">
        <f>L1341/MAX(L$2:L1341)-1</f>
        <v>-1.6382588310955182E-2</v>
      </c>
      <c r="N1341" s="4">
        <f t="shared" si="41"/>
        <v>4.008125610083102E-2</v>
      </c>
    </row>
    <row r="1342" spans="1:14">
      <c r="A1342" s="3">
        <f>prices!A1343</f>
        <v>45454</v>
      </c>
      <c r="B1342" s="5">
        <f>prices!B1343/prices!B1342-1</f>
        <v>-1.0007772359289291E-2</v>
      </c>
      <c r="C1342" s="5">
        <f>prices!C1343/prices!C1342-1</f>
        <v>-1.7110935901091251E-3</v>
      </c>
      <c r="D1342" s="5">
        <f>prices!D1343/prices!D1342-1</f>
        <v>2.2436024336487392E-3</v>
      </c>
      <c r="E1342" s="5">
        <f>prices!E1343/prices!E1342-1</f>
        <v>-2.6671584831244877E-3</v>
      </c>
      <c r="F1342" s="5">
        <f>prices!F1343/prices!F1342-1</f>
        <v>-8.9488343305136331E-3</v>
      </c>
      <c r="G1342" s="5">
        <f>prices!G1343/prices!G1342-1</f>
        <v>1.1488105078559352E-2</v>
      </c>
      <c r="H1342" s="5">
        <f>prices!H1343/prices!H1342-1</f>
        <v>-8.8260716890412594E-3</v>
      </c>
      <c r="I1342" s="5">
        <f>prices!I1343/prices!I1342-1</f>
        <v>1.5507605973471783E-2</v>
      </c>
      <c r="J1342" s="5">
        <f>prices!J1343/prices!J1342-1</f>
        <v>2.4291463162962046E-4</v>
      </c>
      <c r="K1342" s="8">
        <f>SUMPRODUCT(B1342:I1342,weights!$B$5:$I$5)</f>
        <v>1.7251081168630537E-3</v>
      </c>
      <c r="L1342" s="4">
        <f t="shared" si="40"/>
        <v>275.48169131433366</v>
      </c>
      <c r="M1342" s="4">
        <f>L1342/MAX(L$2:L1342)-1</f>
        <v>-1.4685741930162699E-2</v>
      </c>
      <c r="N1342" s="4">
        <f t="shared" si="41"/>
        <v>3.7221811927597104E-2</v>
      </c>
    </row>
    <row r="1343" spans="1:14">
      <c r="A1343" s="3">
        <f>prices!A1344</f>
        <v>45455</v>
      </c>
      <c r="B1343" s="5">
        <f>prices!B1344/prices!B1343-1</f>
        <v>4.5646555317790938E-3</v>
      </c>
      <c r="C1343" s="5">
        <f>prices!C1344/prices!C1343-1</f>
        <v>-5.3073204613307556E-3</v>
      </c>
      <c r="D1343" s="5">
        <f>prices!D1344/prices!D1343-1</f>
        <v>5.9651571614807164E-3</v>
      </c>
      <c r="E1343" s="5">
        <f>prices!E1344/prices!E1343-1</f>
        <v>-7.0555768929857487E-3</v>
      </c>
      <c r="F1343" s="5">
        <f>prices!F1344/prices!F1343-1</f>
        <v>-1.6133649067110456E-3</v>
      </c>
      <c r="G1343" s="5">
        <f>prices!G1344/prices!G1343-1</f>
        <v>-1.1112464226997743E-3</v>
      </c>
      <c r="H1343" s="5">
        <f>prices!H1344/prices!H1343-1</f>
        <v>4.7350742963816472E-3</v>
      </c>
      <c r="I1343" s="5">
        <f>prices!I1344/prices!I1343-1</f>
        <v>8.7799921219835486E-3</v>
      </c>
      <c r="J1343" s="5">
        <f>prices!J1344/prices!J1343-1</f>
        <v>2.4973296625596664E-3</v>
      </c>
      <c r="K1343" s="8">
        <f>SUMPRODUCT(B1343:I1343,weights!$B$5:$I$5)</f>
        <v>2.0534655022046693E-3</v>
      </c>
      <c r="L1343" s="4">
        <f t="shared" si="40"/>
        <v>276.04738346393663</v>
      </c>
      <c r="M1343" s="4">
        <f>L1343/MAX(L$2:L1343)-1</f>
        <v>-1.2662433092386016E-2</v>
      </c>
      <c r="N1343" s="4">
        <f t="shared" si="41"/>
        <v>2.9308095568316483E-2</v>
      </c>
    </row>
    <row r="1344" spans="1:14">
      <c r="A1344" s="3">
        <f>prices!A1345</f>
        <v>45456</v>
      </c>
      <c r="B1344" s="5">
        <f>prices!B1345/prices!B1344-1</f>
        <v>1.3140695350268849E-3</v>
      </c>
      <c r="C1344" s="5">
        <f>prices!C1345/prices!C1344-1</f>
        <v>1.2135409774213679E-2</v>
      </c>
      <c r="D1344" s="5">
        <f>prices!D1345/prices!D1344-1</f>
        <v>4.2019006728275521E-3</v>
      </c>
      <c r="E1344" s="5">
        <f>prices!E1345/prices!E1344-1</f>
        <v>5.8951620990501663E-3</v>
      </c>
      <c r="F1344" s="5">
        <f>prices!F1345/prices!F1344-1</f>
        <v>-4.6133395887091311E-3</v>
      </c>
      <c r="G1344" s="5">
        <f>prices!G1345/prices!G1344-1</f>
        <v>-1.9490503793428982E-4</v>
      </c>
      <c r="H1344" s="5">
        <f>prices!H1345/prices!H1344-1</f>
        <v>2.6242269718996791E-3</v>
      </c>
      <c r="I1344" s="5">
        <f>prices!I1345/prices!I1344-1</f>
        <v>2.0205535654663986E-2</v>
      </c>
      <c r="J1344" s="5">
        <f>prices!J1345/prices!J1344-1</f>
        <v>3.2564491198583401E-3</v>
      </c>
      <c r="K1344" s="8">
        <f>SUMPRODUCT(B1344:I1344,weights!$B$5:$I$5)</f>
        <v>5.9971766743071092E-3</v>
      </c>
      <c r="L1344" s="4">
        <f t="shared" si="40"/>
        <v>277.7028883930501</v>
      </c>
      <c r="M1344" s="4">
        <f>L1344/MAX(L$2:L1344)-1</f>
        <v>-6.7411952664603314E-3</v>
      </c>
      <c r="N1344" s="4">
        <f t="shared" si="41"/>
        <v>3.8803889870560049E-2</v>
      </c>
    </row>
    <row r="1345" spans="1:14">
      <c r="A1345" s="3">
        <f>prices!A1346</f>
        <v>45457</v>
      </c>
      <c r="B1345" s="5">
        <f>prices!B1346/prices!B1345-1</f>
        <v>8.3921010643810412E-3</v>
      </c>
      <c r="C1345" s="5">
        <f>prices!C1346/prices!C1345-1</f>
        <v>-1.1886977736605964E-2</v>
      </c>
      <c r="D1345" s="5">
        <f>prices!D1346/prices!D1345-1</f>
        <v>1.0206608877012302E-2</v>
      </c>
      <c r="E1345" s="5">
        <f>prices!E1346/prices!E1345-1</f>
        <v>-3.3824922202678742E-3</v>
      </c>
      <c r="F1345" s="5">
        <f>prices!F1346/prices!F1345-1</f>
        <v>1.9638648860957897E-3</v>
      </c>
      <c r="G1345" s="5">
        <f>prices!G1346/prices!G1345-1</f>
        <v>-1.2835755279905214E-4</v>
      </c>
      <c r="H1345" s="5">
        <f>prices!H1346/prices!H1345-1</f>
        <v>3.4357056384799467E-3</v>
      </c>
      <c r="I1345" s="5">
        <f>prices!I1346/prices!I1345-1</f>
        <v>-4.2794660513258975E-3</v>
      </c>
      <c r="J1345" s="5">
        <f>prices!J1346/prices!J1345-1</f>
        <v>2.8505613511744521E-3</v>
      </c>
      <c r="K1345" s="8">
        <f>SUMPRODUCT(B1345:I1345,weights!$B$5:$I$5)</f>
        <v>3.1131788965698889E-4</v>
      </c>
      <c r="L1345" s="4">
        <f t="shared" si="40"/>
        <v>277.78934227021625</v>
      </c>
      <c r="M1345" s="4">
        <f>L1345/MAX(L$2:L1345)-1</f>
        <v>-6.4319760314875962E-3</v>
      </c>
      <c r="N1345" s="4">
        <f t="shared" si="41"/>
        <v>3.3572974158563973E-2</v>
      </c>
    </row>
    <row r="1346" spans="1:14">
      <c r="A1346" s="3">
        <f>prices!A1347</f>
        <v>45461</v>
      </c>
      <c r="B1346" s="5">
        <f>prices!B1347/prices!B1346-1</f>
        <v>2.3562612162144614E-3</v>
      </c>
      <c r="C1346" s="5">
        <f>prices!C1347/prices!C1346-1</f>
        <v>-4.4229101679073013E-3</v>
      </c>
      <c r="D1346" s="5">
        <f>prices!D1347/prices!D1346-1</f>
        <v>6.8259826060026452E-3</v>
      </c>
      <c r="E1346" s="5">
        <f>prices!E1347/prices!E1346-1</f>
        <v>6.2449090415421793E-3</v>
      </c>
      <c r="F1346" s="5">
        <f>prices!F1347/prices!F1346-1</f>
        <v>-5.5664445315561917E-3</v>
      </c>
      <c r="G1346" s="5">
        <f>prices!G1347/prices!G1346-1</f>
        <v>-2.212847352044911E-2</v>
      </c>
      <c r="H1346" s="5">
        <f>prices!H1347/prices!H1346-1</f>
        <v>3.2689209864726898E-3</v>
      </c>
      <c r="I1346" s="5">
        <f>prices!I1347/prices!I1346-1</f>
        <v>3.7881320052601808E-4</v>
      </c>
      <c r="J1346" s="5">
        <f>prices!J1347/prices!J1346-1</f>
        <v>3.933417428064967E-3</v>
      </c>
      <c r="K1346" s="8">
        <f>SUMPRODUCT(B1346:I1346,weights!$B$5:$I$5)</f>
        <v>-3.2505786011806891E-3</v>
      </c>
      <c r="L1346" s="4">
        <f t="shared" si="40"/>
        <v>276.88636617859663</v>
      </c>
      <c r="M1346" s="4">
        <f>L1346/MAX(L$2:L1346)-1</f>
        <v>-9.6616469890169476E-3</v>
      </c>
      <c r="N1346" s="4">
        <f t="shared" si="41"/>
        <v>2.8954436244306825E-2</v>
      </c>
    </row>
    <row r="1347" spans="1:14">
      <c r="A1347" s="3">
        <f>prices!A1348</f>
        <v>45462</v>
      </c>
      <c r="B1347" s="5">
        <f>prices!B1348/prices!B1347-1</f>
        <v>-1.5108857576296097E-2</v>
      </c>
      <c r="C1347" s="5">
        <f>prices!C1348/prices!C1347-1</f>
        <v>-3.5121951219512226E-3</v>
      </c>
      <c r="D1347" s="5">
        <f>prices!D1348/prices!D1347-1</f>
        <v>3.1130249785330744E-2</v>
      </c>
      <c r="E1347" s="5">
        <f>prices!E1348/prices!E1347-1</f>
        <v>8.7766637316444296E-3</v>
      </c>
      <c r="F1347" s="5">
        <f>prices!F1348/prices!F1347-1</f>
        <v>-1.1878482077157582E-2</v>
      </c>
      <c r="G1347" s="5">
        <f>prices!G1348/prices!G1347-1</f>
        <v>-2.5384442449732481E-2</v>
      </c>
      <c r="H1347" s="5">
        <f>prices!H1348/prices!H1347-1</f>
        <v>-1.114529868594305E-2</v>
      </c>
      <c r="I1347" s="5">
        <f>prices!I1348/prices!I1347-1</f>
        <v>-2.6902258653717648E-2</v>
      </c>
      <c r="J1347" s="5">
        <f>prices!J1348/prices!J1347-1</f>
        <v>-1.7785965642099777E-3</v>
      </c>
      <c r="K1347" s="8">
        <f>SUMPRODUCT(B1347:I1347,weights!$B$5:$I$5)</f>
        <v>-1.2081022866478396E-2</v>
      </c>
      <c r="L1347" s="4">
        <f t="shared" si="40"/>
        <v>273.54129565737691</v>
      </c>
      <c r="M1347" s="4">
        <f>L1347/MAX(L$2:L1347)-1</f>
        <v>-2.1625947277293167E-2</v>
      </c>
      <c r="N1347" s="4">
        <f t="shared" si="41"/>
        <v>2.0236130449198475E-2</v>
      </c>
    </row>
    <row r="1348" spans="1:14">
      <c r="A1348" s="3">
        <f>prices!A1349</f>
        <v>45463</v>
      </c>
      <c r="B1348" s="5">
        <f>prices!B1349/prices!B1348-1</f>
        <v>1.031728961263334E-2</v>
      </c>
      <c r="C1348" s="5">
        <f>prices!C1349/prices!C1348-1</f>
        <v>-3.8026806060451612E-3</v>
      </c>
      <c r="D1348" s="5">
        <f>prices!D1349/prices!D1348-1</f>
        <v>6.9354678333499731E-3</v>
      </c>
      <c r="E1348" s="5">
        <f>prices!E1349/prices!E1348-1</f>
        <v>2.6818898524607615E-3</v>
      </c>
      <c r="F1348" s="5">
        <f>prices!F1349/prices!F1348-1</f>
        <v>-8.2446808510638903E-4</v>
      </c>
      <c r="G1348" s="5">
        <f>prices!G1349/prices!G1348-1</f>
        <v>-7.5641500538793371E-3</v>
      </c>
      <c r="H1348" s="5">
        <f>prices!H1349/prices!H1348-1</f>
        <v>-2.1943978314186152E-2</v>
      </c>
      <c r="I1348" s="5">
        <f>prices!I1349/prices!I1348-1</f>
        <v>9.1247245987009507E-3</v>
      </c>
      <c r="J1348" s="5">
        <f>prices!J1349/prices!J1348-1</f>
        <v>2.1687361796223215E-3</v>
      </c>
      <c r="K1348" s="8">
        <f>SUMPRODUCT(B1348:I1348,weights!$B$5:$I$5)</f>
        <v>-1.3291484941520301E-3</v>
      </c>
      <c r="L1348" s="4">
        <f t="shared" ref="L1348:L1411" si="42">L1347*(1+K1348)</f>
        <v>273.1777186561655</v>
      </c>
      <c r="M1348" s="4">
        <f>L1348/MAX(L$2:L1348)-1</f>
        <v>-2.2926351676187062E-2</v>
      </c>
      <c r="N1348" s="4">
        <f t="shared" si="41"/>
        <v>1.2250252189127009E-2</v>
      </c>
    </row>
    <row r="1349" spans="1:14">
      <c r="A1349" s="3">
        <f>prices!A1350</f>
        <v>45464</v>
      </c>
      <c r="B1349" s="5">
        <f>prices!B1350/prices!B1349-1</f>
        <v>-1.3233617646654983E-2</v>
      </c>
      <c r="C1349" s="5">
        <f>prices!C1350/prices!C1349-1</f>
        <v>6.2043681258421302E-3</v>
      </c>
      <c r="D1349" s="5">
        <f>prices!D1350/prices!D1349-1</f>
        <v>-2.1477769274446112E-3</v>
      </c>
      <c r="E1349" s="5">
        <f>prices!E1350/prices!E1349-1</f>
        <v>1.1414932079047979E-2</v>
      </c>
      <c r="F1349" s="5">
        <f>prices!F1350/prices!F1349-1</f>
        <v>-8.7572200484442586E-3</v>
      </c>
      <c r="G1349" s="5">
        <f>prices!G1350/prices!G1349-1</f>
        <v>4.280424649341974E-3</v>
      </c>
      <c r="H1349" s="5">
        <f>prices!H1350/prices!H1349-1</f>
        <v>-2.5492661308809117E-3</v>
      </c>
      <c r="I1349" s="5">
        <f>prices!I1350/prices!I1349-1</f>
        <v>-1.6539119142336189E-2</v>
      </c>
      <c r="J1349" s="5">
        <f>prices!J1350/prices!J1349-1</f>
        <v>-2.7962829380066001E-3</v>
      </c>
      <c r="K1349" s="8">
        <f>SUMPRODUCT(B1349:I1349,weights!$B$5:$I$5)</f>
        <v>-3.8747460442140544E-3</v>
      </c>
      <c r="L1349" s="4">
        <f t="shared" si="42"/>
        <v>272.11922437143511</v>
      </c>
      <c r="M1349" s="4">
        <f>L1349/MAX(L$2:L1349)-1</f>
        <v>-2.671226392993542E-2</v>
      </c>
      <c r="N1349" s="4">
        <f t="shared" si="41"/>
        <v>-7.2019268939598202E-3</v>
      </c>
    </row>
    <row r="1350" spans="1:14">
      <c r="A1350" s="3">
        <f>prices!A1351</f>
        <v>45467</v>
      </c>
      <c r="B1350" s="5">
        <f>prices!B1351/prices!B1350-1</f>
        <v>-8.7481818118548826E-3</v>
      </c>
      <c r="C1350" s="5">
        <f>prices!C1351/prices!C1350-1</f>
        <v>1.5882407897604978E-3</v>
      </c>
      <c r="D1350" s="5">
        <f>prices!D1351/prices!D1350-1</f>
        <v>3.9831766452251838E-3</v>
      </c>
      <c r="E1350" s="5">
        <f>prices!E1351/prices!E1350-1</f>
        <v>-3.623213554428073E-3</v>
      </c>
      <c r="F1350" s="5">
        <f>prices!F1351/prices!F1350-1</f>
        <v>8.8345864661654172E-3</v>
      </c>
      <c r="G1350" s="5">
        <f>prices!G1351/prices!G1350-1</f>
        <v>-1.4840767935832E-3</v>
      </c>
      <c r="H1350" s="5">
        <f>prices!H1351/prices!H1350-1</f>
        <v>1.8572940750438693E-2</v>
      </c>
      <c r="I1350" s="5">
        <f>prices!I1351/prices!I1350-1</f>
        <v>-9.6296339009249721E-4</v>
      </c>
      <c r="J1350" s="5">
        <f>prices!J1351/prices!J1350-1</f>
        <v>1.5637565901169825E-3</v>
      </c>
      <c r="K1350" s="8">
        <f>SUMPRODUCT(B1350:I1350,weights!$B$5:$I$5)</f>
        <v>2.0768185219175958E-3</v>
      </c>
      <c r="L1350" s="4">
        <f t="shared" si="42"/>
        <v>272.68436661677953</v>
      </c>
      <c r="M1350" s="4">
        <f>L1350/MAX(L$2:L1350)-1</f>
        <v>-2.469092193250999E-2</v>
      </c>
      <c r="N1350" s="4">
        <f t="shared" si="41"/>
        <v>-5.8392508960711798E-3</v>
      </c>
    </row>
    <row r="1351" spans="1:14">
      <c r="A1351" s="3">
        <f>prices!A1352</f>
        <v>45468</v>
      </c>
      <c r="B1351" s="5">
        <f>prices!B1352/prices!B1351-1</f>
        <v>8.7902829460084764E-3</v>
      </c>
      <c r="C1351" s="5">
        <f>prices!C1352/prices!C1351-1</f>
        <v>5.672985058595259E-3</v>
      </c>
      <c r="D1351" s="5">
        <f>prices!D1352/prices!D1351-1</f>
        <v>2.329908085064436E-2</v>
      </c>
      <c r="E1351" s="5">
        <f>prices!E1352/prices!E1351-1</f>
        <v>9.6900709862137724E-3</v>
      </c>
      <c r="F1351" s="5">
        <f>prices!F1352/prices!F1351-1</f>
        <v>0</v>
      </c>
      <c r="G1351" s="5">
        <f>prices!G1352/prices!G1351-1</f>
        <v>-5.4824116182123905E-3</v>
      </c>
      <c r="H1351" s="5">
        <f>prices!H1352/prices!H1351-1</f>
        <v>7.1651750613619392E-3</v>
      </c>
      <c r="I1351" s="5">
        <f>prices!I1352/prices!I1351-1</f>
        <v>1.5912868818396042E-2</v>
      </c>
      <c r="J1351" s="5">
        <f>prices!J1352/prices!J1351-1</f>
        <v>7.7938299377386944E-3</v>
      </c>
      <c r="K1351" s="8">
        <f>SUMPRODUCT(B1351:I1351,weights!$B$5:$I$5)</f>
        <v>7.3202958225661542E-3</v>
      </c>
      <c r="L1351" s="4">
        <f t="shared" si="42"/>
        <v>274.68049684660343</v>
      </c>
      <c r="M1351" s="4">
        <f>L1351/MAX(L$2:L1351)-1</f>
        <v>-1.7551370962621715E-2</v>
      </c>
      <c r="N1351" s="4">
        <f t="shared" si="41"/>
        <v>4.8269963422540307E-3</v>
      </c>
    </row>
    <row r="1352" spans="1:14">
      <c r="A1352" s="3">
        <f>prices!A1353</f>
        <v>45469</v>
      </c>
      <c r="B1352" s="5">
        <f>prices!B1353/prices!B1352-1</f>
        <v>4.1174259823777648E-2</v>
      </c>
      <c r="C1352" s="5">
        <f>prices!C1353/prices!C1352-1</f>
        <v>4.5335859174959747E-3</v>
      </c>
      <c r="D1352" s="5">
        <f>prices!D1353/prices!D1352-1</f>
        <v>-5.7553610345201234E-3</v>
      </c>
      <c r="E1352" s="5">
        <f>prices!E1353/prices!E1352-1</f>
        <v>-8.0723057817033705E-4</v>
      </c>
      <c r="F1352" s="5">
        <f>prices!F1353/prices!F1352-1</f>
        <v>1.5172083366605804E-3</v>
      </c>
      <c r="G1352" s="5">
        <f>prices!G1353/prices!G1352-1</f>
        <v>6.7383255235557993E-3</v>
      </c>
      <c r="H1352" s="5">
        <f>prices!H1353/prices!H1352-1</f>
        <v>1.0596628900761074E-2</v>
      </c>
      <c r="I1352" s="5">
        <f>prices!I1353/prices!I1352-1</f>
        <v>4.2241198093322385E-3</v>
      </c>
      <c r="J1352" s="5">
        <f>prices!J1353/prices!J1352-1</f>
        <v>6.2180403266263173E-3</v>
      </c>
      <c r="K1352" s="8">
        <f>SUMPRODUCT(B1352:I1352,weights!$B$5:$I$5)</f>
        <v>9.009662826295126E-3</v>
      </c>
      <c r="L1352" s="4">
        <f t="shared" si="42"/>
        <v>277.15527550815057</v>
      </c>
      <c r="M1352" s="4">
        <f>L1352/MAX(L$2:L1352)-1</f>
        <v>-8.6998400708390156E-3</v>
      </c>
      <c r="N1352" s="4">
        <f t="shared" si="41"/>
        <v>1.6659776675378213E-2</v>
      </c>
    </row>
    <row r="1353" spans="1:14">
      <c r="A1353" s="3">
        <f>prices!A1354</f>
        <v>45470</v>
      </c>
      <c r="B1353" s="5">
        <f>prices!B1354/prices!B1353-1</f>
        <v>1.0915921335846734E-2</v>
      </c>
      <c r="C1353" s="5">
        <f>prices!C1354/prices!C1353-1</f>
        <v>2.0304866788658282E-2</v>
      </c>
      <c r="D1353" s="5">
        <f>prices!D1354/prices!D1353-1</f>
        <v>-3.1486527399333664E-3</v>
      </c>
      <c r="E1353" s="5">
        <f>prices!E1354/prices!E1353-1</f>
        <v>2.1191385346250202E-2</v>
      </c>
      <c r="F1353" s="5">
        <f>prices!F1354/prices!F1353-1</f>
        <v>3.9068729070323993E-3</v>
      </c>
      <c r="G1353" s="5">
        <f>prices!G1354/prices!G1353-1</f>
        <v>-1.5985332696849541E-3</v>
      </c>
      <c r="H1353" s="5">
        <f>prices!H1354/prices!H1353-1</f>
        <v>-3.2242463324198001E-3</v>
      </c>
      <c r="I1353" s="5">
        <f>prices!I1354/prices!I1353-1</f>
        <v>-1.070116233349272E-2</v>
      </c>
      <c r="J1353" s="5">
        <f>prices!J1354/prices!J1353-1</f>
        <v>7.3610738704921186E-3</v>
      </c>
      <c r="K1353" s="8">
        <f>SUMPRODUCT(B1353:I1353,weights!$B$5:$I$5)</f>
        <v>2.1556181435878571E-3</v>
      </c>
      <c r="L1353" s="4">
        <f t="shared" si="42"/>
        <v>277.75271644862698</v>
      </c>
      <c r="M1353" s="4">
        <f>L1353/MAX(L$2:L1353)-1</f>
        <v>-6.5629754603543367E-3</v>
      </c>
      <c r="N1353" s="4">
        <f t="shared" si="41"/>
        <v>2.3017847003951708E-2</v>
      </c>
    </row>
    <row r="1354" spans="1:14">
      <c r="A1354" s="3">
        <f>prices!A1355</f>
        <v>45471</v>
      </c>
      <c r="B1354" s="5">
        <f>prices!B1355/prices!B1354-1</f>
        <v>2.2773108688033616E-2</v>
      </c>
      <c r="C1354" s="5">
        <f>prices!C1355/prices!C1354-1</f>
        <v>-7.6235606415857582E-3</v>
      </c>
      <c r="D1354" s="5">
        <f>prices!D1355/prices!D1354-1</f>
        <v>-7.2769240114195499E-3</v>
      </c>
      <c r="E1354" s="5">
        <f>prices!E1355/prices!E1354-1</f>
        <v>-4.1922483974792257E-3</v>
      </c>
      <c r="F1354" s="5">
        <f>prices!F1355/prices!F1354-1</f>
        <v>-1.6413840573955563E-3</v>
      </c>
      <c r="G1354" s="5">
        <f>prices!G1355/prices!G1354-1</f>
        <v>-1.1897337125632457E-2</v>
      </c>
      <c r="H1354" s="5">
        <f>prices!H1355/prices!H1354-1</f>
        <v>3.0325084910238775E-3</v>
      </c>
      <c r="I1354" s="5">
        <f>prices!I1355/prices!I1354-1</f>
        <v>-4.47202127355395E-3</v>
      </c>
      <c r="J1354" s="5">
        <f>prices!J1355/prices!J1354-1</f>
        <v>-1.4098858366778932E-3</v>
      </c>
      <c r="K1354" s="8">
        <f>SUMPRODUCT(B1354:I1354,weights!$B$5:$I$5)</f>
        <v>-1.5402883566447787E-3</v>
      </c>
      <c r="L1354" s="4">
        <f t="shared" si="42"/>
        <v>277.3248971734547</v>
      </c>
      <c r="M1354" s="4">
        <f>L1354/MAX(L$2:L1354)-1</f>
        <v>-8.0931549423125526E-3</v>
      </c>
      <c r="N1354" s="4">
        <f t="shared" si="41"/>
        <v>3.2092300774422045E-2</v>
      </c>
    </row>
    <row r="1355" spans="1:14">
      <c r="A1355" s="3">
        <f>prices!A1356</f>
        <v>45474</v>
      </c>
      <c r="B1355" s="5">
        <f>prices!B1356/prices!B1355-1</f>
        <v>-3.3554226604169957E-3</v>
      </c>
      <c r="C1355" s="5">
        <f>prices!C1356/prices!C1355-1</f>
        <v>1.8964902633200609E-2</v>
      </c>
      <c r="D1355" s="5">
        <f>prices!D1356/prices!D1355-1</f>
        <v>1.2702530716138805E-2</v>
      </c>
      <c r="E1355" s="5">
        <f>prices!E1356/prices!E1355-1</f>
        <v>1.5345754793850697E-2</v>
      </c>
      <c r="F1355" s="5">
        <f>prices!F1356/prices!F1355-1</f>
        <v>9.7584259234706483E-3</v>
      </c>
      <c r="G1355" s="5">
        <f>prices!G1356/prices!G1355-1</f>
        <v>6.2151324815824527E-3</v>
      </c>
      <c r="H1355" s="5">
        <f>prices!H1356/prices!H1355-1</f>
        <v>-4.9045296354521817E-4</v>
      </c>
      <c r="I1355" s="5">
        <f>prices!I1356/prices!I1355-1</f>
        <v>-6.1723430777271826E-3</v>
      </c>
      <c r="J1355" s="5">
        <f>prices!J1356/prices!J1355-1</f>
        <v>5.4705005289330533E-3</v>
      </c>
      <c r="K1355" s="8">
        <f>SUMPRODUCT(B1355:I1355,weights!$B$5:$I$5)</f>
        <v>4.2170528336106135E-3</v>
      </c>
      <c r="L1355" s="4">
        <f t="shared" si="42"/>
        <v>278.49439091691079</v>
      </c>
      <c r="M1355" s="4">
        <f>L1355/MAX(L$2:L1355)-1</f>
        <v>-3.9102313706842473E-3</v>
      </c>
      <c r="N1355" s="4">
        <f t="shared" si="41"/>
        <v>3.6828992404635219E-2</v>
      </c>
    </row>
    <row r="1356" spans="1:14">
      <c r="A1356" s="3">
        <f>prices!A1357</f>
        <v>45475</v>
      </c>
      <c r="B1356" s="5">
        <f>prices!B1357/prices!B1356-1</f>
        <v>3.2240068502036312E-3</v>
      </c>
      <c r="C1356" s="5">
        <f>prices!C1357/prices!C1356-1</f>
        <v>9.8551290604271813E-3</v>
      </c>
      <c r="D1356" s="5">
        <f>prices!D1357/prices!D1356-1</f>
        <v>1.4899581893322411E-2</v>
      </c>
      <c r="E1356" s="5">
        <f>prices!E1357/prices!E1356-1</f>
        <v>1.9019340341866586E-2</v>
      </c>
      <c r="F1356" s="5">
        <f>prices!F1357/prices!F1356-1</f>
        <v>-8.2722760576696697E-3</v>
      </c>
      <c r="G1356" s="5">
        <f>prices!G1357/prices!G1356-1</f>
        <v>-5.45412297821668E-3</v>
      </c>
      <c r="H1356" s="5">
        <f>prices!H1357/prices!H1356-1</f>
        <v>2.5946265687071257E-3</v>
      </c>
      <c r="I1356" s="5">
        <f>prices!I1357/prices!I1356-1</f>
        <v>2.8342538083388824E-2</v>
      </c>
      <c r="J1356" s="5">
        <f>prices!J1357/prices!J1356-1</f>
        <v>-7.4973231242725369E-4</v>
      </c>
      <c r="K1356" s="8">
        <f>SUMPRODUCT(B1356:I1356,weights!$B$5:$I$5)</f>
        <v>8.218156818784926E-3</v>
      </c>
      <c r="L1356" s="4">
        <f t="shared" si="42"/>
        <v>280.78310149461794</v>
      </c>
      <c r="M1356" s="4">
        <f>L1356/MAX(L$2:L1356)-1</f>
        <v>0</v>
      </c>
      <c r="N1356" s="4">
        <f t="shared" si="41"/>
        <v>2.1553836244397884E-2</v>
      </c>
    </row>
    <row r="1357" spans="1:14">
      <c r="A1357" s="3">
        <f>prices!A1358</f>
        <v>45476</v>
      </c>
      <c r="B1357" s="5">
        <f>prices!B1358/prices!B1357-1</f>
        <v>-8.1472716339158202E-3</v>
      </c>
      <c r="C1357" s="5">
        <f>prices!C1358/prices!C1357-1</f>
        <v>-1.2981502567297576E-2</v>
      </c>
      <c r="D1357" s="5">
        <f>prices!D1358/prices!D1357-1</f>
        <v>2.1979592079726773E-2</v>
      </c>
      <c r="E1357" s="5">
        <f>prices!E1358/prices!E1357-1</f>
        <v>3.9179398330446702E-3</v>
      </c>
      <c r="F1357" s="5">
        <f>prices!F1358/prices!F1357-1</f>
        <v>6.5671009426968574E-3</v>
      </c>
      <c r="G1357" s="5">
        <f>prices!G1358/prices!G1357-1</f>
        <v>6.7300936342249429E-3</v>
      </c>
      <c r="H1357" s="5">
        <f>prices!H1358/prices!H1357-1</f>
        <v>6.4965974992456932E-3</v>
      </c>
      <c r="I1357" s="5">
        <f>prices!I1358/prices!I1357-1</f>
        <v>-3.3527811502315208E-3</v>
      </c>
      <c r="J1357" s="5">
        <f>prices!J1358/prices!J1357-1</f>
        <v>6.7422903060665451E-3</v>
      </c>
      <c r="K1357" s="8">
        <f>SUMPRODUCT(B1357:I1357,weights!$B$5:$I$5)</f>
        <v>1.9663715943302957E-3</v>
      </c>
      <c r="L1357" s="4">
        <f t="shared" si="42"/>
        <v>281.33522540956494</v>
      </c>
      <c r="M1357" s="4">
        <f>L1357/MAX(L$2:L1357)-1</f>
        <v>0</v>
      </c>
      <c r="N1357" s="4">
        <f t="shared" si="41"/>
        <v>7.4829136122424256E-2</v>
      </c>
    </row>
    <row r="1358" spans="1:14">
      <c r="A1358" s="3">
        <f>prices!A1359</f>
        <v>45477</v>
      </c>
      <c r="B1358" s="5">
        <f>prices!B1359/prices!B1358-1</f>
        <v>1.0300339650439749E-3</v>
      </c>
      <c r="C1358" s="5">
        <f>prices!C1359/prices!C1358-1</f>
        <v>1.4047374177645011E-2</v>
      </c>
      <c r="D1358" s="5">
        <f>prices!D1359/prices!D1358-1</f>
        <v>-2.3464168792888485E-2</v>
      </c>
      <c r="E1358" s="5">
        <f>prices!E1359/prices!E1358-1</f>
        <v>1.4283566380995261E-2</v>
      </c>
      <c r="F1358" s="5">
        <f>prices!F1359/prices!F1358-1</f>
        <v>1.7626012838052318E-3</v>
      </c>
      <c r="G1358" s="5">
        <f>prices!G1359/prices!G1358-1</f>
        <v>-2.8086950534152999E-3</v>
      </c>
      <c r="H1358" s="5">
        <f>prices!H1359/prices!H1358-1</f>
        <v>1.5613759292318452E-2</v>
      </c>
      <c r="I1358" s="5">
        <f>prices!I1359/prices!I1358-1</f>
        <v>-1.1355465258254371E-2</v>
      </c>
      <c r="J1358" s="5">
        <f>prices!J1359/prices!J1358-1</f>
        <v>6.4439091676460336E-4</v>
      </c>
      <c r="K1358" s="8">
        <f>SUMPRODUCT(B1358:I1358,weights!$B$5:$I$5)</f>
        <v>5.4990242343908469E-4</v>
      </c>
      <c r="L1358" s="4">
        <f t="shared" si="42"/>
        <v>281.48993233181642</v>
      </c>
      <c r="M1358" s="4">
        <f>L1358/MAX(L$2:L1358)-1</f>
        <v>0</v>
      </c>
      <c r="N1358" s="4">
        <f t="shared" si="41"/>
        <v>5.1047036619936259E-2</v>
      </c>
    </row>
    <row r="1359" spans="1:14">
      <c r="A1359" s="3">
        <f>prices!A1360</f>
        <v>45478</v>
      </c>
      <c r="B1359" s="5">
        <f>prices!B1360/prices!B1359-1</f>
        <v>2.2266217738731831E-2</v>
      </c>
      <c r="C1359" s="5">
        <f>prices!C1360/prices!C1359-1</f>
        <v>-2.2752579117533145E-3</v>
      </c>
      <c r="D1359" s="5">
        <f>prices!D1360/prices!D1359-1</f>
        <v>-4.5765279948460358E-2</v>
      </c>
      <c r="E1359" s="5">
        <f>prices!E1360/prices!E1359-1</f>
        <v>-1.939957978318918E-3</v>
      </c>
      <c r="F1359" s="5">
        <f>prices!F1360/prices!F1359-1</f>
        <v>1.0714567084219695E-2</v>
      </c>
      <c r="G1359" s="5">
        <f>prices!G1360/prices!G1359-1</f>
        <v>1.1951821032989418E-3</v>
      </c>
      <c r="H1359" s="5">
        <f>prices!H1360/prices!H1359-1</f>
        <v>6.7423984049110874E-3</v>
      </c>
      <c r="I1359" s="5">
        <f>prices!I1360/prices!I1359-1</f>
        <v>1.5068282164493185E-2</v>
      </c>
      <c r="J1359" s="5">
        <f>prices!J1360/prices!J1359-1</f>
        <v>8.9292511156413568E-4</v>
      </c>
      <c r="K1359" s="8">
        <f>SUMPRODUCT(B1359:I1359,weights!$B$5:$I$5)</f>
        <v>4.1808849189349144E-3</v>
      </c>
      <c r="L1359" s="4">
        <f t="shared" si="42"/>
        <v>282.66680934473453</v>
      </c>
      <c r="M1359" s="4">
        <f>L1359/MAX(L$2:L1359)-1</f>
        <v>0</v>
      </c>
      <c r="N1359" s="4">
        <f t="shared" si="41"/>
        <v>4.2687827767613928E-2</v>
      </c>
    </row>
    <row r="1360" spans="1:14">
      <c r="A1360" s="3">
        <f>prices!A1361</f>
        <v>45481</v>
      </c>
      <c r="B1360" s="5">
        <f>prices!B1361/prices!B1360-1</f>
        <v>7.7212206154042562E-3</v>
      </c>
      <c r="C1360" s="5">
        <f>prices!C1361/prices!C1360-1</f>
        <v>-4.6361907937729763E-3</v>
      </c>
      <c r="D1360" s="5">
        <f>prices!D1361/prices!D1360-1</f>
        <v>-7.7391445682207793E-3</v>
      </c>
      <c r="E1360" s="5">
        <f>prices!E1361/prices!E1360-1</f>
        <v>8.6208566613070747E-3</v>
      </c>
      <c r="F1360" s="5">
        <f>prices!F1361/prices!F1360-1</f>
        <v>2.2942811858549517E-2</v>
      </c>
      <c r="G1360" s="5">
        <f>prices!G1361/prices!G1360-1</f>
        <v>-6.6465436865924543E-3</v>
      </c>
      <c r="H1360" s="5">
        <f>prices!H1361/prices!H1360-1</f>
        <v>-7.6549226038463702E-3</v>
      </c>
      <c r="I1360" s="5">
        <f>prices!I1361/prices!I1360-1</f>
        <v>1.3375031962392647E-3</v>
      </c>
      <c r="J1360" s="5">
        <f>prices!J1361/prices!J1360-1</f>
        <v>-1.3566931221820067E-4</v>
      </c>
      <c r="K1360" s="8">
        <f>SUMPRODUCT(B1360:I1360,weights!$B$5:$I$5)</f>
        <v>4.664278168339425E-4</v>
      </c>
      <c r="L1360" s="4">
        <f t="shared" si="42"/>
        <v>282.79865300750862</v>
      </c>
      <c r="M1360" s="4">
        <f>L1360/MAX(L$2:L1360)-1</f>
        <v>0</v>
      </c>
      <c r="N1360" s="4">
        <f t="shared" si="41"/>
        <v>2.4528537470329903E-2</v>
      </c>
    </row>
    <row r="1361" spans="1:14">
      <c r="A1361" s="3">
        <f>prices!A1362</f>
        <v>45482</v>
      </c>
      <c r="B1361" s="5">
        <f>prices!B1362/prices!B1361-1</f>
        <v>-6.6316015728717925E-3</v>
      </c>
      <c r="C1361" s="5">
        <f>prices!C1362/prices!C1361-1</f>
        <v>-1.9290363193770199E-3</v>
      </c>
      <c r="D1361" s="5">
        <f>prices!D1362/prices!D1361-1</f>
        <v>7.056095962905129E-4</v>
      </c>
      <c r="E1361" s="5">
        <f>prices!E1362/prices!E1361-1</f>
        <v>-2.7082052858020678E-3</v>
      </c>
      <c r="F1361" s="5">
        <f>prices!F1362/prices!F1361-1</f>
        <v>2.029464058928121E-2</v>
      </c>
      <c r="G1361" s="5">
        <f>prices!G1362/prices!G1361-1</f>
        <v>6.6876728790997042E-2</v>
      </c>
      <c r="H1361" s="5">
        <f>prices!H1362/prices!H1361-1</f>
        <v>1.8638270494547582E-2</v>
      </c>
      <c r="I1361" s="5">
        <f>prices!I1362/prices!I1361-1</f>
        <v>9.3893024808973102E-3</v>
      </c>
      <c r="J1361" s="5">
        <f>prices!J1362/prices!J1361-1</f>
        <v>4.6318853808815508E-3</v>
      </c>
      <c r="K1361" s="8">
        <f>SUMPRODUCT(B1361:I1361,weights!$B$5:$I$5)</f>
        <v>1.8166676171333877E-2</v>
      </c>
      <c r="L1361" s="4">
        <f t="shared" si="42"/>
        <v>287.93616455838549</v>
      </c>
      <c r="M1361" s="4">
        <f>L1361/MAX(L$2:L1361)-1</f>
        <v>0</v>
      </c>
      <c r="N1361" s="4">
        <f t="shared" si="41"/>
        <v>4.7012903822679641E-2</v>
      </c>
    </row>
    <row r="1362" spans="1:14">
      <c r="A1362" s="3">
        <f>prices!A1363</f>
        <v>45483</v>
      </c>
      <c r="B1362" s="5">
        <f>prices!B1363/prices!B1362-1</f>
        <v>-3.8056932662139387E-3</v>
      </c>
      <c r="C1362" s="5">
        <f>prices!C1363/prices!C1362-1</f>
        <v>-1.9157108865542893E-2</v>
      </c>
      <c r="D1362" s="5">
        <f>prices!D1363/prices!D1362-1</f>
        <v>-6.3585998489046336E-3</v>
      </c>
      <c r="E1362" s="5">
        <f>prices!E1363/prices!E1362-1</f>
        <v>-5.3733412938390401E-3</v>
      </c>
      <c r="F1362" s="5">
        <f>prices!F1363/prices!F1362-1</f>
        <v>-2.5392715775847119E-3</v>
      </c>
      <c r="G1362" s="5">
        <f>prices!G1363/prices!G1362-1</f>
        <v>-4.2798836630083548E-3</v>
      </c>
      <c r="H1362" s="5">
        <f>prices!H1363/prices!H1362-1</f>
        <v>8.2882186130446289E-3</v>
      </c>
      <c r="I1362" s="5">
        <f>prices!I1363/prices!I1362-1</f>
        <v>-4.3785393192831146E-3</v>
      </c>
      <c r="J1362" s="5">
        <f>prices!J1363/prices!J1362-1</f>
        <v>-4.4509110554491471E-3</v>
      </c>
      <c r="K1362" s="8">
        <f>SUMPRODUCT(B1362:I1362,weights!$B$5:$I$5)</f>
        <v>-3.7509938565468241E-3</v>
      </c>
      <c r="L1362" s="4">
        <f t="shared" si="42"/>
        <v>286.85611777404932</v>
      </c>
      <c r="M1362" s="4">
        <f>L1362/MAX(L$2:L1362)-1</f>
        <v>-3.7509938565468692E-3</v>
      </c>
      <c r="N1362" s="4">
        <f t="shared" si="41"/>
        <v>4.1289228352882068E-2</v>
      </c>
    </row>
    <row r="1363" spans="1:14">
      <c r="A1363" s="3">
        <f>prices!A1364</f>
        <v>45484</v>
      </c>
      <c r="B1363" s="5">
        <f>prices!B1364/prices!B1363-1</f>
        <v>-2.2550867218193993E-3</v>
      </c>
      <c r="C1363" s="5">
        <f>prices!C1364/prices!C1363-1</f>
        <v>3.7230020257104091E-3</v>
      </c>
      <c r="D1363" s="5">
        <f>prices!D1364/prices!D1363-1</f>
        <v>-2.5723880124184362E-3</v>
      </c>
      <c r="E1363" s="5">
        <f>prices!E1364/prices!E1363-1</f>
        <v>2.7044122582811081E-3</v>
      </c>
      <c r="F1363" s="5">
        <f>prices!F1364/prices!F1363-1</f>
        <v>1.5948286619911656E-2</v>
      </c>
      <c r="G1363" s="5">
        <f>prices!G1364/prices!G1363-1</f>
        <v>-4.5088769523605743E-3</v>
      </c>
      <c r="H1363" s="5">
        <f>prices!H1364/prices!H1363-1</f>
        <v>-1.0508418240159578E-2</v>
      </c>
      <c r="I1363" s="5">
        <f>prices!I1364/prices!I1363-1</f>
        <v>-7.9299926843025004E-3</v>
      </c>
      <c r="J1363" s="5">
        <f>prices!J1364/prices!J1363-1</f>
        <v>-3.4944263899083783E-4</v>
      </c>
      <c r="K1363" s="8">
        <f>SUMPRODUCT(B1363:I1363,weights!$B$5:$I$5)</f>
        <v>-2.6123056624981133E-3</v>
      </c>
      <c r="L1363" s="4">
        <f t="shared" si="42"/>
        <v>286.10676191326593</v>
      </c>
      <c r="M1363" s="4">
        <f>L1363/MAX(L$2:L1363)-1</f>
        <v>-6.3535007765536111E-3</v>
      </c>
      <c r="N1363" s="4">
        <f t="shared" si="41"/>
        <v>3.6440767244741767E-2</v>
      </c>
    </row>
    <row r="1364" spans="1:14">
      <c r="A1364" s="3">
        <f>prices!A1365</f>
        <v>45485</v>
      </c>
      <c r="B1364" s="5">
        <f>prices!B1365/prices!B1364-1</f>
        <v>1.0167624950378373E-2</v>
      </c>
      <c r="C1364" s="5">
        <f>prices!C1365/prices!C1364-1</f>
        <v>6.6328284175302565E-2</v>
      </c>
      <c r="D1364" s="5">
        <f>prices!D1365/prices!D1364-1</f>
        <v>4.8277263949580984E-4</v>
      </c>
      <c r="E1364" s="5">
        <f>prices!E1365/prices!E1364-1</f>
        <v>3.5725550527515137E-2</v>
      </c>
      <c r="F1364" s="5">
        <f>prices!F1365/prices!F1364-1</f>
        <v>8.5982410455476277E-4</v>
      </c>
      <c r="G1364" s="5">
        <f>prices!G1365/prices!G1364-1</f>
        <v>-1.2009775115603305E-2</v>
      </c>
      <c r="H1364" s="5">
        <f>prices!H1365/prices!H1364-1</f>
        <v>3.4883270241992115E-4</v>
      </c>
      <c r="I1364" s="5">
        <f>prices!I1365/prices!I1364-1</f>
        <v>7.8019893384069228E-3</v>
      </c>
      <c r="J1364" s="5">
        <f>prices!J1365/prices!J1364-1</f>
        <v>7.6575252046495734E-3</v>
      </c>
      <c r="K1364" s="8">
        <f>SUMPRODUCT(B1364:I1364,weights!$B$5:$I$5)</f>
        <v>9.5078384820966085E-3</v>
      </c>
      <c r="L1364" s="4">
        <f t="shared" si="42"/>
        <v>288.82701879417294</v>
      </c>
      <c r="M1364" s="4">
        <f>L1364/MAX(L$2:L1364)-1</f>
        <v>0</v>
      </c>
      <c r="N1364" s="4">
        <f t="shared" si="41"/>
        <v>4.0057669063125356E-2</v>
      </c>
    </row>
    <row r="1365" spans="1:14">
      <c r="A1365" s="3">
        <f>prices!A1366</f>
        <v>45488</v>
      </c>
      <c r="B1365" s="5">
        <f>prices!B1366/prices!B1365-1</f>
        <v>3.1057869049888609E-4</v>
      </c>
      <c r="C1365" s="5">
        <f>prices!C1366/prices!C1365-1</f>
        <v>-3.5274641967540932E-3</v>
      </c>
      <c r="D1365" s="5">
        <f>prices!D1366/prices!D1365-1</f>
        <v>-3.6825396825390655E-4</v>
      </c>
      <c r="E1365" s="5">
        <f>prices!E1366/prices!E1365-1</f>
        <v>-2.7408157811324996E-3</v>
      </c>
      <c r="F1365" s="5">
        <f>prices!F1366/prices!F1365-1</f>
        <v>9.4990304607152076E-3</v>
      </c>
      <c r="G1365" s="5">
        <f>prices!G1366/prices!G1365-1</f>
        <v>6.4835658874025093E-3</v>
      </c>
      <c r="H1365" s="5">
        <f>prices!H1366/prices!H1365-1</f>
        <v>5.6439530919047964E-3</v>
      </c>
      <c r="I1365" s="5">
        <f>prices!I1366/prices!I1365-1</f>
        <v>6.1441186820321292E-4</v>
      </c>
      <c r="J1365" s="5">
        <f>prices!J1366/prices!J1365-1</f>
        <v>3.4507175900890807E-3</v>
      </c>
      <c r="K1365" s="8">
        <f>SUMPRODUCT(B1365:I1365,weights!$B$5:$I$5)</f>
        <v>2.4970218742274022E-3</v>
      </c>
      <c r="L1365" s="4">
        <f t="shared" si="42"/>
        <v>289.54822617796992</v>
      </c>
      <c r="M1365" s="4">
        <f>L1365/MAX(L$2:L1365)-1</f>
        <v>0</v>
      </c>
      <c r="N1365" s="4">
        <f t="shared" si="41"/>
        <v>4.2330219768889954E-2</v>
      </c>
    </row>
    <row r="1366" spans="1:14">
      <c r="A1366" s="3">
        <f>prices!A1367</f>
        <v>45489</v>
      </c>
      <c r="B1366" s="5">
        <f>prices!B1367/prices!B1366-1</f>
        <v>-1.312896419315801E-2</v>
      </c>
      <c r="C1366" s="5">
        <f>prices!C1367/prices!C1366-1</f>
        <v>2.220232581007453E-3</v>
      </c>
      <c r="D1366" s="5">
        <f>prices!D1367/prices!D1366-1</f>
        <v>-1.4481523354632486E-3</v>
      </c>
      <c r="E1366" s="5">
        <f>prices!E1367/prices!E1366-1</f>
        <v>1.1124267730275639E-2</v>
      </c>
      <c r="F1366" s="5">
        <f>prices!F1367/prices!F1366-1</f>
        <v>4.6197237891461018E-3</v>
      </c>
      <c r="G1366" s="5">
        <f>prices!G1367/prices!G1366-1</f>
        <v>-3.4805119857572731E-4</v>
      </c>
      <c r="H1366" s="5">
        <f>prices!H1367/prices!H1366-1</f>
        <v>-4.3472677069286147E-3</v>
      </c>
      <c r="I1366" s="5">
        <f>prices!I1367/prices!I1366-1</f>
        <v>-4.1196139397018383E-3</v>
      </c>
      <c r="J1366" s="5">
        <f>prices!J1367/prices!J1366-1</f>
        <v>1.0696840161550369E-3</v>
      </c>
      <c r="K1366" s="8">
        <f>SUMPRODUCT(B1366:I1366,weights!$B$5:$I$5)</f>
        <v>-1.7896114568600303E-3</v>
      </c>
      <c r="L1366" s="4">
        <f t="shared" si="42"/>
        <v>289.0300473550883</v>
      </c>
      <c r="M1366" s="4">
        <f>L1366/MAX(L$2:L1366)-1</f>
        <v>-1.7896114568601851E-3</v>
      </c>
      <c r="N1366" s="4">
        <f t="shared" si="41"/>
        <v>4.3857996130653776E-2</v>
      </c>
    </row>
    <row r="1367" spans="1:14">
      <c r="A1367" s="3">
        <f>prices!A1368</f>
        <v>45491</v>
      </c>
      <c r="B1367" s="5">
        <f>prices!B1368/prices!B1367-1</f>
        <v>6.6132895015633686E-3</v>
      </c>
      <c r="C1367" s="5">
        <f>prices!C1368/prices!C1367-1</f>
        <v>3.2811434945159368E-2</v>
      </c>
      <c r="D1367" s="5">
        <f>prices!D1368/prices!D1367-1</f>
        <v>-3.0531632042949397E-3</v>
      </c>
      <c r="E1367" s="5">
        <f>prices!E1368/prices!E1367-1</f>
        <v>1.8539862553545561E-2</v>
      </c>
      <c r="F1367" s="5">
        <f>prices!F1368/prices!F1367-1</f>
        <v>1.0092453652161382E-2</v>
      </c>
      <c r="G1367" s="5">
        <f>prices!G1368/prices!G1367-1</f>
        <v>3.5632630030546508E-4</v>
      </c>
      <c r="H1367" s="5">
        <f>prices!H1368/prices!H1367-1</f>
        <v>9.461280981341913E-3</v>
      </c>
      <c r="I1367" s="5">
        <f>prices!I1368/prices!I1367-1</f>
        <v>5.4034360023542671E-3</v>
      </c>
      <c r="J1367" s="5">
        <f>prices!J1368/prices!J1367-1</f>
        <v>7.6321456141064115E-3</v>
      </c>
      <c r="K1367" s="8">
        <f>SUMPRODUCT(B1367:I1367,weights!$B$5:$I$5)</f>
        <v>8.4712077227106931E-3</v>
      </c>
      <c r="L1367" s="4">
        <f t="shared" si="42"/>
        <v>291.47848092433816</v>
      </c>
      <c r="M1367" s="4">
        <f>L1367/MAX(L$2:L1367)-1</f>
        <v>0</v>
      </c>
      <c r="N1367" s="4">
        <f t="shared" ref="N1367:N1430" si="43">L1367/L1347-1</f>
        <v>6.5573957394090776E-2</v>
      </c>
    </row>
    <row r="1368" spans="1:14">
      <c r="A1368" s="3">
        <f>prices!A1369</f>
        <v>45492</v>
      </c>
      <c r="B1368" s="5">
        <f>prices!B1369/prices!B1368-1</f>
        <v>-1.9868985884409107E-2</v>
      </c>
      <c r="C1368" s="5">
        <f>prices!C1369/prices!C1368-1</f>
        <v>-7.3247802565923337E-4</v>
      </c>
      <c r="D1368" s="5">
        <f>prices!D1369/prices!D1368-1</f>
        <v>-4.6448122296374184E-3</v>
      </c>
      <c r="E1368" s="5">
        <f>prices!E1369/prices!E1368-1</f>
        <v>1.9854405063750802E-2</v>
      </c>
      <c r="F1368" s="5">
        <f>prices!F1369/prices!F1368-1</f>
        <v>9.152989097879427E-3</v>
      </c>
      <c r="G1368" s="5">
        <f>prices!G1369/prices!G1368-1</f>
        <v>-9.4706649027869183E-3</v>
      </c>
      <c r="H1368" s="5">
        <f>prices!H1369/prices!H1368-1</f>
        <v>-1.6055456171735316E-2</v>
      </c>
      <c r="I1368" s="5">
        <f>prices!I1369/prices!I1368-1</f>
        <v>-1.0311146296182794E-2</v>
      </c>
      <c r="J1368" s="5">
        <f>prices!J1369/prices!J1368-1</f>
        <v>-1.0884707580586794E-2</v>
      </c>
      <c r="K1368" s="8">
        <f>SUMPRODUCT(B1368:I1368,weights!$B$5:$I$5)</f>
        <v>-6.7842530491194547E-3</v>
      </c>
      <c r="L1368" s="4">
        <f t="shared" si="42"/>
        <v>289.50101715137453</v>
      </c>
      <c r="M1368" s="4">
        <f>L1368/MAX(L$2:L1368)-1</f>
        <v>-6.7842530491194486E-3</v>
      </c>
      <c r="N1368" s="4">
        <f t="shared" si="43"/>
        <v>5.9753403665232074E-2</v>
      </c>
    </row>
    <row r="1369" spans="1:14">
      <c r="A1369" s="3">
        <f>prices!A1370</f>
        <v>45495</v>
      </c>
      <c r="B1369" s="5">
        <f>prices!B1370/prices!B1369-1</f>
        <v>-3.5031432624851866E-2</v>
      </c>
      <c r="C1369" s="5">
        <f>prices!C1370/prices!C1369-1</f>
        <v>-3.4974569635168873E-3</v>
      </c>
      <c r="D1369" s="5">
        <f>prices!D1370/prices!D1369-1</f>
        <v>2.1935053779982949E-2</v>
      </c>
      <c r="E1369" s="5">
        <f>prices!E1370/prices!E1369-1</f>
        <v>9.9861155612517294E-3</v>
      </c>
      <c r="F1369" s="5">
        <f>prices!F1370/prices!F1369-1</f>
        <v>-1.6857800888002483E-2</v>
      </c>
      <c r="G1369" s="5">
        <f>prices!G1370/prices!G1369-1</f>
        <v>9.3373885594567607E-3</v>
      </c>
      <c r="H1369" s="5">
        <f>prices!H1370/prices!H1369-1</f>
        <v>1.192153603407653E-2</v>
      </c>
      <c r="I1369" s="5">
        <f>prices!I1370/prices!I1369-1</f>
        <v>9.1060418714563607E-3</v>
      </c>
      <c r="J1369" s="5">
        <f>prices!J1370/prices!J1369-1</f>
        <v>-8.8256036264466875E-4</v>
      </c>
      <c r="K1369" s="8">
        <f>SUMPRODUCT(B1369:I1369,weights!$B$5:$I$5)</f>
        <v>1.7086275782530263E-3</v>
      </c>
      <c r="L1369" s="4">
        <f t="shared" si="42"/>
        <v>289.99566657321162</v>
      </c>
      <c r="M1369" s="4">
        <f>L1369/MAX(L$2:L1369)-1</f>
        <v>-5.087217232724095E-3</v>
      </c>
      <c r="N1369" s="4">
        <f t="shared" si="43"/>
        <v>6.5693418916172197E-2</v>
      </c>
    </row>
    <row r="1370" spans="1:14">
      <c r="A1370" s="3">
        <f>prices!A1371</f>
        <v>45496</v>
      </c>
      <c r="B1370" s="5">
        <f>prices!B1371/prices!B1370-1</f>
        <v>-8.5109826745526362E-3</v>
      </c>
      <c r="C1370" s="5">
        <f>prices!C1371/prices!C1370-1</f>
        <v>3.4971794105758125E-3</v>
      </c>
      <c r="D1370" s="5">
        <f>prices!D1371/prices!D1370-1</f>
        <v>-1.470256165792716E-2</v>
      </c>
      <c r="E1370" s="5">
        <f>prices!E1371/prices!E1370-1</f>
        <v>1.4381642256648952E-2</v>
      </c>
      <c r="F1370" s="5">
        <f>prices!F1371/prices!F1370-1</f>
        <v>5.4990702055208063E-2</v>
      </c>
      <c r="G1370" s="5">
        <f>prices!G1371/prices!G1370-1</f>
        <v>-9.6529424761271354E-4</v>
      </c>
      <c r="H1370" s="5">
        <f>prices!H1371/prices!H1370-1</f>
        <v>8.9769832459589693E-3</v>
      </c>
      <c r="I1370" s="5">
        <f>prices!I1371/prices!I1370-1</f>
        <v>-3.1057408896034255E-2</v>
      </c>
      <c r="J1370" s="5">
        <f>prices!J1371/prices!J1370-1</f>
        <v>-1.2321878474453873E-3</v>
      </c>
      <c r="K1370" s="8">
        <f>SUMPRODUCT(B1370:I1370,weights!$B$5:$I$5)</f>
        <v>-1.004139787992098E-3</v>
      </c>
      <c r="L1370" s="4">
        <f t="shared" si="42"/>
        <v>289.70447038606017</v>
      </c>
      <c r="M1370" s="4">
        <f>L1370/MAX(L$2:L1370)-1</f>
        <v>-6.0862487434826251E-3</v>
      </c>
      <c r="N1370" s="4">
        <f t="shared" si="43"/>
        <v>6.2416866725623743E-2</v>
      </c>
    </row>
    <row r="1371" spans="1:14">
      <c r="A1371" s="3">
        <f>prices!A1372</f>
        <v>45497</v>
      </c>
      <c r="B1371" s="5">
        <f>prices!B1372/prices!B1371-1</f>
        <v>5.2442914764958548E-3</v>
      </c>
      <c r="C1371" s="5">
        <f>prices!C1372/prices!C1371-1</f>
        <v>9.0814932676863691E-4</v>
      </c>
      <c r="D1371" s="5">
        <f>prices!D1372/prices!D1371-1</f>
        <v>-8.8742328945021764E-3</v>
      </c>
      <c r="E1371" s="5">
        <f>prices!E1372/prices!E1371-1</f>
        <v>-1.6042625894072682E-3</v>
      </c>
      <c r="F1371" s="5">
        <f>prices!F1372/prices!F1371-1</f>
        <v>3.7542349601686897E-3</v>
      </c>
      <c r="G1371" s="5">
        <f>prices!G1372/prices!G1371-1</f>
        <v>-1.1227491767893394E-2</v>
      </c>
      <c r="H1371" s="5">
        <f>prices!H1372/prices!H1371-1</f>
        <v>1.1142061281337101E-2</v>
      </c>
      <c r="I1371" s="5">
        <f>prices!I1372/prices!I1371-1</f>
        <v>-5.2571691944288679E-3</v>
      </c>
      <c r="J1371" s="5">
        <f>prices!J1372/prices!J1371-1</f>
        <v>-2.6777999963233379E-3</v>
      </c>
      <c r="K1371" s="8">
        <f>SUMPRODUCT(B1371:I1371,weights!$B$5:$I$5)</f>
        <v>-1.2720766380887023E-3</v>
      </c>
      <c r="L1371" s="4">
        <f t="shared" si="42"/>
        <v>289.33594409733217</v>
      </c>
      <c r="M1371" s="4">
        <f>L1371/MAX(L$2:L1371)-1</f>
        <v>-7.3505832067313204E-3</v>
      </c>
      <c r="N1371" s="4">
        <f t="shared" si="43"/>
        <v>5.3354524325449848E-2</v>
      </c>
    </row>
    <row r="1372" spans="1:14">
      <c r="A1372" s="3">
        <f>prices!A1373</f>
        <v>45498</v>
      </c>
      <c r="B1372" s="5">
        <f>prices!B1373/prices!B1372-1</f>
        <v>-2.205862451620022E-3</v>
      </c>
      <c r="C1372" s="5">
        <f>prices!C1373/prices!C1372-1</f>
        <v>3.7717739335179079E-3</v>
      </c>
      <c r="D1372" s="5">
        <f>prices!D1373/prices!D1372-1</f>
        <v>7.8232384867362725E-3</v>
      </c>
      <c r="E1372" s="5">
        <f>prices!E1373/prices!E1372-1</f>
        <v>-4.9655428452097805E-3</v>
      </c>
      <c r="F1372" s="5">
        <f>prices!F1373/prices!F1372-1</f>
        <v>-8.3014048531291351E-3</v>
      </c>
      <c r="G1372" s="5">
        <f>prices!G1373/prices!G1372-1</f>
        <v>1.7579667670000187E-3</v>
      </c>
      <c r="H1372" s="5">
        <f>prices!H1373/prices!H1372-1</f>
        <v>2.8623721649873479E-2</v>
      </c>
      <c r="I1372" s="5">
        <f>prices!I1373/prices!I1372-1</f>
        <v>2.8327348546276054E-2</v>
      </c>
      <c r="J1372" s="5">
        <f>prices!J1373/prices!J1372-1</f>
        <v>-3.0311098367707956E-4</v>
      </c>
      <c r="K1372" s="8">
        <f>SUMPRODUCT(B1372:I1372,weights!$B$5:$I$5)</f>
        <v>9.7562733189850044E-3</v>
      </c>
      <c r="L1372" s="4">
        <f t="shared" si="42"/>
        <v>292.15878464895235</v>
      </c>
      <c r="M1372" s="4">
        <f>L1372/MAX(L$2:L1372)-1</f>
        <v>0</v>
      </c>
      <c r="N1372" s="4">
        <f t="shared" si="43"/>
        <v>5.41339475256013E-2</v>
      </c>
    </row>
    <row r="1373" spans="1:14">
      <c r="A1373" s="3">
        <f>prices!A1374</f>
        <v>45499</v>
      </c>
      <c r="B1373" s="5">
        <f>prices!B1374/prices!B1373-1</f>
        <v>1.1135072086368103E-2</v>
      </c>
      <c r="C1373" s="5">
        <f>prices!C1374/prices!C1373-1</f>
        <v>1.5120049005692415E-2</v>
      </c>
      <c r="D1373" s="5">
        <f>prices!D1374/prices!D1373-1</f>
        <v>9.6872052412888543E-4</v>
      </c>
      <c r="E1373" s="5">
        <f>prices!E1374/prices!E1373-1</f>
        <v>2.962129515192502E-2</v>
      </c>
      <c r="F1373" s="5">
        <f>prices!F1374/prices!F1373-1</f>
        <v>2.4997700303559967E-2</v>
      </c>
      <c r="G1373" s="5">
        <f>prices!G1374/prices!G1373-1</f>
        <v>1.2350083253896749E-2</v>
      </c>
      <c r="H1373" s="5">
        <f>prices!H1374/prices!H1373-1</f>
        <v>2.9086795683145317E-2</v>
      </c>
      <c r="I1373" s="5">
        <f>prices!I1374/prices!I1373-1</f>
        <v>1.6786726067439917E-2</v>
      </c>
      <c r="J1373" s="5">
        <f>prices!J1374/prices!J1373-1</f>
        <v>1.7567329479105664E-2</v>
      </c>
      <c r="K1373" s="8">
        <f>SUMPRODUCT(B1373:I1373,weights!$B$5:$I$5)</f>
        <v>1.7512232765332029E-2</v>
      </c>
      <c r="L1373" s="4">
        <f t="shared" si="42"/>
        <v>297.27513729016135</v>
      </c>
      <c r="M1373" s="4">
        <f>L1373/MAX(L$2:L1373)-1</f>
        <v>0</v>
      </c>
      <c r="N1373" s="4">
        <f t="shared" si="43"/>
        <v>7.0287056382921875E-2</v>
      </c>
    </row>
    <row r="1374" spans="1:14">
      <c r="A1374" s="3">
        <f>prices!A1375</f>
        <v>45502</v>
      </c>
      <c r="B1374" s="5">
        <f>prices!B1375/prices!B1374-1</f>
        <v>7.3438673677432842E-3</v>
      </c>
      <c r="C1374" s="5">
        <f>prices!C1375/prices!C1374-1</f>
        <v>-1.5380539569933571E-3</v>
      </c>
      <c r="D1374" s="5">
        <f>prices!D1375/prices!D1374-1</f>
        <v>-8.0988157392077875E-3</v>
      </c>
      <c r="E1374" s="5">
        <f>prices!E1375/prices!E1374-1</f>
        <v>-4.1503173605568211E-3</v>
      </c>
      <c r="F1374" s="5">
        <f>prices!F1375/prices!F1374-1</f>
        <v>-1.2250117789594062E-2</v>
      </c>
      <c r="G1374" s="5">
        <f>prices!G1375/prices!G1374-1</f>
        <v>6.9371481680118308E-3</v>
      </c>
      <c r="H1374" s="5">
        <f>prices!H1375/prices!H1374-1</f>
        <v>5.2465211346270912E-3</v>
      </c>
      <c r="I1374" s="5">
        <f>prices!I1375/prices!I1374-1</f>
        <v>2.5829287409676382E-2</v>
      </c>
      <c r="J1374" s="5">
        <f>prices!J1375/prices!J1374-1</f>
        <v>5.0332496471794386E-5</v>
      </c>
      <c r="K1374" s="8">
        <f>SUMPRODUCT(B1374:I1374,weights!$B$5:$I$5)</f>
        <v>6.0494774647320811E-3</v>
      </c>
      <c r="L1374" s="4">
        <f t="shared" si="42"/>
        <v>299.07349653402332</v>
      </c>
      <c r="M1374" s="4">
        <f>L1374/MAX(L$2:L1374)-1</f>
        <v>0</v>
      </c>
      <c r="N1374" s="4">
        <f t="shared" si="43"/>
        <v>7.8422815918203659E-2</v>
      </c>
    </row>
    <row r="1375" spans="1:14">
      <c r="A1375" s="3">
        <f>prices!A1376</f>
        <v>45503</v>
      </c>
      <c r="B1375" s="5">
        <f>prices!B1376/prices!B1375-1</f>
        <v>-4.5739319169901815E-3</v>
      </c>
      <c r="C1375" s="5">
        <f>prices!C1376/prices!C1375-1</f>
        <v>-3.5967776410150698E-3</v>
      </c>
      <c r="D1375" s="5">
        <f>prices!D1376/prices!D1375-1</f>
        <v>6.534521272498317E-3</v>
      </c>
      <c r="E1375" s="5">
        <f>prices!E1376/prices!E1375-1</f>
        <v>3.2351603365932124E-3</v>
      </c>
      <c r="F1375" s="5">
        <f>prices!F1376/prices!F1375-1</f>
        <v>-1.240204429301528E-2</v>
      </c>
      <c r="G1375" s="5">
        <f>prices!G1376/prices!G1375-1</f>
        <v>9.575913441760342E-3</v>
      </c>
      <c r="H1375" s="5">
        <f>prices!H1376/prices!H1375-1</f>
        <v>-1.2560215149097109E-2</v>
      </c>
      <c r="I1375" s="5">
        <f>prices!I1376/prices!I1375-1</f>
        <v>2.5702707153829607E-3</v>
      </c>
      <c r="J1375" s="5">
        <f>prices!J1376/prices!J1375-1</f>
        <v>8.5359617653346653E-4</v>
      </c>
      <c r="K1375" s="8">
        <f>SUMPRODUCT(B1375:I1375,weights!$B$5:$I$5)</f>
        <v>-7.0164804008847749E-4</v>
      </c>
      <c r="L1375" s="4">
        <f t="shared" si="42"/>
        <v>298.86365220133786</v>
      </c>
      <c r="M1375" s="4">
        <f>L1375/MAX(L$2:L1375)-1</f>
        <v>-7.0164804008832071E-4</v>
      </c>
      <c r="N1375" s="4">
        <f t="shared" si="43"/>
        <v>7.314065183633911E-2</v>
      </c>
    </row>
    <row r="1376" spans="1:14">
      <c r="A1376" s="3">
        <f>prices!A1377</f>
        <v>45504</v>
      </c>
      <c r="B1376" s="5">
        <f>prices!B1377/prices!B1376-1</f>
        <v>-5.1032693027983633E-3</v>
      </c>
      <c r="C1376" s="5">
        <f>prices!C1377/prices!C1376-1</f>
        <v>4.5837062680149643E-3</v>
      </c>
      <c r="D1376" s="5">
        <f>prices!D1377/prices!D1376-1</f>
        <v>1.2754613981602603E-4</v>
      </c>
      <c r="E1376" s="5">
        <f>prices!E1377/prices!E1376-1</f>
        <v>-4.7435802979898245E-3</v>
      </c>
      <c r="F1376" s="5">
        <f>prices!F1377/prices!F1376-1</f>
        <v>1.1131810759217098E-2</v>
      </c>
      <c r="G1376" s="5">
        <f>prices!G1377/prices!G1376-1</f>
        <v>1.8809256764167337E-2</v>
      </c>
      <c r="H1376" s="5">
        <f>prices!H1377/prices!H1376-1</f>
        <v>1.0427391356399029E-2</v>
      </c>
      <c r="I1376" s="5">
        <f>prices!I1377/prices!I1376-1</f>
        <v>8.0195830786258249E-3</v>
      </c>
      <c r="J1376" s="5">
        <f>prices!J1377/prices!J1376-1</f>
        <v>3.7755508442189889E-3</v>
      </c>
      <c r="K1376" s="8">
        <f>SUMPRODUCT(B1376:I1376,weights!$B$5:$I$5)</f>
        <v>7.0996790352586461E-3</v>
      </c>
      <c r="L1376" s="4">
        <f t="shared" si="42"/>
        <v>300.98548820727251</v>
      </c>
      <c r="M1376" s="4">
        <f>L1376/MAX(L$2:L1376)-1</f>
        <v>0</v>
      </c>
      <c r="N1376" s="4">
        <f t="shared" si="43"/>
        <v>7.1950151576489318E-2</v>
      </c>
    </row>
    <row r="1377" spans="1:14">
      <c r="A1377" s="3">
        <f>prices!A1378</f>
        <v>45505</v>
      </c>
      <c r="B1377" s="5">
        <f>prices!B1378/prices!B1377-1</f>
        <v>6.5546659137203367E-3</v>
      </c>
      <c r="C1377" s="5">
        <f>prices!C1378/prices!C1377-1</f>
        <v>2.6777868864529264E-3</v>
      </c>
      <c r="D1377" s="5">
        <f>prices!D1378/prices!D1377-1</f>
        <v>1.4270592886383771E-2</v>
      </c>
      <c r="E1377" s="5">
        <f>prices!E1378/prices!E1377-1</f>
        <v>-8.3764207457348583E-3</v>
      </c>
      <c r="F1377" s="5">
        <f>prices!F1378/prices!F1377-1</f>
        <v>-3.3209744557922694E-3</v>
      </c>
      <c r="G1377" s="5">
        <f>prices!G1378/prices!G1377-1</f>
        <v>1.8546864956695552E-2</v>
      </c>
      <c r="H1377" s="5">
        <f>prices!H1378/prices!H1377-1</f>
        <v>-2.4111088731175734E-3</v>
      </c>
      <c r="I1377" s="5">
        <f>prices!I1378/prices!I1377-1</f>
        <v>-9.3583280570850302E-3</v>
      </c>
      <c r="J1377" s="5">
        <f>prices!J1378/prices!J1377-1</f>
        <v>2.3946792031630526E-3</v>
      </c>
      <c r="K1377" s="8">
        <f>SUMPRODUCT(B1377:I1377,weights!$B$5:$I$5)</f>
        <v>2.5406753322452453E-3</v>
      </c>
      <c r="L1377" s="4">
        <f t="shared" si="42"/>
        <v>301.75019461252452</v>
      </c>
      <c r="M1377" s="4">
        <f>L1377/MAX(L$2:L1377)-1</f>
        <v>0</v>
      </c>
      <c r="N1377" s="4">
        <f t="shared" si="43"/>
        <v>7.2564568383641559E-2</v>
      </c>
    </row>
    <row r="1378" spans="1:14">
      <c r="A1378" s="3">
        <f>prices!A1379</f>
        <v>45506</v>
      </c>
      <c r="B1378" s="5">
        <f>prices!B1379/prices!B1378-1</f>
        <v>-1.0539392482167176E-2</v>
      </c>
      <c r="C1378" s="5">
        <f>prices!C1379/prices!C1378-1</f>
        <v>-2.593772107403125E-2</v>
      </c>
      <c r="D1378" s="5">
        <f>prices!D1379/prices!D1378-1</f>
        <v>1.2410099079615655E-2</v>
      </c>
      <c r="E1378" s="5">
        <f>prices!E1379/prices!E1378-1</f>
        <v>-1.6951780453770215E-2</v>
      </c>
      <c r="F1378" s="5">
        <f>prices!F1379/prices!F1378-1</f>
        <v>-9.3342766506151476E-3</v>
      </c>
      <c r="G1378" s="5">
        <f>prices!G1379/prices!G1378-1</f>
        <v>-3.8359317922847747E-2</v>
      </c>
      <c r="H1378" s="5">
        <f>prices!H1379/prices!H1378-1</f>
        <v>9.5905460375900198E-3</v>
      </c>
      <c r="I1378" s="5">
        <f>prices!I1379/prices!I1378-1</f>
        <v>-3.0058034173282677E-2</v>
      </c>
      <c r="J1378" s="5">
        <f>prices!J1379/prices!J1378-1</f>
        <v>-1.1722888820474342E-2</v>
      </c>
      <c r="K1378" s="8">
        <f>SUMPRODUCT(B1378:I1378,weights!$B$5:$I$5)</f>
        <v>-1.684402800965587E-2</v>
      </c>
      <c r="L1378" s="4">
        <f t="shared" si="42"/>
        <v>296.66750588255206</v>
      </c>
      <c r="M1378" s="4">
        <f>L1378/MAX(L$2:L1378)-1</f>
        <v>-1.6844028009655787E-2</v>
      </c>
      <c r="N1378" s="4">
        <f t="shared" si="43"/>
        <v>5.3918708299821372E-2</v>
      </c>
    </row>
    <row r="1379" spans="1:14">
      <c r="A1379" s="3">
        <f>prices!A1380</f>
        <v>45509</v>
      </c>
      <c r="B1379" s="5">
        <f>prices!B1380/prices!B1379-1</f>
        <v>-3.4682002889041996E-2</v>
      </c>
      <c r="C1379" s="5">
        <f>prices!C1380/prices!C1379-1</f>
        <v>-2.9885328997464322E-2</v>
      </c>
      <c r="D1379" s="5">
        <f>prices!D1380/prices!D1379-1</f>
        <v>-2.6155317378506959E-2</v>
      </c>
      <c r="E1379" s="5">
        <f>prices!E1380/prices!E1379-1</f>
        <v>-3.8051510319004223E-2</v>
      </c>
      <c r="F1379" s="5">
        <f>prices!F1380/prices!F1379-1</f>
        <v>-6.3352377441946439E-3</v>
      </c>
      <c r="G1379" s="5">
        <f>prices!G1380/prices!G1379-1</f>
        <v>-4.1296595654214396E-2</v>
      </c>
      <c r="H1379" s="5">
        <f>prices!H1380/prices!H1379-1</f>
        <v>-6.5231456973118274E-3</v>
      </c>
      <c r="I1379" s="5">
        <f>prices!I1380/prices!I1379-1</f>
        <v>-3.7564990129841158E-2</v>
      </c>
      <c r="J1379" s="5">
        <f>prices!J1380/prices!J1379-1</f>
        <v>-2.6786472851438536E-2</v>
      </c>
      <c r="K1379" s="8">
        <f>SUMPRODUCT(B1379:I1379,weights!$B$5:$I$5)</f>
        <v>-2.9148837136929451E-2</v>
      </c>
      <c r="L1379" s="4">
        <f t="shared" si="42"/>
        <v>288.01999306976245</v>
      </c>
      <c r="M1379" s="4">
        <f>L1379/MAX(L$2:L1379)-1</f>
        <v>-4.5501881317402071E-2</v>
      </c>
      <c r="N1379" s="4">
        <f t="shared" si="43"/>
        <v>1.8938140411452808E-2</v>
      </c>
    </row>
    <row r="1380" spans="1:14">
      <c r="A1380" s="3">
        <f>prices!A1381</f>
        <v>45510</v>
      </c>
      <c r="B1380" s="5">
        <f>prices!B1381/prices!B1380-1</f>
        <v>6.0276348176326877E-3</v>
      </c>
      <c r="C1380" s="5">
        <f>prices!C1381/prices!C1380-1</f>
        <v>3.8883089094343681E-3</v>
      </c>
      <c r="D1380" s="5">
        <f>prices!D1381/prices!D1380-1</f>
        <v>-9.0036090954305203E-3</v>
      </c>
      <c r="E1380" s="5">
        <f>prices!E1381/prices!E1380-1</f>
        <v>-4.5544253833307291E-4</v>
      </c>
      <c r="F1380" s="5">
        <f>prices!F1381/prices!F1380-1</f>
        <v>6.2597083439608348E-4</v>
      </c>
      <c r="G1380" s="5">
        <f>prices!G1381/prices!G1380-1</f>
        <v>-5.7162271060126058E-3</v>
      </c>
      <c r="H1380" s="5">
        <f>prices!H1381/prices!H1380-1</f>
        <v>-7.4422294717023663E-3</v>
      </c>
      <c r="I1380" s="5">
        <f>prices!I1381/prices!I1380-1</f>
        <v>1.3661352153201189E-2</v>
      </c>
      <c r="J1380" s="5">
        <f>prices!J1381/prices!J1380-1</f>
        <v>-2.6210113237665755E-3</v>
      </c>
      <c r="K1380" s="8">
        <f>SUMPRODUCT(B1380:I1380,weights!$B$5:$I$5)</f>
        <v>9.1043863628655314E-4</v>
      </c>
      <c r="L1380" s="4">
        <f t="shared" si="42"/>
        <v>288.28221759947616</v>
      </c>
      <c r="M1380" s="4">
        <f>L1380/MAX(L$2:L1380)-1</f>
        <v>-4.4632869351890592E-2</v>
      </c>
      <c r="N1380" s="4">
        <f t="shared" si="43"/>
        <v>1.9390349047461397E-2</v>
      </c>
    </row>
    <row r="1381" spans="1:14">
      <c r="A1381" s="3">
        <f>prices!A1382</f>
        <v>45511</v>
      </c>
      <c r="B1381" s="5">
        <f>prices!B1382/prices!B1381-1</f>
        <v>6.0262737193297333E-3</v>
      </c>
      <c r="C1381" s="5">
        <f>prices!C1382/prices!C1381-1</f>
        <v>7.011070110700901E-3</v>
      </c>
      <c r="D1381" s="5">
        <f>prices!D1382/prices!D1381-1</f>
        <v>1.3924099501975373E-2</v>
      </c>
      <c r="E1381" s="5">
        <f>prices!E1382/prices!E1381-1</f>
        <v>2.315917375455645E-2</v>
      </c>
      <c r="F1381" s="5">
        <f>prices!F1382/prices!F1381-1</f>
        <v>1.3044485634847058E-2</v>
      </c>
      <c r="G1381" s="5">
        <f>prices!G1382/prices!G1381-1</f>
        <v>1.9816729339128258E-2</v>
      </c>
      <c r="H1381" s="5">
        <f>prices!H1382/prices!H1381-1</f>
        <v>1.57536207678175E-2</v>
      </c>
      <c r="I1381" s="5">
        <f>prices!I1382/prices!I1381-1</f>
        <v>1.7350265611819182E-2</v>
      </c>
      <c r="J1381" s="5">
        <f>prices!J1382/prices!J1381-1</f>
        <v>1.2710195456506312E-2</v>
      </c>
      <c r="K1381" s="8">
        <f>SUMPRODUCT(B1381:I1381,weights!$B$5:$I$5)</f>
        <v>1.5117467873554342E-2</v>
      </c>
      <c r="L1381" s="4">
        <f t="shared" si="42"/>
        <v>292.64031476255326</v>
      </c>
      <c r="M1381" s="4">
        <f>L1381/MAX(L$2:L1381)-1</f>
        <v>-3.0190137446867937E-2</v>
      </c>
      <c r="N1381" s="4">
        <f t="shared" si="43"/>
        <v>1.6337476090864334E-2</v>
      </c>
    </row>
    <row r="1382" spans="1:14">
      <c r="A1382" s="3">
        <f>prices!A1383</f>
        <v>45512</v>
      </c>
      <c r="B1382" s="5">
        <f>prices!B1383/prices!B1382-1</f>
        <v>-1.0715988309830893E-2</v>
      </c>
      <c r="C1382" s="5">
        <f>prices!C1383/prices!C1382-1</f>
        <v>-6.6419472795433698E-3</v>
      </c>
      <c r="D1382" s="5">
        <f>prices!D1383/prices!D1382-1</f>
        <v>1.1829062432573201E-2</v>
      </c>
      <c r="E1382" s="5">
        <f>prices!E1383/prices!E1382-1</f>
        <v>-2.7070517540317751E-2</v>
      </c>
      <c r="F1382" s="5">
        <f>prices!F1383/prices!F1382-1</f>
        <v>4.2769251881160653E-3</v>
      </c>
      <c r="G1382" s="5">
        <f>prices!G1383/prices!G1382-1</f>
        <v>-1.2339341802738879E-2</v>
      </c>
      <c r="H1382" s="5">
        <f>prices!H1383/prices!H1382-1</f>
        <v>1.4974895028923019E-3</v>
      </c>
      <c r="I1382" s="5">
        <f>prices!I1383/prices!I1382-1</f>
        <v>-2.3278875890816342E-2</v>
      </c>
      <c r="J1382" s="5">
        <f>prices!J1383/prices!J1382-1</f>
        <v>-7.4287478135610652E-3</v>
      </c>
      <c r="K1382" s="8">
        <f>SUMPRODUCT(B1382:I1382,weights!$B$5:$I$5)</f>
        <v>-9.7629166425093599E-3</v>
      </c>
      <c r="L1382" s="4">
        <f t="shared" si="42"/>
        <v>289.78329176328873</v>
      </c>
      <c r="M1382" s="4">
        <f>L1382/MAX(L$2:L1382)-1</f>
        <v>-3.9658310294057642E-2</v>
      </c>
      <c r="N1382" s="4">
        <f t="shared" si="43"/>
        <v>1.0204328260292161E-2</v>
      </c>
    </row>
    <row r="1383" spans="1:14">
      <c r="A1383" s="3">
        <f>prices!A1384</f>
        <v>45513</v>
      </c>
      <c r="B1383" s="5">
        <f>prices!B1384/prices!B1383-1</f>
        <v>1.7369016523961944E-2</v>
      </c>
      <c r="C1383" s="5">
        <f>prices!C1384/prices!C1383-1</f>
        <v>1.3468161122647704E-2</v>
      </c>
      <c r="D1383" s="5">
        <f>prices!D1384/prices!D1383-1</f>
        <v>4.5659236587598517E-3</v>
      </c>
      <c r="E1383" s="5">
        <f>prices!E1384/prices!E1383-1</f>
        <v>1.5831263388525141E-2</v>
      </c>
      <c r="F1383" s="5">
        <f>prices!F1384/prices!F1383-1</f>
        <v>2.3229332726029117E-3</v>
      </c>
      <c r="G1383" s="5">
        <f>prices!G1384/prices!G1383-1</f>
        <v>4.3784080977160578E-4</v>
      </c>
      <c r="H1383" s="5">
        <f>prices!H1384/prices!H1383-1</f>
        <v>-1.008561041397904E-3</v>
      </c>
      <c r="I1383" s="5">
        <f>prices!I1384/prices!I1383-1</f>
        <v>1.0832716697354972E-2</v>
      </c>
      <c r="J1383" s="5">
        <f>prices!J1384/prices!J1383-1</f>
        <v>1.0386864037815746E-2</v>
      </c>
      <c r="K1383" s="8">
        <f>SUMPRODUCT(B1383:I1383,weights!$B$5:$I$5)</f>
        <v>7.3356905622134084E-3</v>
      </c>
      <c r="L1383" s="4">
        <f t="shared" si="42"/>
        <v>291.90905232176385</v>
      </c>
      <c r="M1383" s="4">
        <f>L1383/MAX(L$2:L1383)-1</f>
        <v>-3.2613540824381615E-2</v>
      </c>
      <c r="N1383" s="4">
        <f t="shared" si="43"/>
        <v>2.0280158251753999E-2</v>
      </c>
    </row>
    <row r="1384" spans="1:14">
      <c r="A1384" s="3">
        <f>prices!A1385</f>
        <v>45516</v>
      </c>
      <c r="B1384" s="5">
        <f>prices!B1385/prices!B1384-1</f>
        <v>-9.2741963164072461E-3</v>
      </c>
      <c r="C1384" s="5">
        <f>prices!C1385/prices!C1384-1</f>
        <v>-7.8268970362149748E-3</v>
      </c>
      <c r="D1384" s="5">
        <f>prices!D1385/prices!D1384-1</f>
        <v>5.9936317662483418E-3</v>
      </c>
      <c r="E1384" s="5">
        <f>prices!E1385/prices!E1384-1</f>
        <v>1.5049835683430768E-2</v>
      </c>
      <c r="F1384" s="5">
        <f>prices!F1385/prices!F1384-1</f>
        <v>-2.6129237480686518E-3</v>
      </c>
      <c r="G1384" s="5">
        <f>prices!G1385/prices!G1384-1</f>
        <v>4.0131762473420984E-3</v>
      </c>
      <c r="H1384" s="5">
        <f>prices!H1385/prices!H1384-1</f>
        <v>-8.3348985725018032E-4</v>
      </c>
      <c r="I1384" s="5">
        <f>prices!I1385/prices!I1384-1</f>
        <v>-5.595231001892409E-3</v>
      </c>
      <c r="J1384" s="5">
        <f>prices!J1385/prices!J1384-1</f>
        <v>-8.4128449779419245E-4</v>
      </c>
      <c r="K1384" s="8">
        <f>SUMPRODUCT(B1384:I1384,weights!$B$5:$I$5)</f>
        <v>-8.1261467900762435E-4</v>
      </c>
      <c r="L1384" s="4">
        <f t="shared" si="42"/>
        <v>291.67184274091198</v>
      </c>
      <c r="M1384" s="4">
        <f>L1384/MAX(L$2:L1384)-1</f>
        <v>-3.3399653261380946E-2</v>
      </c>
      <c r="N1384" s="4">
        <f t="shared" si="43"/>
        <v>9.8495769496078633E-3</v>
      </c>
    </row>
    <row r="1385" spans="1:14">
      <c r="A1385" s="3">
        <f>prices!A1386</f>
        <v>45517</v>
      </c>
      <c r="B1385" s="5">
        <f>prices!B1386/prices!B1385-1</f>
        <v>2.0578983107217841E-3</v>
      </c>
      <c r="C1385" s="5">
        <f>prices!C1386/prices!C1385-1</f>
        <v>3.1041480139859523E-4</v>
      </c>
      <c r="D1385" s="5">
        <f>prices!D1386/prices!D1385-1</f>
        <v>-3.4270464842052983E-2</v>
      </c>
      <c r="E1385" s="5">
        <f>prices!E1386/prices!E1385-1</f>
        <v>2.959420427095516E-5</v>
      </c>
      <c r="F1385" s="5">
        <f>prices!F1386/prices!F1385-1</f>
        <v>-9.3172654167711366E-3</v>
      </c>
      <c r="G1385" s="5">
        <f>prices!G1386/prices!G1385-1</f>
        <v>-7.9035962569180551E-3</v>
      </c>
      <c r="H1385" s="5">
        <f>prices!H1386/prices!H1385-1</f>
        <v>3.6069695581169015E-3</v>
      </c>
      <c r="I1385" s="5">
        <f>prices!I1386/prices!I1385-1</f>
        <v>-5.6409802808220499E-3</v>
      </c>
      <c r="J1385" s="5">
        <f>prices!J1386/prices!J1385-1</f>
        <v>-8.5431469996303244E-3</v>
      </c>
      <c r="K1385" s="8">
        <f>SUMPRODUCT(B1385:I1385,weights!$B$5:$I$5)</f>
        <v>-5.1388574322865747E-3</v>
      </c>
      <c r="L1385" s="4">
        <f t="shared" si="42"/>
        <v>290.17298272405412</v>
      </c>
      <c r="M1385" s="4">
        <f>L1385/MAX(L$2:L1385)-1</f>
        <v>-3.836687463726951E-2</v>
      </c>
      <c r="N1385" s="4">
        <f t="shared" si="43"/>
        <v>2.1576942616121642E-3</v>
      </c>
    </row>
    <row r="1386" spans="1:14">
      <c r="A1386" s="3">
        <f>prices!A1387</f>
        <v>45518</v>
      </c>
      <c r="B1386" s="5">
        <f>prices!B1387/prices!B1386-1</f>
        <v>-1.2169908518244732E-3</v>
      </c>
      <c r="C1386" s="5">
        <f>prices!C1387/prices!C1386-1</f>
        <v>2.3422633244597701E-2</v>
      </c>
      <c r="D1386" s="5">
        <f>prices!D1387/prices!D1386-1</f>
        <v>2.8661765461930333E-3</v>
      </c>
      <c r="E1386" s="5">
        <f>prices!E1387/prices!E1386-1</f>
        <v>1.4352764312813404E-2</v>
      </c>
      <c r="F1386" s="5">
        <f>prices!F1387/prices!F1386-1</f>
        <v>4.5069904341425993E-3</v>
      </c>
      <c r="G1386" s="5">
        <f>prices!G1387/prices!G1386-1</f>
        <v>2.4140330870945359E-3</v>
      </c>
      <c r="H1386" s="5">
        <f>prices!H1387/prices!H1386-1</f>
        <v>8.8972137672671536E-4</v>
      </c>
      <c r="I1386" s="5">
        <f>prices!I1387/prices!I1386-1</f>
        <v>-1.8565599407738276E-3</v>
      </c>
      <c r="J1386" s="5">
        <f>prices!J1387/prices!J1386-1</f>
        <v>1.9677699987563635E-4</v>
      </c>
      <c r="K1386" s="8">
        <f>SUMPRODUCT(B1386:I1386,weights!$B$5:$I$5)</f>
        <v>3.945459265387842E-3</v>
      </c>
      <c r="L1386" s="4">
        <f t="shared" si="42"/>
        <v>291.31784840730796</v>
      </c>
      <c r="M1386" s="4">
        <f>L1386/MAX(L$2:L1386)-1</f>
        <v>-3.4572790312903279E-2</v>
      </c>
      <c r="N1386" s="4">
        <f t="shared" si="43"/>
        <v>7.9154436473138912E-3</v>
      </c>
    </row>
    <row r="1387" spans="1:14">
      <c r="A1387" s="3">
        <f>prices!A1388</f>
        <v>45520</v>
      </c>
      <c r="B1387" s="5">
        <f>prices!B1388/prices!B1387-1</f>
        <v>1.1187804185734063E-2</v>
      </c>
      <c r="C1387" s="5">
        <f>prices!C1388/prices!C1387-1</f>
        <v>2.8123942814900049E-2</v>
      </c>
      <c r="D1387" s="5">
        <f>prices!D1388/prices!D1387-1</f>
        <v>1.5122970253886647E-2</v>
      </c>
      <c r="E1387" s="5">
        <f>prices!E1388/prices!E1387-1</f>
        <v>1.958198643964959E-2</v>
      </c>
      <c r="F1387" s="5">
        <f>prices!F1388/prices!F1387-1</f>
        <v>2.1220584195586589E-2</v>
      </c>
      <c r="G1387" s="5">
        <f>prices!G1388/prices!G1387-1</f>
        <v>6.2735834457705586E-4</v>
      </c>
      <c r="H1387" s="5">
        <f>prices!H1388/prices!H1387-1</f>
        <v>6.3160849630383709E-4</v>
      </c>
      <c r="I1387" s="5">
        <f>prices!I1388/prices!I1387-1</f>
        <v>6.5287324599607732E-3</v>
      </c>
      <c r="J1387" s="5">
        <f>prices!J1388/prices!J1387-1</f>
        <v>1.6459746311157097E-2</v>
      </c>
      <c r="K1387" s="8">
        <f>SUMPRODUCT(B1387:I1387,weights!$B$5:$I$5)</f>
        <v>9.9547782082507197E-3</v>
      </c>
      <c r="L1387" s="4">
        <f t="shared" si="42"/>
        <v>294.21785297630754</v>
      </c>
      <c r="M1387" s="4">
        <f>L1387/MAX(L$2:L1387)-1</f>
        <v>-2.496217656425781E-2</v>
      </c>
      <c r="N1387" s="4">
        <f t="shared" si="43"/>
        <v>9.3981965436429338E-3</v>
      </c>
    </row>
    <row r="1388" spans="1:14">
      <c r="A1388" s="3">
        <f>prices!A1389</f>
        <v>45523</v>
      </c>
      <c r="B1388" s="5">
        <f>prices!B1389/prices!B1388-1</f>
        <v>1.031774830719101E-2</v>
      </c>
      <c r="C1388" s="5">
        <f>prices!C1389/prices!C1388-1</f>
        <v>1.6744743807857176E-2</v>
      </c>
      <c r="D1388" s="5">
        <f>prices!D1389/prices!D1388-1</f>
        <v>-3.4087896271806084E-4</v>
      </c>
      <c r="E1388" s="5">
        <f>prices!E1389/prices!E1388-1</f>
        <v>3.1475695040574792E-3</v>
      </c>
      <c r="F1388" s="5">
        <f>prices!F1389/prices!F1388-1</f>
        <v>-2.3760955818071805E-3</v>
      </c>
      <c r="G1388" s="5">
        <f>prices!G1389/prices!G1388-1</f>
        <v>-5.1996298398563345E-3</v>
      </c>
      <c r="H1388" s="5">
        <f>prices!H1389/prices!H1388-1</f>
        <v>2.8988895382817681E-3</v>
      </c>
      <c r="I1388" s="5">
        <f>prices!I1389/prices!I1388-1</f>
        <v>-3.727314791013292E-3</v>
      </c>
      <c r="J1388" s="5">
        <f>prices!J1389/prices!J1388-1</f>
        <v>1.283558431450782E-3</v>
      </c>
      <c r="K1388" s="8">
        <f>SUMPRODUCT(B1388:I1388,weights!$B$5:$I$5)</f>
        <v>1.5183035378845034E-3</v>
      </c>
      <c r="L1388" s="4">
        <f t="shared" si="42"/>
        <v>294.66456498339028</v>
      </c>
      <c r="M1388" s="4">
        <f>L1388/MAX(L$2:L1388)-1</f>
        <v>-2.3481773187363997E-2</v>
      </c>
      <c r="N1388" s="4">
        <f t="shared" si="43"/>
        <v>1.7836026563305074E-2</v>
      </c>
    </row>
    <row r="1389" spans="1:14">
      <c r="A1389" s="3">
        <f>prices!A1390</f>
        <v>45524</v>
      </c>
      <c r="B1389" s="5">
        <f>prices!B1390/prices!B1389-1</f>
        <v>5.0689183145169459E-3</v>
      </c>
      <c r="C1389" s="5">
        <f>prices!C1390/prices!C1389-1</f>
        <v>7.4170318448130157E-3</v>
      </c>
      <c r="D1389" s="5">
        <f>prices!D1390/prices!D1389-1</f>
        <v>3.7635766607728716E-3</v>
      </c>
      <c r="E1389" s="5">
        <f>prices!E1390/prices!E1389-1</f>
        <v>3.964903473141268E-3</v>
      </c>
      <c r="F1389" s="5">
        <f>prices!F1390/prices!F1389-1</f>
        <v>-5.3027749691045845E-3</v>
      </c>
      <c r="G1389" s="5">
        <f>prices!G1390/prices!G1389-1</f>
        <v>5.3620992606000506E-3</v>
      </c>
      <c r="H1389" s="5">
        <f>prices!H1390/prices!H1389-1</f>
        <v>1.0612135481013585E-2</v>
      </c>
      <c r="I1389" s="5">
        <f>prices!I1390/prices!I1389-1</f>
        <v>4.9654112662085303E-3</v>
      </c>
      <c r="J1389" s="5">
        <f>prices!J1390/prices!J1389-1</f>
        <v>5.1357912150296059E-3</v>
      </c>
      <c r="K1389" s="8">
        <f>SUMPRODUCT(B1389:I1389,weights!$B$5:$I$5)</f>
        <v>5.089873066713213E-3</v>
      </c>
      <c r="L1389" s="4">
        <f t="shared" si="42"/>
        <v>296.164370216414</v>
      </c>
      <c r="M1389" s="4">
        <f>L1389/MAX(L$2:L1389)-1</f>
        <v>-1.8511419365555781E-2</v>
      </c>
      <c r="N1389" s="4">
        <f t="shared" si="43"/>
        <v>2.1271709733100552E-2</v>
      </c>
    </row>
    <row r="1390" spans="1:14">
      <c r="A1390" s="3">
        <f>prices!A1391</f>
        <v>45525</v>
      </c>
      <c r="B1390" s="5">
        <f>prices!B1391/prices!B1390-1</f>
        <v>1.8204619927988386E-3</v>
      </c>
      <c r="C1390" s="5">
        <f>prices!C1391/prices!C1390-1</f>
        <v>6.2345029768562377E-3</v>
      </c>
      <c r="D1390" s="5">
        <f>prices!D1391/prices!D1390-1</f>
        <v>-7.2598706560306203E-3</v>
      </c>
      <c r="E1390" s="5">
        <f>prices!E1391/prices!E1390-1</f>
        <v>2.6707125120051245E-4</v>
      </c>
      <c r="F1390" s="5">
        <f>prices!F1391/prices!F1390-1</f>
        <v>1.3237254060403547E-2</v>
      </c>
      <c r="G1390" s="5">
        <f>prices!G1391/prices!G1390-1</f>
        <v>4.9147442326979984E-4</v>
      </c>
      <c r="H1390" s="5">
        <f>prices!H1391/prices!H1390-1</f>
        <v>-9.6299670735855436E-4</v>
      </c>
      <c r="I1390" s="5">
        <f>prices!I1391/prices!I1390-1</f>
        <v>6.5355375201472388E-3</v>
      </c>
      <c r="J1390" s="5">
        <f>prices!J1391/prices!J1390-1</f>
        <v>2.888798466325504E-3</v>
      </c>
      <c r="K1390" s="8">
        <f>SUMPRODUCT(B1390:I1390,weights!$B$5:$I$5)</f>
        <v>2.606437945248806E-3</v>
      </c>
      <c r="L1390" s="4">
        <f t="shared" si="42"/>
        <v>296.93630426897681</v>
      </c>
      <c r="M1390" s="4">
        <f>L1390/MAX(L$2:L1390)-1</f>
        <v>-1.595323028616169E-2</v>
      </c>
      <c r="N1390" s="4">
        <f t="shared" si="43"/>
        <v>2.4962796995432912E-2</v>
      </c>
    </row>
    <row r="1391" spans="1:14">
      <c r="A1391" s="3">
        <f>prices!A1392</f>
        <v>45526</v>
      </c>
      <c r="B1391" s="5">
        <f>prices!B1392/prices!B1391-1</f>
        <v>-3.6343078662570694E-4</v>
      </c>
      <c r="C1391" s="5">
        <f>prices!C1392/prices!C1391-1</f>
        <v>-1.0875888587766225E-2</v>
      </c>
      <c r="D1391" s="5">
        <f>prices!D1392/prices!D1391-1</f>
        <v>3.3839875286751919E-3</v>
      </c>
      <c r="E1391" s="5">
        <f>prices!E1392/prices!E1391-1</f>
        <v>4.0334033971483052E-3</v>
      </c>
      <c r="F1391" s="5">
        <f>prices!F1392/prices!F1391-1</f>
        <v>-1.6720543975030644E-3</v>
      </c>
      <c r="G1391" s="5">
        <f>prices!G1392/prices!G1391-1</f>
        <v>4.5330446086344622E-3</v>
      </c>
      <c r="H1391" s="5">
        <f>prices!H1392/prices!H1391-1</f>
        <v>-7.9365079365079083E-3</v>
      </c>
      <c r="I1391" s="5">
        <f>prices!I1392/prices!I1391-1</f>
        <v>2.9050323663117883E-3</v>
      </c>
      <c r="J1391" s="5">
        <f>prices!J1392/prices!J1391-1</f>
        <v>1.6673260611541618E-3</v>
      </c>
      <c r="K1391" s="8">
        <f>SUMPRODUCT(B1391:I1391,weights!$B$5:$I$5)</f>
        <v>-2.9098604466822682E-4</v>
      </c>
      <c r="L1391" s="4">
        <f t="shared" si="42"/>
        <v>296.84989994827919</v>
      </c>
      <c r="M1391" s="4">
        <f>L1391/MAX(L$2:L1391)-1</f>
        <v>-1.6239574163449233E-2</v>
      </c>
      <c r="N1391" s="4">
        <f t="shared" si="43"/>
        <v>2.5969659160008485E-2</v>
      </c>
    </row>
    <row r="1392" spans="1:14">
      <c r="A1392" s="3">
        <f>prices!A1393</f>
        <v>45527</v>
      </c>
      <c r="B1392" s="5">
        <f>prices!B1393/prices!B1392-1</f>
        <v>1.2320743284186531E-3</v>
      </c>
      <c r="C1392" s="5">
        <f>prices!C1393/prices!C1392-1</f>
        <v>-8.4635743539352992E-3</v>
      </c>
      <c r="D1392" s="5">
        <f>prices!D1393/prices!D1392-1</f>
        <v>-3.8399353274050085E-3</v>
      </c>
      <c r="E1392" s="5">
        <f>prices!E1393/prices!E1392-1</f>
        <v>-9.6525970351930557E-3</v>
      </c>
      <c r="F1392" s="5">
        <f>prices!F1393/prices!F1392-1</f>
        <v>2.4787851719518805E-3</v>
      </c>
      <c r="G1392" s="5">
        <f>prices!G1393/prices!G1392-1</f>
        <v>2.1140805080446246E-3</v>
      </c>
      <c r="H1392" s="5">
        <f>prices!H1393/prices!H1392-1</f>
        <v>1.4341818181818233E-2</v>
      </c>
      <c r="I1392" s="5">
        <f>prices!I1393/prices!I1392-1</f>
        <v>-2.2042553431997902E-3</v>
      </c>
      <c r="J1392" s="5">
        <f>prices!J1393/prices!J1392-1</f>
        <v>4.6954033411927831E-4</v>
      </c>
      <c r="K1392" s="8">
        <f>SUMPRODUCT(B1392:I1392,weights!$B$5:$I$5)</f>
        <v>6.57338972493869E-4</v>
      </c>
      <c r="L1392" s="4">
        <f t="shared" si="42"/>
        <v>297.04503095649608</v>
      </c>
      <c r="M1392" s="4">
        <f>L1392/MAX(L$2:L1392)-1</f>
        <v>-1.5592910095949764E-2</v>
      </c>
      <c r="N1392" s="4">
        <f t="shared" si="43"/>
        <v>1.6724625663455228E-2</v>
      </c>
    </row>
    <row r="1393" spans="1:14">
      <c r="A1393" s="3">
        <f>prices!A1394</f>
        <v>45530</v>
      </c>
      <c r="B1393" s="5">
        <f>prices!B1394/prices!B1393-1</f>
        <v>8.4189008358381834E-3</v>
      </c>
      <c r="C1393" s="5">
        <f>prices!C1394/prices!C1393-1</f>
        <v>8.6370902988261999E-3</v>
      </c>
      <c r="D1393" s="5">
        <f>prices!D1394/prices!D1393-1</f>
        <v>9.1803611280178998E-3</v>
      </c>
      <c r="E1393" s="5">
        <f>prices!E1394/prices!E1393-1</f>
        <v>7.5471051338598105E-3</v>
      </c>
      <c r="F1393" s="5">
        <f>prices!F1394/prices!F1393-1</f>
        <v>-2.0048562072583209E-4</v>
      </c>
      <c r="G1393" s="5">
        <f>prices!G1394/prices!G1393-1</f>
        <v>-4.7553603617060958E-3</v>
      </c>
      <c r="H1393" s="5">
        <f>prices!H1394/prices!H1393-1</f>
        <v>-1.8584375358494665E-3</v>
      </c>
      <c r="I1393" s="5">
        <f>prices!I1394/prices!I1393-1</f>
        <v>1.2048226894112002E-2</v>
      </c>
      <c r="J1393" s="5">
        <f>prices!J1394/prices!J1393-1</f>
        <v>7.5514187361394036E-3</v>
      </c>
      <c r="K1393" s="8">
        <f>SUMPRODUCT(B1393:I1393,weights!$B$5:$I$5)</f>
        <v>4.3040779123545408E-3</v>
      </c>
      <c r="L1393" s="4">
        <f t="shared" si="42"/>
        <v>298.32353591321055</v>
      </c>
      <c r="M1393" s="4">
        <f>L1393/MAX(L$2:L1393)-1</f>
        <v>-1.1355945283528679E-2</v>
      </c>
      <c r="N1393" s="4">
        <f t="shared" si="43"/>
        <v>3.5266946055629855E-3</v>
      </c>
    </row>
    <row r="1394" spans="1:14">
      <c r="A1394" s="3">
        <f>prices!A1395</f>
        <v>45531</v>
      </c>
      <c r="B1394" s="5">
        <f>prices!B1395/prices!B1394-1</f>
        <v>-8.035208215250389E-3</v>
      </c>
      <c r="C1394" s="5">
        <f>prices!C1395/prices!C1394-1</f>
        <v>-1.178565878964033E-3</v>
      </c>
      <c r="D1394" s="5">
        <f>prices!D1395/prices!D1394-1</f>
        <v>-1.3444237824797867E-3</v>
      </c>
      <c r="E1394" s="5">
        <f>prices!E1395/prices!E1394-1</f>
        <v>1.2764027104420039E-2</v>
      </c>
      <c r="F1394" s="5">
        <f>prices!F1395/prices!F1394-1</f>
        <v>-1.0093133104585261E-2</v>
      </c>
      <c r="G1394" s="5">
        <f>prices!G1395/prices!G1394-1</f>
        <v>2.0671666558263357E-2</v>
      </c>
      <c r="H1394" s="5">
        <f>prices!H1395/prices!H1394-1</f>
        <v>9.562339095255501E-3</v>
      </c>
      <c r="I1394" s="5">
        <f>prices!I1395/prices!I1394-1</f>
        <v>1.6693019155694211E-2</v>
      </c>
      <c r="J1394" s="5">
        <f>prices!J1395/prices!J1394-1</f>
        <v>2.8587878739427808E-4</v>
      </c>
      <c r="K1394" s="8">
        <f>SUMPRODUCT(B1394:I1394,weights!$B$5:$I$5)</f>
        <v>7.7606055170942271E-3</v>
      </c>
      <c r="L1394" s="4">
        <f t="shared" si="42"/>
        <v>300.63870719189765</v>
      </c>
      <c r="M1394" s="4">
        <f>L1394/MAX(L$2:L1394)-1</f>
        <v>-3.6834687780537001E-3</v>
      </c>
      <c r="N1394" s="4">
        <f t="shared" si="43"/>
        <v>5.2335318107876727E-3</v>
      </c>
    </row>
    <row r="1395" spans="1:14">
      <c r="A1395" s="3">
        <f>prices!A1396</f>
        <v>45532</v>
      </c>
      <c r="B1395" s="5">
        <f>prices!B1396/prices!B1395-1</f>
        <v>-1.4318365151921864E-3</v>
      </c>
      <c r="C1395" s="5">
        <f>prices!C1396/prices!C1395-1</f>
        <v>1.9793591376027209E-3</v>
      </c>
      <c r="D1395" s="5">
        <f>prices!D1396/prices!D1395-1</f>
        <v>-4.0261194499302544E-4</v>
      </c>
      <c r="E1395" s="5">
        <f>prices!E1396/prices!E1395-1</f>
        <v>2.0525626238760308E-2</v>
      </c>
      <c r="F1395" s="5">
        <f>prices!F1396/prices!F1395-1</f>
        <v>-6.5947916901123449E-3</v>
      </c>
      <c r="G1395" s="5">
        <f>prices!G1396/prices!G1395-1</f>
        <v>-1.1155082940092265E-2</v>
      </c>
      <c r="H1395" s="5">
        <f>prices!H1396/prices!H1395-1</f>
        <v>1.2545537340619362E-2</v>
      </c>
      <c r="I1395" s="5">
        <f>prices!I1396/prices!I1395-1</f>
        <v>-3.685659234792138E-3</v>
      </c>
      <c r="J1395" s="5">
        <f>prices!J1396/prices!J1395-1</f>
        <v>1.3830180571794415E-3</v>
      </c>
      <c r="K1395" s="8">
        <f>SUMPRODUCT(B1395:I1395,weights!$B$5:$I$5)</f>
        <v>1.4782037213288202E-4</v>
      </c>
      <c r="L1395" s="4">
        <f t="shared" si="42"/>
        <v>300.68314771747225</v>
      </c>
      <c r="M1395" s="4">
        <f>L1395/MAX(L$2:L1395)-1</f>
        <v>-3.5361928976465062E-3</v>
      </c>
      <c r="N1395" s="4">
        <f t="shared" si="43"/>
        <v>6.0880455108291986E-3</v>
      </c>
    </row>
    <row r="1396" spans="1:14">
      <c r="A1396" s="3">
        <f>prices!A1397</f>
        <v>45533</v>
      </c>
      <c r="B1396" s="5">
        <f>prices!B1397/prices!B1396-1</f>
        <v>1.509959810699657E-2</v>
      </c>
      <c r="C1396" s="5">
        <f>prices!C1397/prices!C1396-1</f>
        <v>1.2779506926012818E-3</v>
      </c>
      <c r="D1396" s="5">
        <f>prices!D1397/prices!D1396-1</f>
        <v>8.9365504915117633E-4</v>
      </c>
      <c r="E1396" s="5">
        <f>prices!E1397/prices!E1396-1</f>
        <v>-2.968091643258508E-3</v>
      </c>
      <c r="F1396" s="5">
        <f>prices!F1397/prices!F1396-1</f>
        <v>1.567881094797885E-2</v>
      </c>
      <c r="G1396" s="5">
        <f>prices!G1397/prices!G1396-1</f>
        <v>7.7935361486893839E-3</v>
      </c>
      <c r="H1396" s="5">
        <f>prices!H1397/prices!H1396-1</f>
        <v>-6.9820782082704591E-3</v>
      </c>
      <c r="I1396" s="5">
        <f>prices!I1397/prices!I1396-1</f>
        <v>-1.5195007196907584E-3</v>
      </c>
      <c r="J1396" s="5">
        <f>prices!J1397/prices!J1396-1</f>
        <v>3.975674936682605E-3</v>
      </c>
      <c r="K1396" s="8">
        <f>SUMPRODUCT(B1396:I1396,weights!$B$5:$I$5)</f>
        <v>3.3224746991874572E-3</v>
      </c>
      <c r="L1396" s="4">
        <f t="shared" si="42"/>
        <v>301.68215986823566</v>
      </c>
      <c r="M1396" s="4">
        <f>L1396/MAX(L$2:L1396)-1</f>
        <v>-2.2546710989279628E-4</v>
      </c>
      <c r="N1396" s="4">
        <f t="shared" si="43"/>
        <v>2.3146353836280831E-3</v>
      </c>
    </row>
    <row r="1397" spans="1:14">
      <c r="A1397" s="3">
        <f>prices!A1398</f>
        <v>45534</v>
      </c>
      <c r="B1397" s="5">
        <f>prices!B1398/prices!B1397-1</f>
        <v>-7.4275482459049691E-3</v>
      </c>
      <c r="C1397" s="5">
        <f>prices!C1398/prices!C1397-1</f>
        <v>9.296855243884572E-3</v>
      </c>
      <c r="D1397" s="5">
        <f>prices!D1398/prices!D1397-1</f>
        <v>-1.006036217303885E-3</v>
      </c>
      <c r="E1397" s="5">
        <f>prices!E1398/prices!E1397-1</f>
        <v>5.3540672752585561E-3</v>
      </c>
      <c r="F1397" s="5">
        <f>prices!F1398/prices!F1397-1</f>
        <v>-6.3353261354509582E-3</v>
      </c>
      <c r="G1397" s="5">
        <f>prices!G1398/prices!G1397-1</f>
        <v>-4.0793739931710427E-3</v>
      </c>
      <c r="H1397" s="5">
        <f>prices!H1398/prices!H1397-1</f>
        <v>1.247721379966249E-2</v>
      </c>
      <c r="I1397" s="5">
        <f>prices!I1398/prices!I1397-1</f>
        <v>5.7579874436584078E-3</v>
      </c>
      <c r="J1397" s="5">
        <f>prices!J1398/prices!J1397-1</f>
        <v>3.3377133780880808E-3</v>
      </c>
      <c r="K1397" s="8">
        <f>SUMPRODUCT(B1397:I1397,weights!$B$5:$I$5)</f>
        <v>1.9432543995049774E-3</v>
      </c>
      <c r="L1397" s="4">
        <f t="shared" si="42"/>
        <v>302.26840505265181</v>
      </c>
      <c r="M1397" s="4">
        <f>L1397/MAX(L$2:L1397)-1</f>
        <v>0</v>
      </c>
      <c r="N1397" s="4">
        <f t="shared" si="43"/>
        <v>1.7173491496591531E-3</v>
      </c>
    </row>
    <row r="1398" spans="1:14">
      <c r="A1398" s="3">
        <f>prices!A1399</f>
        <v>45537</v>
      </c>
      <c r="B1398" s="5">
        <f>prices!B1399/prices!B1398-1</f>
        <v>4.3896572459409811E-3</v>
      </c>
      <c r="C1398" s="5">
        <f>prices!C1399/prices!C1398-1</f>
        <v>-7.180827804316614E-3</v>
      </c>
      <c r="D1398" s="5">
        <f>prices!D1399/prices!D1398-1</f>
        <v>-6.0800604229606092E-3</v>
      </c>
      <c r="E1398" s="5">
        <f>prices!E1399/prices!E1398-1</f>
        <v>1.0700367808039291E-2</v>
      </c>
      <c r="F1398" s="5">
        <f>prices!F1399/prices!F1398-1</f>
        <v>1.6253591954022983E-2</v>
      </c>
      <c r="G1398" s="5">
        <f>prices!G1399/prices!G1398-1</f>
        <v>1.967371270946483E-3</v>
      </c>
      <c r="H1398" s="5">
        <f>prices!H1399/prices!H1398-1</f>
        <v>-3.13118548919189E-3</v>
      </c>
      <c r="I1398" s="5">
        <f>prices!I1399/prices!I1398-1</f>
        <v>-5.8185599683074907E-3</v>
      </c>
      <c r="J1398" s="5">
        <f>prices!J1399/prices!J1398-1</f>
        <v>1.6959965763059248E-3</v>
      </c>
      <c r="K1398" s="8">
        <f>SUMPRODUCT(B1398:I1398,weights!$B$5:$I$5)</f>
        <v>5.0628013609001449E-4</v>
      </c>
      <c r="L1398" s="4">
        <f t="shared" si="42"/>
        <v>302.4214375418976</v>
      </c>
      <c r="M1398" s="4">
        <f>L1398/MAX(L$2:L1398)-1</f>
        <v>0</v>
      </c>
      <c r="N1398" s="4">
        <f t="shared" si="43"/>
        <v>1.9395220390680201E-2</v>
      </c>
    </row>
    <row r="1399" spans="1:14">
      <c r="A1399" s="3">
        <f>prices!A1400</f>
        <v>45538</v>
      </c>
      <c r="B1399" s="5">
        <f>prices!B1400/prices!B1399-1</f>
        <v>-4.7030806175869522E-3</v>
      </c>
      <c r="C1399" s="5">
        <f>prices!C1400/prices!C1399-1</f>
        <v>-1.9236583792225925E-3</v>
      </c>
      <c r="D1399" s="5">
        <f>prices!D1400/prices!D1399-1</f>
        <v>6.3832212470078531E-3</v>
      </c>
      <c r="E1399" s="5">
        <f>prices!E1400/prices!E1399-1</f>
        <v>-1.1832621209905803E-2</v>
      </c>
      <c r="F1399" s="5">
        <f>prices!F1400/prices!F1399-1</f>
        <v>-1.2812582839974995E-3</v>
      </c>
      <c r="G1399" s="5">
        <f>prices!G1400/prices!G1399-1</f>
        <v>-2.4383651451804766E-3</v>
      </c>
      <c r="H1399" s="5">
        <f>prices!H1400/prices!H1399-1</f>
        <v>-2.4455089014280285E-3</v>
      </c>
      <c r="I1399" s="5">
        <f>prices!I1400/prices!I1399-1</f>
        <v>1.9148977383729449E-3</v>
      </c>
      <c r="J1399" s="5">
        <f>prices!J1400/prices!J1399-1</f>
        <v>4.5492845755390476E-5</v>
      </c>
      <c r="K1399" s="8">
        <f>SUMPRODUCT(B1399:I1399,weights!$B$5:$I$5)</f>
        <v>-1.8686089281847859E-3</v>
      </c>
      <c r="L1399" s="4">
        <f t="shared" si="42"/>
        <v>301.85633014363236</v>
      </c>
      <c r="M1399" s="4">
        <f>L1399/MAX(L$2:L1399)-1</f>
        <v>-1.8686089281847451E-3</v>
      </c>
      <c r="N1399" s="4">
        <f t="shared" si="43"/>
        <v>4.8039502141500767E-2</v>
      </c>
    </row>
    <row r="1400" spans="1:14">
      <c r="A1400" s="3">
        <f>prices!A1401</f>
        <v>45539</v>
      </c>
      <c r="B1400" s="5">
        <f>prices!B1401/prices!B1400-1</f>
        <v>3.5957759657798682E-3</v>
      </c>
      <c r="C1400" s="5">
        <f>prices!C1401/prices!C1400-1</f>
        <v>-7.3349633251833524E-3</v>
      </c>
      <c r="D1400" s="5">
        <f>prices!D1401/prices!D1400-1</f>
        <v>2.7183146449201168E-3</v>
      </c>
      <c r="E1400" s="5">
        <f>prices!E1401/prices!E1400-1</f>
        <v>-9.6835713581113758E-3</v>
      </c>
      <c r="F1400" s="5">
        <f>prices!F1401/prices!F1400-1</f>
        <v>-5.9942490599426135E-3</v>
      </c>
      <c r="G1400" s="5">
        <f>prices!G1401/prices!G1400-1</f>
        <v>-4.9084160393200182E-3</v>
      </c>
      <c r="H1400" s="5">
        <f>prices!H1401/prices!H1400-1</f>
        <v>1.1785212257520383E-2</v>
      </c>
      <c r="I1400" s="5">
        <f>prices!I1401/prices!I1400-1</f>
        <v>-1.066371327012261E-2</v>
      </c>
      <c r="J1400" s="5">
        <f>prices!J1401/prices!J1400-1</f>
        <v>-3.2100665154262131E-3</v>
      </c>
      <c r="K1400" s="8">
        <f>SUMPRODUCT(B1400:I1400,weights!$B$5:$I$5)</f>
        <v>-2.583294340001643E-3</v>
      </c>
      <c r="L1400" s="4">
        <f t="shared" si="42"/>
        <v>301.07654639447867</v>
      </c>
      <c r="M1400" s="4">
        <f>L1400/MAX(L$2:L1400)-1</f>
        <v>-4.4470761013184479E-3</v>
      </c>
      <c r="N1400" s="4">
        <f t="shared" si="43"/>
        <v>4.4381262575058589E-2</v>
      </c>
    </row>
    <row r="1401" spans="1:14">
      <c r="A1401" s="3">
        <f>prices!A1402</f>
        <v>45540</v>
      </c>
      <c r="B1401" s="5">
        <f>prices!B1402/prices!B1401-1</f>
        <v>-1.4244995271647132E-2</v>
      </c>
      <c r="C1401" s="5">
        <f>prices!C1402/prices!C1401-1</f>
        <v>-7.3771476631012689E-4</v>
      </c>
      <c r="D1401" s="5">
        <f>prices!D1402/prices!D1401-1</f>
        <v>2.2340198551651369E-3</v>
      </c>
      <c r="E1401" s="5">
        <f>prices!E1402/prices!E1401-1</f>
        <v>5.5614890402695405E-3</v>
      </c>
      <c r="F1401" s="5">
        <f>prices!F1402/prices!F1401-1</f>
        <v>9.5907786110061011E-3</v>
      </c>
      <c r="G1401" s="5">
        <f>prices!G1402/prices!G1401-1</f>
        <v>-3.0522701259060314E-3</v>
      </c>
      <c r="H1401" s="5">
        <f>prices!H1402/prices!H1401-1</f>
        <v>-3.4677069787603099E-3</v>
      </c>
      <c r="I1401" s="5">
        <f>prices!I1402/prices!I1401-1</f>
        <v>-7.3002278006074617E-3</v>
      </c>
      <c r="J1401" s="5">
        <f>prices!J1402/prices!J1401-1</f>
        <v>-2.127093858016571E-3</v>
      </c>
      <c r="K1401" s="8">
        <f>SUMPRODUCT(B1401:I1401,weights!$B$5:$I$5)</f>
        <v>-2.9929553823577751E-3</v>
      </c>
      <c r="L1401" s="4">
        <f t="shared" si="42"/>
        <v>300.1754377244456</v>
      </c>
      <c r="M1401" s="4">
        <f>L1401/MAX(L$2:L1401)-1</f>
        <v>-7.426721583323026E-3</v>
      </c>
      <c r="N1401" s="4">
        <f t="shared" si="43"/>
        <v>2.5748752245589701E-2</v>
      </c>
    </row>
    <row r="1402" spans="1:14">
      <c r="A1402" s="3">
        <f>prices!A1403</f>
        <v>45541</v>
      </c>
      <c r="B1402" s="5">
        <f>prices!B1403/prices!B1402-1</f>
        <v>-1.8855687445530678E-2</v>
      </c>
      <c r="C1402" s="5">
        <f>prices!C1403/prices!C1402-1</f>
        <v>-4.2900806313921347E-3</v>
      </c>
      <c r="D1402" s="5">
        <f>prices!D1403/prices!D1402-1</f>
        <v>-5.1718740216643022E-3</v>
      </c>
      <c r="E1402" s="5">
        <f>prices!E1403/prices!E1402-1</f>
        <v>-1.619045522585183E-2</v>
      </c>
      <c r="F1402" s="5">
        <f>prices!F1403/prices!F1402-1</f>
        <v>-1.85805598413048E-2</v>
      </c>
      <c r="G1402" s="5">
        <f>prices!G1403/prices!G1402-1</f>
        <v>-9.1433372101613619E-3</v>
      </c>
      <c r="H1402" s="5">
        <f>prices!H1403/prices!H1402-1</f>
        <v>-1.0651230746925311E-3</v>
      </c>
      <c r="I1402" s="5">
        <f>prices!I1403/prices!I1402-1</f>
        <v>-1.3630752011428715E-2</v>
      </c>
      <c r="J1402" s="5">
        <f>prices!J1403/prices!J1402-1</f>
        <v>-1.16503811875871E-2</v>
      </c>
      <c r="K1402" s="8">
        <f>SUMPRODUCT(B1402:I1402,weights!$B$5:$I$5)</f>
        <v>-1.0710240847602933E-2</v>
      </c>
      <c r="L1402" s="4">
        <f t="shared" si="42"/>
        <v>296.96048648988216</v>
      </c>
      <c r="M1402" s="4">
        <f>L1402/MAX(L$2:L1402)-1</f>
        <v>-1.8057420454060558E-2</v>
      </c>
      <c r="N1402" s="4">
        <f t="shared" si="43"/>
        <v>2.4767455304000707E-2</v>
      </c>
    </row>
    <row r="1403" spans="1:14">
      <c r="A1403" s="3">
        <f>prices!A1404</f>
        <v>45544</v>
      </c>
      <c r="B1403" s="5">
        <f>prices!B1404/prices!B1403-1</f>
        <v>-1.6181452612443747E-3</v>
      </c>
      <c r="C1403" s="5">
        <f>prices!C1404/prices!C1403-1</f>
        <v>-1.6157117705448698E-3</v>
      </c>
      <c r="D1403" s="5">
        <f>prices!D1404/prices!D1403-1</f>
        <v>5.8281513557061349E-3</v>
      </c>
      <c r="E1403" s="5">
        <f>prices!E1404/prices!E1403-1</f>
        <v>-3.7813950886613767E-3</v>
      </c>
      <c r="F1403" s="5">
        <f>prices!F1404/prices!F1403-1</f>
        <v>2.0032789094257542E-2</v>
      </c>
      <c r="G1403" s="5">
        <f>prices!G1404/prices!G1403-1</f>
        <v>-3.3152392929166608E-3</v>
      </c>
      <c r="H1403" s="5">
        <f>prices!H1404/prices!H1403-1</f>
        <v>-1.4793642641418581E-3</v>
      </c>
      <c r="I1403" s="5">
        <f>prices!I1404/prices!I1403-1</f>
        <v>9.9217097272674692E-4</v>
      </c>
      <c r="J1403" s="5">
        <f>prices!J1404/prices!J1403-1</f>
        <v>3.3900487482974029E-3</v>
      </c>
      <c r="K1403" s="8">
        <f>SUMPRODUCT(B1403:I1403,weights!$B$5:$I$5)</f>
        <v>7.6793704152113961E-4</v>
      </c>
      <c r="L1403" s="4">
        <f t="shared" si="42"/>
        <v>297.18853344732588</v>
      </c>
      <c r="M1403" s="4">
        <f>L1403/MAX(L$2:L1403)-1</f>
        <v>-1.7303350374580306E-2</v>
      </c>
      <c r="N1403" s="4">
        <f t="shared" si="43"/>
        <v>1.8086047978199016E-2</v>
      </c>
    </row>
    <row r="1404" spans="1:14">
      <c r="A1404" s="3">
        <f>prices!A1405</f>
        <v>45545</v>
      </c>
      <c r="B1404" s="5">
        <f>prices!B1405/prices!B1404-1</f>
        <v>-6.3451339030162757E-4</v>
      </c>
      <c r="C1404" s="5">
        <f>prices!C1405/prices!C1404-1</f>
        <v>1.3103848665908746E-2</v>
      </c>
      <c r="D1404" s="5">
        <f>prices!D1405/prices!D1404-1</f>
        <v>2.3402790814091023E-3</v>
      </c>
      <c r="E1404" s="5">
        <f>prices!E1405/prices!E1404-1</f>
        <v>9.3153054005188363E-3</v>
      </c>
      <c r="F1404" s="5">
        <f>prices!F1405/prices!F1404-1</f>
        <v>3.610823664105256E-3</v>
      </c>
      <c r="G1404" s="5">
        <f>prices!G1405/prices!G1404-1</f>
        <v>9.6871106956664121E-3</v>
      </c>
      <c r="H1404" s="5">
        <f>prices!H1405/prices!H1404-1</f>
        <v>7.9556763163486366E-3</v>
      </c>
      <c r="I1404" s="5">
        <f>prices!I1405/prices!I1404-1</f>
        <v>4.9901166069485914E-3</v>
      </c>
      <c r="J1404" s="5">
        <f>prices!J1405/prices!J1404-1</f>
        <v>4.1986814455974297E-3</v>
      </c>
      <c r="K1404" s="8">
        <f>SUMPRODUCT(B1404:I1404,weights!$B$5:$I$5)</f>
        <v>6.4009933474392785E-3</v>
      </c>
      <c r="L1404" s="4">
        <f t="shared" si="42"/>
        <v>299.09083527285748</v>
      </c>
      <c r="M1404" s="4">
        <f>L1404/MAX(L$2:L1404)-1</f>
        <v>-1.1013115657777073E-2</v>
      </c>
      <c r="N1404" s="4">
        <f t="shared" si="43"/>
        <v>2.5436094421139144E-2</v>
      </c>
    </row>
    <row r="1405" spans="1:14">
      <c r="A1405" s="3">
        <f>prices!A1406</f>
        <v>45546</v>
      </c>
      <c r="B1405" s="5">
        <f>prices!B1406/prices!B1405-1</f>
        <v>-6.8598560396408992E-3</v>
      </c>
      <c r="C1405" s="5">
        <f>prices!C1406/prices!C1405-1</f>
        <v>-6.3227214444838697E-3</v>
      </c>
      <c r="D1405" s="5">
        <f>prices!D1406/prices!D1405-1</f>
        <v>-3.90800579333761E-3</v>
      </c>
      <c r="E1405" s="5">
        <f>prices!E1406/prices!E1405-1</f>
        <v>-1.1237642765350442E-3</v>
      </c>
      <c r="F1405" s="5">
        <f>prices!F1406/prices!F1405-1</f>
        <v>1.4479082113947328E-3</v>
      </c>
      <c r="G1405" s="5">
        <f>prices!G1406/prices!G1405-1</f>
        <v>-1.6967129724445584E-3</v>
      </c>
      <c r="H1405" s="5">
        <f>prices!H1406/prices!H1405-1</f>
        <v>5.0918247924165438E-3</v>
      </c>
      <c r="I1405" s="5">
        <f>prices!I1406/prices!I1405-1</f>
        <v>-1.6463272929266637E-2</v>
      </c>
      <c r="J1405" s="5">
        <f>prices!J1406/prices!J1405-1</f>
        <v>-4.8979477738596566E-3</v>
      </c>
      <c r="K1405" s="8">
        <f>SUMPRODUCT(B1405:I1405,weights!$B$5:$I$5)</f>
        <v>-4.4978957347085267E-3</v>
      </c>
      <c r="L1405" s="4">
        <f t="shared" si="42"/>
        <v>297.74555588059332</v>
      </c>
      <c r="M1405" s="4">
        <f>L1405/MAX(L$2:L1405)-1</f>
        <v>-1.5461475546542536E-2</v>
      </c>
      <c r="N1405" s="4">
        <f t="shared" si="43"/>
        <v>2.6096754720064563E-2</v>
      </c>
    </row>
    <row r="1406" spans="1:14">
      <c r="A1406" s="3">
        <f>prices!A1407</f>
        <v>45547</v>
      </c>
      <c r="B1406" s="5">
        <f>prices!B1407/prices!B1406-1</f>
        <v>1.9498704024126789E-2</v>
      </c>
      <c r="C1406" s="5">
        <f>prices!C1407/prices!C1406-1</f>
        <v>8.5616314918095515E-3</v>
      </c>
      <c r="D1406" s="5">
        <f>prices!D1407/prices!D1406-1</f>
        <v>1.3813158851326834E-2</v>
      </c>
      <c r="E1406" s="5">
        <f>prices!E1407/prices!E1406-1</f>
        <v>2.109706991328375E-2</v>
      </c>
      <c r="F1406" s="5">
        <f>prices!F1407/prices!F1406-1</f>
        <v>1.0011172205305785E-2</v>
      </c>
      <c r="G1406" s="5">
        <f>prices!G1407/prices!G1406-1</f>
        <v>1.292627519789713E-2</v>
      </c>
      <c r="H1406" s="5">
        <f>prices!H1407/prices!H1406-1</f>
        <v>1.0672876875617465E-2</v>
      </c>
      <c r="I1406" s="5">
        <f>prices!I1407/prices!I1406-1</f>
        <v>2.4046427326192887E-2</v>
      </c>
      <c r="J1406" s="5">
        <f>prices!J1407/prices!J1406-1</f>
        <v>1.8879585206944993E-2</v>
      </c>
      <c r="K1406" s="8">
        <f>SUMPRODUCT(B1406:I1406,weights!$B$5:$I$5)</f>
        <v>1.5745184277103419E-2</v>
      </c>
      <c r="L1406" s="4">
        <f t="shared" si="42"/>
        <v>302.43361452562186</v>
      </c>
      <c r="M1406" s="4">
        <f>L1406/MAX(L$2:L1406)-1</f>
        <v>0</v>
      </c>
      <c r="N1406" s="4">
        <f t="shared" si="43"/>
        <v>3.8156831718639816E-2</v>
      </c>
    </row>
    <row r="1407" spans="1:14">
      <c r="A1407" s="3">
        <f>prices!A1408</f>
        <v>45548</v>
      </c>
      <c r="B1407" s="5">
        <f>prices!B1408/prices!B1407-1</f>
        <v>-4.8461963152550691E-3</v>
      </c>
      <c r="C1407" s="5">
        <f>prices!C1408/prices!C1407-1</f>
        <v>1.0840508717675501E-3</v>
      </c>
      <c r="D1407" s="5">
        <f>prices!D1408/prices!D1407-1</f>
        <v>-3.9564298166439027E-4</v>
      </c>
      <c r="E1407" s="5">
        <f>prices!E1408/prices!E1407-1</f>
        <v>-3.2562629882348926E-3</v>
      </c>
      <c r="F1407" s="5">
        <f>prices!F1408/prices!F1407-1</f>
        <v>-1.0866264694399885E-2</v>
      </c>
      <c r="G1407" s="5">
        <f>prices!G1408/prices!G1407-1</f>
        <v>-6.8375969860233754E-3</v>
      </c>
      <c r="H1407" s="5">
        <f>prices!H1408/prices!H1407-1</f>
        <v>-6.2410929283994721E-3</v>
      </c>
      <c r="I1407" s="5">
        <f>prices!I1408/prices!I1407-1</f>
        <v>-2.4846503199374981E-3</v>
      </c>
      <c r="J1407" s="5">
        <f>prices!J1408/prices!J1407-1</f>
        <v>-1.276148238009589E-3</v>
      </c>
      <c r="K1407" s="8">
        <f>SUMPRODUCT(B1407:I1407,weights!$B$5:$I$5)</f>
        <v>-4.4955876473155272E-3</v>
      </c>
      <c r="L1407" s="4">
        <f t="shared" si="42"/>
        <v>301.07399770402748</v>
      </c>
      <c r="M1407" s="4">
        <f>L1407/MAX(L$2:L1407)-1</f>
        <v>-4.4955876473156131E-3</v>
      </c>
      <c r="N1407" s="4">
        <f t="shared" si="43"/>
        <v>2.330295275546046E-2</v>
      </c>
    </row>
    <row r="1408" spans="1:14">
      <c r="A1408" s="3">
        <f>prices!A1409</f>
        <v>45551</v>
      </c>
      <c r="B1408" s="5">
        <f>prices!B1409/prices!B1408-1</f>
        <v>-8.6985109793014104E-4</v>
      </c>
      <c r="C1408" s="5">
        <f>prices!C1409/prices!C1408-1</f>
        <v>-2.0681760305777397E-3</v>
      </c>
      <c r="D1408" s="5">
        <f>prices!D1409/prices!D1408-1</f>
        <v>3.0056030377616505E-3</v>
      </c>
      <c r="E1408" s="5">
        <f>prices!E1409/prices!E1408-1</f>
        <v>3.1629291569534868E-3</v>
      </c>
      <c r="F1408" s="5">
        <f>prices!F1409/prices!F1408-1</f>
        <v>-5.3502905383181476E-3</v>
      </c>
      <c r="G1408" s="5">
        <f>prices!G1409/prices!G1408-1</f>
        <v>-2.1967946693326468E-3</v>
      </c>
      <c r="H1408" s="5">
        <f>prices!H1409/prices!H1408-1</f>
        <v>4.9615929845383544E-3</v>
      </c>
      <c r="I1408" s="5">
        <f>prices!I1409/prices!I1408-1</f>
        <v>1.3630503894228152E-2</v>
      </c>
      <c r="J1408" s="5">
        <f>prices!J1409/prices!J1408-1</f>
        <v>1.0746751326089488E-3</v>
      </c>
      <c r="K1408" s="8">
        <f>SUMPRODUCT(B1408:I1408,weights!$B$5:$I$5)</f>
        <v>2.7583748386755293E-3</v>
      </c>
      <c r="L1408" s="4">
        <f t="shared" si="42"/>
        <v>301.9044726438737</v>
      </c>
      <c r="M1408" s="4">
        <f>L1408/MAX(L$2:L1408)-1</f>
        <v>-1.749613324491528E-3</v>
      </c>
      <c r="N1408" s="4">
        <f t="shared" si="43"/>
        <v>2.4569997620485839E-2</v>
      </c>
    </row>
    <row r="1409" spans="1:14">
      <c r="A1409" s="3">
        <f>prices!A1410</f>
        <v>45552</v>
      </c>
      <c r="B1409" s="5">
        <f>prices!B1410/prices!B1409-1</f>
        <v>6.4438731790916748E-4</v>
      </c>
      <c r="C1409" s="5">
        <f>prices!C1410/prices!C1409-1</f>
        <v>-1.683726520838924E-3</v>
      </c>
      <c r="D1409" s="5">
        <f>prices!D1410/prices!D1409-1</f>
        <v>-1.2824939574803684E-3</v>
      </c>
      <c r="E1409" s="5">
        <f>prices!E1410/prices!E1409-1</f>
        <v>1.178267510364206E-3</v>
      </c>
      <c r="F1409" s="5">
        <f>prices!F1410/prices!F1409-1</f>
        <v>-6.5474747029387048E-3</v>
      </c>
      <c r="G1409" s="5">
        <f>prices!G1410/prices!G1409-1</f>
        <v>-3.5192867047231235E-3</v>
      </c>
      <c r="H1409" s="5">
        <f>prices!H1410/prices!H1409-1</f>
        <v>1.6894385487229435E-3</v>
      </c>
      <c r="I1409" s="5">
        <f>prices!I1410/prices!I1409-1</f>
        <v>8.997275492512502E-3</v>
      </c>
      <c r="J1409" s="5">
        <f>prices!J1410/prices!J1409-1</f>
        <v>1.3709558280394774E-3</v>
      </c>
      <c r="K1409" s="8">
        <f>SUMPRODUCT(B1409:I1409,weights!$B$5:$I$5)</f>
        <v>7.344056693339273E-4</v>
      </c>
      <c r="L1409" s="4">
        <f t="shared" si="42"/>
        <v>302.12619300018065</v>
      </c>
      <c r="M1409" s="4">
        <f>L1409/MAX(L$2:L1409)-1</f>
        <v>-1.0164925811021464E-3</v>
      </c>
      <c r="N1409" s="4">
        <f t="shared" si="43"/>
        <v>2.0130114839304269E-2</v>
      </c>
    </row>
    <row r="1410" spans="1:14">
      <c r="A1410" s="3">
        <f>prices!A1411</f>
        <v>45553</v>
      </c>
      <c r="B1410" s="5">
        <f>prices!B1411/prices!B1410-1</f>
        <v>-6.0081250128452002E-3</v>
      </c>
      <c r="C1410" s="5">
        <f>prices!C1411/prices!C1410-1</f>
        <v>-3.5398779747827347E-2</v>
      </c>
      <c r="D1410" s="5">
        <f>prices!D1411/prices!D1410-1</f>
        <v>1.5570207932039226E-2</v>
      </c>
      <c r="E1410" s="5">
        <f>prices!E1411/prices!E1410-1</f>
        <v>-3.0931261441896951E-2</v>
      </c>
      <c r="F1410" s="5">
        <f>prices!F1411/prices!F1410-1</f>
        <v>-7.988638380969082E-4</v>
      </c>
      <c r="G1410" s="5">
        <f>prices!G1411/prices!G1410-1</f>
        <v>-3.4008188978479348E-3</v>
      </c>
      <c r="H1410" s="5">
        <f>prices!H1411/prices!H1410-1</f>
        <v>-1.6129032258064502E-2</v>
      </c>
      <c r="I1410" s="5">
        <f>prices!I1411/prices!I1410-1</f>
        <v>9.540384594168172E-3</v>
      </c>
      <c r="J1410" s="5">
        <f>prices!J1411/prices!J1410-1</f>
        <v>-1.6129952337957665E-3</v>
      </c>
      <c r="K1410" s="8">
        <f>SUMPRODUCT(B1410:I1410,weights!$B$5:$I$5)</f>
        <v>-6.6175722391720402E-3</v>
      </c>
      <c r="L1410" s="4">
        <f t="shared" si="42"/>
        <v>300.1268510926559</v>
      </c>
      <c r="M1410" s="4">
        <f>L1410/MAX(L$2:L1410)-1</f>
        <v>-7.6273381071882973E-3</v>
      </c>
      <c r="N1410" s="4">
        <f t="shared" si="43"/>
        <v>1.074488628641701E-2</v>
      </c>
    </row>
    <row r="1411" spans="1:14">
      <c r="A1411" s="3">
        <f>prices!A1412</f>
        <v>45554</v>
      </c>
      <c r="B1411" s="5">
        <f>prices!B1412/prices!B1411-1</f>
        <v>4.2524742921732361E-3</v>
      </c>
      <c r="C1411" s="5">
        <f>prices!C1412/prices!C1411-1</f>
        <v>-1.1506151803934772E-2</v>
      </c>
      <c r="D1411" s="5">
        <f>prices!D1412/prices!D1411-1</f>
        <v>8.0852046833395086E-3</v>
      </c>
      <c r="E1411" s="5">
        <f>prices!E1412/prices!E1411-1</f>
        <v>1.0795068003306429E-3</v>
      </c>
      <c r="F1411" s="5">
        <f>prices!F1412/prices!F1411-1</f>
        <v>1.7766722927956557E-3</v>
      </c>
      <c r="G1411" s="5">
        <f>prices!G1412/prices!G1411-1</f>
        <v>1.2077755413113289E-2</v>
      </c>
      <c r="H1411" s="5">
        <f>prices!H1412/prices!H1411-1</f>
        <v>5.4755762669551622E-3</v>
      </c>
      <c r="I1411" s="5">
        <f>prices!I1412/prices!I1411-1</f>
        <v>-1.2531999355231749E-2</v>
      </c>
      <c r="J1411" s="5">
        <f>prices!J1412/prices!J1411-1</f>
        <v>1.5072376963103373E-3</v>
      </c>
      <c r="K1411" s="8">
        <f>SUMPRODUCT(B1411:I1411,weights!$B$5:$I$5)</f>
        <v>1.0772640687342224E-3</v>
      </c>
      <c r="L1411" s="4">
        <f t="shared" si="42"/>
        <v>300.45016696540034</v>
      </c>
      <c r="M1411" s="4">
        <f>L1411/MAX(L$2:L1411)-1</f>
        <v>-6.5582906957371012E-3</v>
      </c>
      <c r="N1411" s="4">
        <f t="shared" si="43"/>
        <v>1.2128240628507703E-2</v>
      </c>
    </row>
    <row r="1412" spans="1:14">
      <c r="A1412" s="3">
        <f>prices!A1413</f>
        <v>45555</v>
      </c>
      <c r="B1412" s="5">
        <f>prices!B1413/prices!B1412-1</f>
        <v>1.1056283414202284E-2</v>
      </c>
      <c r="C1412" s="5">
        <f>prices!C1413/prices!C1412-1</f>
        <v>-2.6181420962174684E-3</v>
      </c>
      <c r="D1412" s="5">
        <f>prices!D1413/prices!D1412-1</f>
        <v>1.914031406035166E-2</v>
      </c>
      <c r="E1412" s="5">
        <f>prices!E1413/prices!E1412-1</f>
        <v>6.099376021476921E-3</v>
      </c>
      <c r="F1412" s="5">
        <f>prices!F1413/prices!F1412-1</f>
        <v>1.2104283054003906E-2</v>
      </c>
      <c r="G1412" s="5">
        <f>prices!G1413/prices!G1412-1</f>
        <v>2.1293215680601829E-2</v>
      </c>
      <c r="H1412" s="5">
        <f>prices!H1413/prices!H1412-1</f>
        <v>1.0670815815318591E-2</v>
      </c>
      <c r="I1412" s="5">
        <f>prices!I1413/prices!I1412-1</f>
        <v>2.991400967252833E-2</v>
      </c>
      <c r="J1412" s="5">
        <f>prices!J1413/prices!J1412-1</f>
        <v>1.4760503308965278E-2</v>
      </c>
      <c r="K1412" s="8">
        <f>SUMPRODUCT(B1412:I1412,weights!$B$5:$I$5)</f>
        <v>1.5770936658353902E-2</v>
      </c>
      <c r="L1412" s="4">
        <f t="shared" ref="L1412:L1475" si="44">L1411*(1+K1412)</f>
        <v>305.18854751760352</v>
      </c>
      <c r="M1412" s="4">
        <f>L1412/MAX(L$2:L1412)-1</f>
        <v>0</v>
      </c>
      <c r="N1412" s="4">
        <f t="shared" si="43"/>
        <v>2.7415091021334437E-2</v>
      </c>
    </row>
    <row r="1413" spans="1:14">
      <c r="A1413" s="3">
        <f>prices!A1414</f>
        <v>45558</v>
      </c>
      <c r="B1413" s="5">
        <f>prices!B1414/prices!B1413-1</f>
        <v>5.0162910670648042E-3</v>
      </c>
      <c r="C1413" s="5">
        <f>prices!C1414/prices!C1413-1</f>
        <v>-3.8257392116917144E-3</v>
      </c>
      <c r="D1413" s="5">
        <f>prices!D1414/prices!D1413-1</f>
        <v>1.0686264067880868E-2</v>
      </c>
      <c r="E1413" s="5">
        <f>prices!E1414/prices!E1413-1</f>
        <v>-4.8789473978015918E-3</v>
      </c>
      <c r="F1413" s="5">
        <f>prices!F1414/prices!F1413-1</f>
        <v>4.9502781793488992E-3</v>
      </c>
      <c r="G1413" s="5">
        <f>prices!G1414/prices!G1413-1</f>
        <v>5.4381300408326005E-3</v>
      </c>
      <c r="H1413" s="5">
        <f>prices!H1414/prices!H1413-1</f>
        <v>-1.6377691400619732E-3</v>
      </c>
      <c r="I1413" s="5">
        <f>prices!I1414/prices!I1413-1</f>
        <v>-1.6333197223356022E-3</v>
      </c>
      <c r="J1413" s="5">
        <f>prices!J1414/prices!J1413-1</f>
        <v>5.7423243424534753E-3</v>
      </c>
      <c r="K1413" s="8">
        <f>SUMPRODUCT(B1413:I1413,weights!$B$5:$I$5)</f>
        <v>1.5858462273888308E-3</v>
      </c>
      <c r="L1413" s="4">
        <f t="shared" si="44"/>
        <v>305.67252962432656</v>
      </c>
      <c r="M1413" s="4">
        <f>L1413/MAX(L$2:L1413)-1</f>
        <v>0</v>
      </c>
      <c r="N1413" s="4">
        <f t="shared" si="43"/>
        <v>2.463430747634332E-2</v>
      </c>
    </row>
    <row r="1414" spans="1:14">
      <c r="A1414" s="3">
        <f>prices!A1415</f>
        <v>45559</v>
      </c>
      <c r="B1414" s="5">
        <f>prices!B1415/prices!B1414-1</f>
        <v>-2.6813635104924183E-3</v>
      </c>
      <c r="C1414" s="5">
        <f>prices!C1415/prices!C1414-1</f>
        <v>6.5562195829249603E-4</v>
      </c>
      <c r="D1414" s="5">
        <f>prices!D1415/prices!D1414-1</f>
        <v>4.6836213760479417E-3</v>
      </c>
      <c r="E1414" s="5">
        <f>prices!E1415/prices!E1414-1</f>
        <v>1.1331571890969006E-3</v>
      </c>
      <c r="F1414" s="5">
        <f>prices!F1415/prices!F1414-1</f>
        <v>-3.2911944202266286E-3</v>
      </c>
      <c r="G1414" s="5">
        <f>prices!G1415/prices!G1414-1</f>
        <v>4.3759166804855365E-3</v>
      </c>
      <c r="H1414" s="5">
        <f>prices!H1415/prices!H1414-1</f>
        <v>2.8981386294537614E-3</v>
      </c>
      <c r="I1414" s="5">
        <f>prices!I1415/prices!I1414-1</f>
        <v>1.0305672155850321E-3</v>
      </c>
      <c r="J1414" s="5">
        <f>prices!J1415/prices!J1414-1</f>
        <v>5.2045082607143911E-5</v>
      </c>
      <c r="K1414" s="8">
        <f>SUMPRODUCT(B1414:I1414,weights!$B$5:$I$5)</f>
        <v>1.3760637672089648E-3</v>
      </c>
      <c r="L1414" s="4">
        <f t="shared" si="44"/>
        <v>306.0931545169737</v>
      </c>
      <c r="M1414" s="4">
        <f>L1414/MAX(L$2:L1414)-1</f>
        <v>0</v>
      </c>
      <c r="N1414" s="4">
        <f t="shared" si="43"/>
        <v>1.8142864490148458E-2</v>
      </c>
    </row>
    <row r="1415" spans="1:14">
      <c r="A1415" s="3">
        <f>prices!A1416</f>
        <v>45560</v>
      </c>
      <c r="B1415" s="5">
        <f>prices!B1416/prices!B1415-1</f>
        <v>3.0745892646721895E-3</v>
      </c>
      <c r="C1415" s="5">
        <f>prices!C1416/prices!C1415-1</f>
        <v>8.0639064586840448E-4</v>
      </c>
      <c r="D1415" s="5">
        <f>prices!D1416/prices!D1415-1</f>
        <v>6.2584494895343568E-3</v>
      </c>
      <c r="E1415" s="5">
        <f>prices!E1416/prices!E1415-1</f>
        <v>-1.7370352730228245E-3</v>
      </c>
      <c r="F1415" s="5">
        <f>prices!F1416/prices!F1415-1</f>
        <v>4.4610640949942493E-3</v>
      </c>
      <c r="G1415" s="5">
        <f>prices!G1416/prices!G1415-1</f>
        <v>3.6659747212848259E-3</v>
      </c>
      <c r="H1415" s="5">
        <f>prices!H1416/prices!H1415-1</f>
        <v>1.3140246229677022E-3</v>
      </c>
      <c r="I1415" s="5">
        <f>prices!I1416/prices!I1415-1</f>
        <v>5.9404929265127748E-4</v>
      </c>
      <c r="J1415" s="5">
        <f>prices!J1416/prices!J1415-1</f>
        <v>2.4575565527131804E-3</v>
      </c>
      <c r="K1415" s="8">
        <f>SUMPRODUCT(B1415:I1415,weights!$B$5:$I$5)</f>
        <v>2.1810442281790937E-3</v>
      </c>
      <c r="L1415" s="4">
        <f t="shared" si="44"/>
        <v>306.76075722491805</v>
      </c>
      <c r="M1415" s="4">
        <f>L1415/MAX(L$2:L1415)-1</f>
        <v>0</v>
      </c>
      <c r="N1415" s="4">
        <f t="shared" si="43"/>
        <v>2.0212670891540663E-2</v>
      </c>
    </row>
    <row r="1416" spans="1:14">
      <c r="A1416" s="3">
        <f>prices!A1417</f>
        <v>45561</v>
      </c>
      <c r="B1416" s="5">
        <f>prices!B1417/prices!B1416-1</f>
        <v>2.6735801668960057E-3</v>
      </c>
      <c r="C1416" s="5">
        <f>prices!C1417/prices!C1416-1</f>
        <v>4.1520835956188051E-3</v>
      </c>
      <c r="D1416" s="5">
        <f>prices!D1417/prices!D1416-1</f>
        <v>2.443798427166799E-3</v>
      </c>
      <c r="E1416" s="5">
        <f>prices!E1417/prices!E1416-1</f>
        <v>2.6100867222362822E-3</v>
      </c>
      <c r="F1416" s="5">
        <f>prices!F1417/prices!F1416-1</f>
        <v>1.005812814316509E-2</v>
      </c>
      <c r="G1416" s="5">
        <f>prices!G1417/prices!G1416-1</f>
        <v>4.6811215526438632E-2</v>
      </c>
      <c r="H1416" s="5">
        <f>prices!H1417/prices!H1416-1</f>
        <v>1.4887256530190962E-2</v>
      </c>
      <c r="I1416" s="5">
        <f>prices!I1417/prices!I1416-1</f>
        <v>-8.3574214762360821E-3</v>
      </c>
      <c r="J1416" s="5">
        <f>prices!J1417/prices!J1416-1</f>
        <v>8.1486993422204002E-3</v>
      </c>
      <c r="K1416" s="8">
        <f>SUMPRODUCT(B1416:I1416,weights!$B$5:$I$5)</f>
        <v>1.1646980661537165E-2</v>
      </c>
      <c r="L1416" s="4">
        <f t="shared" si="44"/>
        <v>310.33359383203515</v>
      </c>
      <c r="M1416" s="4">
        <f>L1416/MAX(L$2:L1416)-1</f>
        <v>0</v>
      </c>
      <c r="N1416" s="4">
        <f t="shared" si="43"/>
        <v>2.8677313791369397E-2</v>
      </c>
    </row>
    <row r="1417" spans="1:14">
      <c r="A1417" s="3">
        <f>prices!A1418</f>
        <v>45562</v>
      </c>
      <c r="B1417" s="5">
        <f>prices!B1418/prices!B1417-1</f>
        <v>1.8846961861667788E-2</v>
      </c>
      <c r="C1417" s="5">
        <f>prices!C1418/prices!C1417-1</f>
        <v>3.7738309273593895E-3</v>
      </c>
      <c r="D1417" s="5">
        <f>prices!D1418/prices!D1417-1</f>
        <v>-1.7272853313614833E-2</v>
      </c>
      <c r="E1417" s="5">
        <f>prices!E1418/prices!E1417-1</f>
        <v>3.4206695778746798E-3</v>
      </c>
      <c r="F1417" s="5">
        <f>prices!F1418/prices!F1417-1</f>
        <v>-1.0777023386143725E-4</v>
      </c>
      <c r="G1417" s="5">
        <f>prices!G1418/prices!G1417-1</f>
        <v>8.353141849317014E-3</v>
      </c>
      <c r="H1417" s="5">
        <f>prices!H1418/prices!H1417-1</f>
        <v>2.6499482243361738E-2</v>
      </c>
      <c r="I1417" s="5">
        <f>prices!I1418/prices!I1417-1</f>
        <v>-1.5016267849257581E-2</v>
      </c>
      <c r="J1417" s="5">
        <f>prices!J1418/prices!J1417-1</f>
        <v>-1.4151636116043198E-3</v>
      </c>
      <c r="K1417" s="8">
        <f>SUMPRODUCT(B1417:I1417,weights!$B$5:$I$5)</f>
        <v>4.3894662432513495E-3</v>
      </c>
      <c r="L1417" s="4">
        <f t="shared" si="44"/>
        <v>311.69579266630774</v>
      </c>
      <c r="M1417" s="4">
        <f>L1417/MAX(L$2:L1417)-1</f>
        <v>0</v>
      </c>
      <c r="N1417" s="4">
        <f t="shared" si="43"/>
        <v>3.1188795970964245E-2</v>
      </c>
    </row>
    <row r="1418" spans="1:14">
      <c r="A1418" s="3">
        <f>prices!A1419</f>
        <v>45565</v>
      </c>
      <c r="B1418" s="5">
        <f>prices!B1419/prices!B1418-1</f>
        <v>-3.2502593995148987E-2</v>
      </c>
      <c r="C1418" s="5">
        <f>prices!C1419/prices!C1418-1</f>
        <v>-9.3279107878012635E-3</v>
      </c>
      <c r="D1418" s="5">
        <f>prices!D1419/prices!D1418-1</f>
        <v>-1.1756821895905101E-2</v>
      </c>
      <c r="E1418" s="5">
        <f>prices!E1419/prices!E1418-1</f>
        <v>-1.6336459652627089E-2</v>
      </c>
      <c r="F1418" s="5">
        <f>prices!F1419/prices!F1418-1</f>
        <v>-8.6872170726448594E-3</v>
      </c>
      <c r="G1418" s="5">
        <f>prices!G1419/prices!G1418-1</f>
        <v>-1.9087116839179408E-2</v>
      </c>
      <c r="H1418" s="5">
        <f>prices!H1419/prices!H1418-1</f>
        <v>-1.1289985364833832E-2</v>
      </c>
      <c r="I1418" s="5">
        <f>prices!I1419/prices!I1418-1</f>
        <v>-8.1245358783245125E-3</v>
      </c>
      <c r="J1418" s="5">
        <f>prices!J1419/prices!J1418-1</f>
        <v>-1.4060915353747983E-2</v>
      </c>
      <c r="K1418" s="8">
        <f>SUMPRODUCT(B1418:I1418,weights!$B$5:$I$5)</f>
        <v>-1.4954703418616638E-2</v>
      </c>
      <c r="L1418" s="4">
        <f t="shared" si="44"/>
        <v>307.03447453015252</v>
      </c>
      <c r="M1418" s="4">
        <f>L1418/MAX(L$2:L1418)-1</f>
        <v>-1.4954703418616488E-2</v>
      </c>
      <c r="N1418" s="4">
        <f t="shared" si="43"/>
        <v>1.5253670592104918E-2</v>
      </c>
    </row>
    <row r="1419" spans="1:14">
      <c r="A1419" s="3">
        <f>prices!A1420</f>
        <v>45566</v>
      </c>
      <c r="B1419" s="5">
        <f>prices!B1420/prices!B1419-1</f>
        <v>-7.9580307801603301E-3</v>
      </c>
      <c r="C1419" s="5">
        <f>prices!C1420/prices!C1419-1</f>
        <v>4.5439644955493907E-3</v>
      </c>
      <c r="D1419" s="5">
        <f>prices!D1420/prices!D1419-1</f>
        <v>-3.3786597190001988E-3</v>
      </c>
      <c r="E1419" s="5">
        <f>prices!E1420/prices!E1419-1</f>
        <v>1.5325887818131267E-2</v>
      </c>
      <c r="F1419" s="5">
        <f>prices!F1420/prices!F1419-1</f>
        <v>-3.7619327201166008E-3</v>
      </c>
      <c r="G1419" s="5">
        <f>prices!G1420/prices!G1419-1</f>
        <v>-5.4395945099661169E-3</v>
      </c>
      <c r="H1419" s="5">
        <f>prices!H1420/prices!H1419-1</f>
        <v>-3.5049693381263847E-3</v>
      </c>
      <c r="I1419" s="5">
        <f>prices!I1420/prices!I1419-1</f>
        <v>-5.9977373307157356E-3</v>
      </c>
      <c r="J1419" s="5">
        <f>prices!J1420/prices!J1419-1</f>
        <v>-5.4047038357885047E-4</v>
      </c>
      <c r="K1419" s="8">
        <f>SUMPRODUCT(B1419:I1419,weights!$B$5:$I$5)</f>
        <v>-2.6482778970811777E-3</v>
      </c>
      <c r="L1419" s="4">
        <f t="shared" si="44"/>
        <v>306.2213619176124</v>
      </c>
      <c r="M1419" s="4">
        <f>L1419/MAX(L$2:L1419)-1</f>
        <v>-1.7563377105176747E-2</v>
      </c>
      <c r="N1419" s="4">
        <f t="shared" si="43"/>
        <v>1.4460626921101838E-2</v>
      </c>
    </row>
    <row r="1420" spans="1:14">
      <c r="A1420" s="3">
        <f>prices!A1421</f>
        <v>45568</v>
      </c>
      <c r="B1420" s="5">
        <f>prices!B1421/prices!B1420-1</f>
        <v>-3.9489630098878958E-2</v>
      </c>
      <c r="C1420" s="5">
        <f>prices!C1421/prices!C1420-1</f>
        <v>-1.2862349763537506E-2</v>
      </c>
      <c r="D1420" s="5">
        <f>prices!D1421/prices!D1420-1</f>
        <v>-2.5604908502739554E-2</v>
      </c>
      <c r="E1420" s="5">
        <f>prices!E1421/prices!E1420-1</f>
        <v>-5.7484427809278982E-3</v>
      </c>
      <c r="F1420" s="5">
        <f>prices!F1421/prices!F1420-1</f>
        <v>-6.7010084253721347E-3</v>
      </c>
      <c r="G1420" s="5">
        <f>prices!G1421/prices!G1420-1</f>
        <v>-3.9392780898157564E-2</v>
      </c>
      <c r="H1420" s="5">
        <f>prices!H1421/prices!H1420-1</f>
        <v>-4.7374759279988909E-3</v>
      </c>
      <c r="I1420" s="5">
        <f>prices!I1421/prices!I1420-1</f>
        <v>-4.265872185631836E-2</v>
      </c>
      <c r="J1420" s="5">
        <f>prices!J1421/prices!J1420-1</f>
        <v>-2.1196345297303298E-2</v>
      </c>
      <c r="K1420" s="8">
        <f>SUMPRODUCT(B1420:I1420,weights!$B$5:$I$5)</f>
        <v>-2.5882054137312482E-2</v>
      </c>
      <c r="L1420" s="4">
        <f t="shared" si="44"/>
        <v>298.29572405045917</v>
      </c>
      <c r="M1420" s="4">
        <f>L1420/MAX(L$2:L1420)-1</f>
        <v>-4.2990854965419101E-2</v>
      </c>
      <c r="N1420" s="4">
        <f t="shared" si="43"/>
        <v>-9.2362635925017367E-3</v>
      </c>
    </row>
    <row r="1421" spans="1:14">
      <c r="A1421" s="3">
        <f>prices!A1422</f>
        <v>45569</v>
      </c>
      <c r="B1421" s="5">
        <f>prices!B1422/prices!B1421-1</f>
        <v>-1.4538363932240284E-2</v>
      </c>
      <c r="C1421" s="5">
        <f>prices!C1422/prices!C1421-1</f>
        <v>4.6077793148344703E-3</v>
      </c>
      <c r="D1421" s="5">
        <f>prices!D1422/prices!D1421-1</f>
        <v>-1.4468074680256682E-2</v>
      </c>
      <c r="E1421" s="5">
        <f>prices!E1422/prices!E1421-1</f>
        <v>1.3074796601789007E-2</v>
      </c>
      <c r="F1421" s="5">
        <f>prices!F1422/prices!F1421-1</f>
        <v>-1.7931307271408681E-2</v>
      </c>
      <c r="G1421" s="5">
        <f>prices!G1422/prices!G1421-1</f>
        <v>-3.288793882875618E-3</v>
      </c>
      <c r="H1421" s="5">
        <f>prices!H1422/prices!H1421-1</f>
        <v>-4.2109976333126742E-4</v>
      </c>
      <c r="I1421" s="5">
        <f>prices!I1422/prices!I1421-1</f>
        <v>-1.0577508661610002E-3</v>
      </c>
      <c r="J1421" s="5">
        <f>prices!J1422/prices!J1421-1</f>
        <v>-9.3266957358584257E-3</v>
      </c>
      <c r="K1421" s="8">
        <f>SUMPRODUCT(B1421:I1421,weights!$B$5:$I$5)</f>
        <v>-3.8239903152641492E-3</v>
      </c>
      <c r="L1421" s="4">
        <f t="shared" si="44"/>
        <v>297.15504409060549</v>
      </c>
      <c r="M1421" s="4">
        <f>L1421/MAX(L$2:L1421)-1</f>
        <v>-4.6650448667650557E-2</v>
      </c>
      <c r="N1421" s="4">
        <f t="shared" si="43"/>
        <v>-1.006209454290119E-2</v>
      </c>
    </row>
    <row r="1422" spans="1:14">
      <c r="A1422" s="3">
        <f>prices!A1423</f>
        <v>45572</v>
      </c>
      <c r="B1422" s="5">
        <f>prices!B1423/prices!B1422-1</f>
        <v>-1.1391990688538911E-2</v>
      </c>
      <c r="C1422" s="5">
        <f>prices!C1423/prices!C1422-1</f>
        <v>4.8448336961472993E-3</v>
      </c>
      <c r="D1422" s="5">
        <f>prices!D1423/prices!D1422-1</f>
        <v>-2.4040672741059366E-2</v>
      </c>
      <c r="E1422" s="5">
        <f>prices!E1423/prices!E1422-1</f>
        <v>8.4191610788506566E-3</v>
      </c>
      <c r="F1422" s="5">
        <f>prices!F1423/prices!F1422-1</f>
        <v>1.3201763218545048E-2</v>
      </c>
      <c r="G1422" s="5">
        <f>prices!G1423/prices!G1422-1</f>
        <v>-6.2080963619665086E-3</v>
      </c>
      <c r="H1422" s="5">
        <f>prices!H1423/prices!H1422-1</f>
        <v>-2.5116651113185062E-3</v>
      </c>
      <c r="I1422" s="5">
        <f>prices!I1423/prices!I1422-1</f>
        <v>-7.3275032232846815E-3</v>
      </c>
      <c r="J1422" s="5">
        <f>prices!J1423/prices!J1422-1</f>
        <v>-8.7488906478615514E-3</v>
      </c>
      <c r="K1422" s="8">
        <f>SUMPRODUCT(B1422:I1422,weights!$B$5:$I$5)</f>
        <v>-4.0237201402797572E-3</v>
      </c>
      <c r="L1422" s="4">
        <f t="shared" si="44"/>
        <v>295.95937535491242</v>
      </c>
      <c r="M1422" s="4">
        <f>L1422/MAX(L$2:L1422)-1</f>
        <v>-5.0486460458073146E-2</v>
      </c>
      <c r="N1422" s="4">
        <f t="shared" si="43"/>
        <v>-3.3711930728663742E-3</v>
      </c>
    </row>
    <row r="1423" spans="1:14">
      <c r="A1423" s="3">
        <f>prices!A1424</f>
        <v>45573</v>
      </c>
      <c r="B1423" s="5">
        <f>prices!B1424/prices!B1423-1</f>
        <v>1.942619150987146E-2</v>
      </c>
      <c r="C1423" s="5">
        <f>prices!C1424/prices!C1423-1</f>
        <v>-4.587202184525796E-3</v>
      </c>
      <c r="D1423" s="5">
        <f>prices!D1424/prices!D1423-1</f>
        <v>2.0544368448537131E-2</v>
      </c>
      <c r="E1423" s="5">
        <f>prices!E1424/prices!E1423-1</f>
        <v>7.3643858520191507E-3</v>
      </c>
      <c r="F1423" s="5">
        <f>prices!F1424/prices!F1423-1</f>
        <v>-4.4168635851681293E-3</v>
      </c>
      <c r="G1423" s="5">
        <f>prices!G1424/prices!G1423-1</f>
        <v>3.5533445855917556E-4</v>
      </c>
      <c r="H1423" s="5">
        <f>prices!H1424/prices!H1423-1</f>
        <v>6.2441861708384394E-3</v>
      </c>
      <c r="I1423" s="5">
        <f>prices!I1424/prices!I1423-1</f>
        <v>1.846867231256577E-2</v>
      </c>
      <c r="J1423" s="5">
        <f>prices!J1424/prices!J1423-1</f>
        <v>8.7676315497615676E-3</v>
      </c>
      <c r="K1423" s="8">
        <f>SUMPRODUCT(B1423:I1423,weights!$B$5:$I$5)</f>
        <v>8.5014692684799442E-3</v>
      </c>
      <c r="L1423" s="4">
        <f t="shared" si="44"/>
        <v>298.47546488921074</v>
      </c>
      <c r="M1423" s="4">
        <f>L1423/MAX(L$2:L1423)-1</f>
        <v>-4.241420028165177E-2</v>
      </c>
      <c r="N1423" s="4">
        <f t="shared" si="43"/>
        <v>4.3303536208370019E-3</v>
      </c>
    </row>
    <row r="1424" spans="1:14">
      <c r="A1424" s="3">
        <f>prices!A1425</f>
        <v>45574</v>
      </c>
      <c r="B1424" s="5">
        <f>prices!B1425/prices!B1424-1</f>
        <v>-1.6284223215123683E-2</v>
      </c>
      <c r="C1424" s="5">
        <f>prices!C1425/prices!C1424-1</f>
        <v>-7.0858629442338561E-5</v>
      </c>
      <c r="D1424" s="5">
        <f>prices!D1425/prices!D1424-1</f>
        <v>-1.0832938122457114E-2</v>
      </c>
      <c r="E1424" s="5">
        <f>prices!E1425/prices!E1424-1</f>
        <v>2.1565844070758899E-3</v>
      </c>
      <c r="F1424" s="5">
        <f>prices!F1425/prices!F1424-1</f>
        <v>-3.1986868081897102E-2</v>
      </c>
      <c r="G1424" s="5">
        <f>prices!G1425/prices!G1424-1</f>
        <v>1.8253304210602783E-2</v>
      </c>
      <c r="H1424" s="5">
        <f>prices!H1425/prices!H1424-1</f>
        <v>7.1458171733378428E-3</v>
      </c>
      <c r="I1424" s="5">
        <f>prices!I1425/prices!I1424-1</f>
        <v>-1.2824914668874809E-2</v>
      </c>
      <c r="J1424" s="5">
        <f>prices!J1425/prices!J1424-1</f>
        <v>-1.2473438971101203E-3</v>
      </c>
      <c r="K1424" s="8">
        <f>SUMPRODUCT(B1424:I1424,weights!$B$5:$I$5)</f>
        <v>-3.2767298399276282E-3</v>
      </c>
      <c r="L1424" s="4">
        <f t="shared" si="44"/>
        <v>297.49744142692197</v>
      </c>
      <c r="M1424" s="4">
        <f>L1424/MAX(L$2:L1424)-1</f>
        <v>-4.5551950245879991E-2</v>
      </c>
      <c r="N1424" s="4">
        <f t="shared" si="43"/>
        <v>-5.327457942607583E-3</v>
      </c>
    </row>
    <row r="1425" spans="1:14">
      <c r="A1425" s="3">
        <f>prices!A1426</f>
        <v>45575</v>
      </c>
      <c r="B1425" s="5">
        <f>prices!B1426/prices!B1425-1</f>
        <v>-2.5828606649398456E-3</v>
      </c>
      <c r="C1425" s="5">
        <f>prices!C1426/prices!C1425-1</f>
        <v>-6.0082252451755247E-3</v>
      </c>
      <c r="D1425" s="5">
        <f>prices!D1426/prices!D1425-1</f>
        <v>1.7903555477049471E-2</v>
      </c>
      <c r="E1425" s="5">
        <f>prices!E1426/prices!E1425-1</f>
        <v>-1.7286371932118461E-2</v>
      </c>
      <c r="F1425" s="5">
        <f>prices!F1426/prices!F1425-1</f>
        <v>7.1037374825277944E-4</v>
      </c>
      <c r="G1425" s="5">
        <f>prices!G1426/prices!G1425-1</f>
        <v>1.4372078658787313E-2</v>
      </c>
      <c r="H1425" s="5">
        <f>prices!H1426/prices!H1425-1</f>
        <v>-2.2319285529654564E-2</v>
      </c>
      <c r="I1425" s="5">
        <f>prices!I1426/prices!I1425-1</f>
        <v>-7.6721633454723825E-3</v>
      </c>
      <c r="J1425" s="5">
        <f>prices!J1426/prices!J1425-1</f>
        <v>6.6047686429593355E-4</v>
      </c>
      <c r="K1425" s="8">
        <f>SUMPRODUCT(B1425:I1425,weights!$B$5:$I$5)</f>
        <v>-3.0150298709606211E-3</v>
      </c>
      <c r="L1425" s="4">
        <f t="shared" si="44"/>
        <v>296.60047775448544</v>
      </c>
      <c r="M1425" s="4">
        <f>L1425/MAX(L$2:L1425)-1</f>
        <v>-4.8429639626168752E-2</v>
      </c>
      <c r="N1425" s="4">
        <f t="shared" si="43"/>
        <v>-3.8458277663331319E-3</v>
      </c>
    </row>
    <row r="1426" spans="1:14">
      <c r="A1426" s="3">
        <f>prices!A1427</f>
        <v>45576</v>
      </c>
      <c r="B1426" s="5">
        <f>prices!B1427/prices!B1426-1</f>
        <v>7.6509405507207973E-4</v>
      </c>
      <c r="C1426" s="5">
        <f>prices!C1427/prices!C1426-1</f>
        <v>-1.849772502170588E-2</v>
      </c>
      <c r="D1426" s="5">
        <f>prices!D1427/prices!D1426-1</f>
        <v>-6.8544938458295901E-3</v>
      </c>
      <c r="E1426" s="5">
        <f>prices!E1427/prices!E1426-1</f>
        <v>8.3932986661641173E-3</v>
      </c>
      <c r="F1426" s="5">
        <f>prices!F1427/prices!F1426-1</f>
        <v>-7.8085642317379245E-3</v>
      </c>
      <c r="G1426" s="5">
        <f>prices!G1427/prices!G1426-1</f>
        <v>-1.2936409592236076E-2</v>
      </c>
      <c r="H1426" s="5">
        <f>prices!H1427/prices!H1426-1</f>
        <v>7.5214745111580328E-3</v>
      </c>
      <c r="I1426" s="5">
        <f>prices!I1427/prices!I1426-1</f>
        <v>6.4178651688702182E-3</v>
      </c>
      <c r="J1426" s="5">
        <f>prices!J1427/prices!J1426-1</f>
        <v>-1.3680848212589414E-3</v>
      </c>
      <c r="K1426" s="8">
        <f>SUMPRODUCT(B1426:I1426,weights!$B$5:$I$5)</f>
        <v>-2.0933713381363498E-3</v>
      </c>
      <c r="L1426" s="4">
        <f t="shared" si="44"/>
        <v>295.97958281547665</v>
      </c>
      <c r="M1426" s="4">
        <f>L1426/MAX(L$2:L1426)-1</f>
        <v>-5.0421629744795471E-2</v>
      </c>
      <c r="N1426" s="4">
        <f t="shared" si="43"/>
        <v>-2.1340325281859251E-2</v>
      </c>
    </row>
    <row r="1427" spans="1:14">
      <c r="A1427" s="3">
        <f>prices!A1428</f>
        <v>45579</v>
      </c>
      <c r="B1427" s="5">
        <f>prices!B1428/prices!B1427-1</f>
        <v>3.0874407321657138E-4</v>
      </c>
      <c r="C1427" s="5">
        <f>prices!C1428/prices!C1427-1</f>
        <v>-3.024753168727301E-3</v>
      </c>
      <c r="D1427" s="5">
        <f>prices!D1428/prices!D1427-1</f>
        <v>2.2465178972592481E-2</v>
      </c>
      <c r="E1427" s="5">
        <f>prices!E1428/prices!E1427-1</f>
        <v>1.2298236354840064E-2</v>
      </c>
      <c r="F1427" s="5">
        <f>prices!F1428/prices!F1427-1</f>
        <v>1.7909483256017822E-2</v>
      </c>
      <c r="G1427" s="5">
        <f>prices!G1428/prices!G1427-1</f>
        <v>-1.8690027936353659E-2</v>
      </c>
      <c r="H1427" s="5">
        <f>prices!H1428/prices!H1427-1</f>
        <v>4.1021796176297087E-3</v>
      </c>
      <c r="I1427" s="5">
        <f>prices!I1428/prices!I1427-1</f>
        <v>2.0816505706760413E-2</v>
      </c>
      <c r="J1427" s="5">
        <f>prices!J1428/prices!J1427-1</f>
        <v>6.5573770491802463E-3</v>
      </c>
      <c r="K1427" s="8">
        <f>SUMPRODUCT(B1427:I1427,weights!$B$5:$I$5)</f>
        <v>5.0704411881269109E-3</v>
      </c>
      <c r="L1427" s="4">
        <f t="shared" si="44"/>
        <v>297.48032988302884</v>
      </c>
      <c r="M1427" s="4">
        <f>L1427/MAX(L$2:L1427)-1</f>
        <v>-4.5606848464899041E-2</v>
      </c>
      <c r="N1427" s="4">
        <f t="shared" si="43"/>
        <v>-1.193616137030673E-2</v>
      </c>
    </row>
    <row r="1428" spans="1:14">
      <c r="A1428" s="3">
        <f>prices!A1429</f>
        <v>45580</v>
      </c>
      <c r="B1428" s="5">
        <f>prices!B1429/prices!B1428-1</f>
        <v>-2.0760304827413867E-2</v>
      </c>
      <c r="C1428" s="5">
        <f>prices!C1429/prices!C1428-1</f>
        <v>-4.7980849292255101E-3</v>
      </c>
      <c r="D1428" s="5">
        <f>prices!D1429/prices!D1428-1</f>
        <v>-2.3680484351350506E-3</v>
      </c>
      <c r="E1428" s="5">
        <f>prices!E1429/prices!E1428-1</f>
        <v>2.0637256765487777E-4</v>
      </c>
      <c r="F1428" s="5">
        <f>prices!F1429/prices!F1428-1</f>
        <v>3.2195896156899106E-3</v>
      </c>
      <c r="G1428" s="5">
        <f>prices!G1429/prices!G1428-1</f>
        <v>-7.2661268848323024E-3</v>
      </c>
      <c r="H1428" s="5">
        <f>prices!H1429/prices!H1428-1</f>
        <v>-5.9201262960276724E-3</v>
      </c>
      <c r="I1428" s="5">
        <f>prices!I1429/prices!I1428-1</f>
        <v>-8.8586147878666477E-4</v>
      </c>
      <c r="J1428" s="5">
        <f>prices!J1429/prices!J1428-1</f>
        <v>-2.809620362982379E-3</v>
      </c>
      <c r="K1428" s="8">
        <f>SUMPRODUCT(B1428:I1428,weights!$B$5:$I$5)</f>
        <v>-5.4329131677130502E-3</v>
      </c>
      <c r="L1428" s="4">
        <f t="shared" si="44"/>
        <v>295.86414508167172</v>
      </c>
      <c r="M1428" s="4">
        <f>L1428/MAX(L$2:L1428)-1</f>
        <v>-5.0791983585049216E-2</v>
      </c>
      <c r="N1428" s="4">
        <f t="shared" si="43"/>
        <v>-2.0007413302972621E-2</v>
      </c>
    </row>
    <row r="1429" spans="1:14">
      <c r="A1429" s="3">
        <f>prices!A1430</f>
        <v>45581</v>
      </c>
      <c r="B1429" s="5">
        <f>prices!B1430/prices!B1429-1</f>
        <v>7.4745594812835048E-3</v>
      </c>
      <c r="C1429" s="5">
        <f>prices!C1430/prices!C1429-1</f>
        <v>-5.3075225635073053E-3</v>
      </c>
      <c r="D1429" s="5">
        <f>prices!D1430/prices!D1429-1</f>
        <v>9.3233818671234481E-3</v>
      </c>
      <c r="E1429" s="5">
        <f>prices!E1430/prices!E1429-1</f>
        <v>-2.000857898366204E-2</v>
      </c>
      <c r="F1429" s="5">
        <f>prices!F1430/prices!F1429-1</f>
        <v>-1.0735191086401308E-2</v>
      </c>
      <c r="G1429" s="5">
        <f>prices!G1430/prices!G1429-1</f>
        <v>-5.0496102055280767E-3</v>
      </c>
      <c r="H1429" s="5">
        <f>prices!H1430/prices!H1429-1</f>
        <v>2.6826049166928101E-5</v>
      </c>
      <c r="I1429" s="5">
        <f>prices!I1430/prices!I1429-1</f>
        <v>-5.4346578518467137E-3</v>
      </c>
      <c r="J1429" s="5">
        <f>prices!J1430/prices!J1429-1</f>
        <v>-3.4341221238478603E-3</v>
      </c>
      <c r="K1429" s="8">
        <f>SUMPRODUCT(B1429:I1429,weights!$B$5:$I$5)</f>
        <v>-3.4629709798553632E-3</v>
      </c>
      <c r="L1429" s="4">
        <f t="shared" si="44"/>
        <v>294.83957613327419</v>
      </c>
      <c r="M1429" s="4">
        <f>L1429/MAX(L$2:L1429)-1</f>
        <v>-5.4079063399740224E-2</v>
      </c>
      <c r="N1429" s="4">
        <f t="shared" si="43"/>
        <v>-2.4117792616882072E-2</v>
      </c>
    </row>
    <row r="1430" spans="1:14">
      <c r="A1430" s="3">
        <f>prices!A1431</f>
        <v>45582</v>
      </c>
      <c r="B1430" s="5">
        <f>prices!B1431/prices!B1430-1</f>
        <v>1.7355938263512449E-3</v>
      </c>
      <c r="C1430" s="5">
        <f>prices!C1431/prices!C1430-1</f>
        <v>3.4301845728434976E-3</v>
      </c>
      <c r="D1430" s="5">
        <f>prices!D1431/prices!D1430-1</f>
        <v>-1.5674247199728431E-2</v>
      </c>
      <c r="E1430" s="5">
        <f>prices!E1431/prices!E1430-1</f>
        <v>2.499916891060816E-2</v>
      </c>
      <c r="F1430" s="5">
        <f>prices!F1431/prices!F1430-1</f>
        <v>-8.7041944622132661E-3</v>
      </c>
      <c r="G1430" s="5">
        <f>prices!G1431/prices!G1430-1</f>
        <v>-1.9391597991010312E-2</v>
      </c>
      <c r="H1430" s="5">
        <f>prices!H1431/prices!H1430-1</f>
        <v>-4.7158929347448364E-3</v>
      </c>
      <c r="I1430" s="5">
        <f>prices!I1431/prices!I1430-1</f>
        <v>1.0671936758893441E-2</v>
      </c>
      <c r="J1430" s="5">
        <f>prices!J1431/prices!J1430-1</f>
        <v>-8.8681806714108191E-3</v>
      </c>
      <c r="K1430" s="8">
        <f>SUMPRODUCT(B1430:I1430,weights!$B$5:$I$5)</f>
        <v>-1.6305054959641981E-3</v>
      </c>
      <c r="L1430" s="4">
        <f t="shared" si="44"/>
        <v>294.35883858396113</v>
      </c>
      <c r="M1430" s="4">
        <f>L1430/MAX(L$2:L1430)-1</f>
        <v>-5.5621392685614612E-2</v>
      </c>
      <c r="N1430" s="4">
        <f t="shared" si="43"/>
        <v>-1.9218582035214316E-2</v>
      </c>
    </row>
    <row r="1431" spans="1:14">
      <c r="A1431" s="3">
        <f>prices!A1432</f>
        <v>45583</v>
      </c>
      <c r="B1431" s="5">
        <f>prices!B1432/prices!B1431-1</f>
        <v>2.119258482611075E-3</v>
      </c>
      <c r="C1431" s="5">
        <f>prices!C1432/prices!C1431-1</f>
        <v>5.8676991022943437E-3</v>
      </c>
      <c r="D1431" s="5">
        <f>prices!D1432/prices!D1431-1</f>
        <v>5.1971083387727379E-3</v>
      </c>
      <c r="E1431" s="5">
        <f>prices!E1432/prices!E1431-1</f>
        <v>-4.4968053708688727E-2</v>
      </c>
      <c r="F1431" s="5">
        <f>prices!F1432/prices!F1431-1</f>
        <v>-4.5170657509622236E-3</v>
      </c>
      <c r="G1431" s="5">
        <f>prices!G1432/prices!G1431-1</f>
        <v>-3.1830452814675114E-3</v>
      </c>
      <c r="H1431" s="5">
        <f>prices!H1432/prices!H1431-1</f>
        <v>1.101276467290524E-2</v>
      </c>
      <c r="I1431" s="5">
        <f>prices!I1432/prices!I1431-1</f>
        <v>2.101002258006357E-3</v>
      </c>
      <c r="J1431" s="5">
        <f>prices!J1432/prices!J1431-1</f>
        <v>4.2101265260194864E-3</v>
      </c>
      <c r="K1431" s="8">
        <f>SUMPRODUCT(B1431:I1431,weights!$B$5:$I$5)</f>
        <v>-1.5618036405502444E-3</v>
      </c>
      <c r="L1431" s="4">
        <f t="shared" si="44"/>
        <v>293.89910787823254</v>
      </c>
      <c r="M1431" s="4">
        <f>L1431/MAX(L$2:L1431)-1</f>
        <v>-5.7096326632576022E-2</v>
      </c>
      <c r="N1431" s="4">
        <f t="shared" ref="N1431:N1494" si="45">L1431/L1411-1</f>
        <v>-2.1804145270860276E-2</v>
      </c>
    </row>
    <row r="1432" spans="1:14">
      <c r="A1432" s="3">
        <f>prices!A1433</f>
        <v>45586</v>
      </c>
      <c r="B1432" s="5">
        <f>prices!B1433/prices!B1432-1</f>
        <v>7.2867043616342553E-3</v>
      </c>
      <c r="C1432" s="5">
        <f>prices!C1433/prices!C1432-1</f>
        <v>-1.0476808050188691E-2</v>
      </c>
      <c r="D1432" s="5">
        <f>prices!D1433/prices!D1432-1</f>
        <v>2.7860477083103685E-2</v>
      </c>
      <c r="E1432" s="5">
        <f>prices!E1433/prices!E1432-1</f>
        <v>-1.4285795142603308E-2</v>
      </c>
      <c r="F1432" s="5">
        <f>prices!F1433/prices!F1432-1</f>
        <v>-6.2507234633637498E-3</v>
      </c>
      <c r="G1432" s="5">
        <f>prices!G1433/prices!G1432-1</f>
        <v>5.8491567008900347E-3</v>
      </c>
      <c r="H1432" s="5">
        <f>prices!H1433/prices!H1432-1</f>
        <v>-6.9899496147796114E-3</v>
      </c>
      <c r="I1432" s="5">
        <f>prices!I1433/prices!I1432-1</f>
        <v>2.1820564315118141E-3</v>
      </c>
      <c r="J1432" s="5">
        <f>prices!J1433/prices!J1432-1</f>
        <v>-2.9351353199982277E-3</v>
      </c>
      <c r="K1432" s="8">
        <f>SUMPRODUCT(B1432:I1432,weights!$B$5:$I$5)</f>
        <v>8.5820123303722445E-4</v>
      </c>
      <c r="L1432" s="4">
        <f t="shared" si="44"/>
        <v>294.15133245500215</v>
      </c>
      <c r="M1432" s="4">
        <f>L1432/MAX(L$2:L1432)-1</f>
        <v>-5.628712553745685E-2</v>
      </c>
      <c r="N1432" s="4">
        <f t="shared" si="45"/>
        <v>-3.6165233434798938E-2</v>
      </c>
    </row>
    <row r="1433" spans="1:14">
      <c r="A1433" s="3">
        <f>prices!A1434</f>
        <v>45587</v>
      </c>
      <c r="B1433" s="5">
        <f>prices!B1434/prices!B1433-1</f>
        <v>-1.8880572826119102E-2</v>
      </c>
      <c r="C1433" s="5">
        <f>prices!C1434/prices!C1433-1</f>
        <v>-1.5775012632642804E-2</v>
      </c>
      <c r="D1433" s="5">
        <f>prices!D1434/prices!D1433-1</f>
        <v>-8.1888074378687614E-3</v>
      </c>
      <c r="E1433" s="5">
        <f>prices!E1434/prices!E1433-1</f>
        <v>-6.2013723407305932E-4</v>
      </c>
      <c r="F1433" s="5">
        <f>prices!F1434/prices!F1433-1</f>
        <v>-3.8206173558531509E-3</v>
      </c>
      <c r="G1433" s="5">
        <f>prices!G1434/prices!G1433-1</f>
        <v>-2.0746686165074579E-2</v>
      </c>
      <c r="H1433" s="5">
        <f>prices!H1434/prices!H1433-1</f>
        <v>-4.9827108524301833E-3</v>
      </c>
      <c r="I1433" s="5">
        <f>prices!I1434/prices!I1433-1</f>
        <v>-2.0556491980068925E-2</v>
      </c>
      <c r="J1433" s="5">
        <f>prices!J1434/prices!J1433-1</f>
        <v>-1.2469180141317371E-2</v>
      </c>
      <c r="K1433" s="8">
        <f>SUMPRODUCT(B1433:I1433,weights!$B$5:$I$5)</f>
        <v>-1.3602657229308136E-2</v>
      </c>
      <c r="L1433" s="4">
        <f t="shared" si="44"/>
        <v>290.15009270607248</v>
      </c>
      <c r="M1433" s="4">
        <f>L1433/MAX(L$2:L1433)-1</f>
        <v>-6.9124128291655929E-2</v>
      </c>
      <c r="N1433" s="4">
        <f t="shared" si="45"/>
        <v>-5.0781262344153921E-2</v>
      </c>
    </row>
    <row r="1434" spans="1:14">
      <c r="A1434" s="3">
        <f>prices!A1435</f>
        <v>45588</v>
      </c>
      <c r="B1434" s="5">
        <f>prices!B1435/prices!B1434-1</f>
        <v>-3.5965011074819975E-3</v>
      </c>
      <c r="C1434" s="5">
        <f>prices!C1435/prices!C1434-1</f>
        <v>1.2639916143903251E-2</v>
      </c>
      <c r="D1434" s="5">
        <f>prices!D1435/prices!D1434-1</f>
        <v>1.2390635515815651E-2</v>
      </c>
      <c r="E1434" s="5">
        <f>prices!E1435/prices!E1434-1</f>
        <v>1.1772682091618858E-2</v>
      </c>
      <c r="F1434" s="5">
        <f>prices!F1435/prices!F1434-1</f>
        <v>-3.0167676153505241E-3</v>
      </c>
      <c r="G1434" s="5">
        <f>prices!G1435/prices!G1434-1</f>
        <v>2.7598100414956139E-3</v>
      </c>
      <c r="H1434" s="5">
        <f>prices!H1435/prices!H1434-1</f>
        <v>-2.5534762243951015E-2</v>
      </c>
      <c r="I1434" s="5">
        <f>prices!I1435/prices!I1434-1</f>
        <v>-1.6086296611226958E-2</v>
      </c>
      <c r="J1434" s="5">
        <f>prices!J1435/prices!J1434-1</f>
        <v>-1.4955806816742134E-3</v>
      </c>
      <c r="K1434" s="8">
        <f>SUMPRODUCT(B1434:I1434,weights!$B$5:$I$5)</f>
        <v>-4.1651613417734747E-3</v>
      </c>
      <c r="L1434" s="4">
        <f t="shared" si="44"/>
        <v>288.94157075662116</v>
      </c>
      <c r="M1434" s="4">
        <f>L1434/MAX(L$2:L1434)-1</f>
        <v>-7.3001376486485192E-2</v>
      </c>
      <c r="N1434" s="4">
        <f t="shared" si="45"/>
        <v>-5.6033869125294178E-2</v>
      </c>
    </row>
    <row r="1435" spans="1:14">
      <c r="A1435" s="3">
        <f>prices!A1436</f>
        <v>45589</v>
      </c>
      <c r="B1435" s="5">
        <f>prices!B1436/prices!B1435-1</f>
        <v>9.5700269769261048E-4</v>
      </c>
      <c r="C1435" s="5">
        <f>prices!C1436/prices!C1435-1</f>
        <v>-4.5127950546737239E-3</v>
      </c>
      <c r="D1435" s="5">
        <f>prices!D1436/prices!D1435-1</f>
        <v>7.9773026745331155E-3</v>
      </c>
      <c r="E1435" s="5">
        <f>prices!E1436/prices!E1435-1</f>
        <v>-5.3663910594221598E-3</v>
      </c>
      <c r="F1435" s="5">
        <f>prices!F1436/prices!F1435-1</f>
        <v>-1.8014636892475178E-2</v>
      </c>
      <c r="G1435" s="5">
        <f>prices!G1436/prices!G1435-1</f>
        <v>-1.6100838814848362E-2</v>
      </c>
      <c r="H1435" s="5">
        <f>prices!H1436/prices!H1435-1</f>
        <v>5.1887210384087279E-3</v>
      </c>
      <c r="I1435" s="5">
        <f>prices!I1436/prices!I1435-1</f>
        <v>-3.6898736417372291E-3</v>
      </c>
      <c r="J1435" s="5">
        <f>prices!J1436/prices!J1435-1</f>
        <v>-1.4773587608192251E-3</v>
      </c>
      <c r="K1435" s="8">
        <f>SUMPRODUCT(B1435:I1435,weights!$B$5:$I$5)</f>
        <v>-4.7163098744228277E-3</v>
      </c>
      <c r="L1435" s="4">
        <f t="shared" si="44"/>
        <v>287.57883277333048</v>
      </c>
      <c r="M1435" s="4">
        <f>L1435/MAX(L$2:L1435)-1</f>
        <v>-7.7373389248138413E-2</v>
      </c>
      <c r="N1435" s="4">
        <f t="shared" si="45"/>
        <v>-6.2530568202774806E-2</v>
      </c>
    </row>
    <row r="1436" spans="1:14">
      <c r="A1436" s="3">
        <f>prices!A1437</f>
        <v>45590</v>
      </c>
      <c r="B1436" s="5">
        <f>prices!B1437/prices!B1436-1</f>
        <v>-8.9209759622984608E-3</v>
      </c>
      <c r="C1436" s="5">
        <f>prices!C1437/prices!C1436-1</f>
        <v>2.3846659876070042E-3</v>
      </c>
      <c r="D1436" s="5">
        <f>prices!D1437/prices!D1436-1</f>
        <v>-3.568442251298376E-3</v>
      </c>
      <c r="E1436" s="5">
        <f>prices!E1437/prices!E1436-1</f>
        <v>-6.9654184104006589E-4</v>
      </c>
      <c r="F1436" s="5">
        <f>prices!F1437/prices!F1436-1</f>
        <v>2.247754634053134E-2</v>
      </c>
      <c r="G1436" s="5">
        <f>prices!G1437/prices!G1436-1</f>
        <v>-2.2174063228496355E-2</v>
      </c>
      <c r="H1436" s="5">
        <f>prices!H1437/prices!H1436-1</f>
        <v>6.2196660441491414E-3</v>
      </c>
      <c r="I1436" s="5">
        <f>prices!I1437/prices!I1436-1</f>
        <v>-3.3770001628254609E-2</v>
      </c>
      <c r="J1436" s="5">
        <f>prices!J1437/prices!J1436-1</f>
        <v>-8.9592367025419506E-3</v>
      </c>
      <c r="K1436" s="8">
        <f>SUMPRODUCT(B1436:I1436,weights!$B$5:$I$5)</f>
        <v>-9.3955899812633945E-3</v>
      </c>
      <c r="L1436" s="4">
        <f t="shared" si="44"/>
        <v>284.87685997330192</v>
      </c>
      <c r="M1436" s="4">
        <f>L1436/MAX(L$2:L1436)-1</f>
        <v>-8.6042010588565643E-2</v>
      </c>
      <c r="N1436" s="4">
        <f t="shared" si="45"/>
        <v>-8.2030222846294354E-2</v>
      </c>
    </row>
    <row r="1437" spans="1:14">
      <c r="A1437" s="3">
        <f>prices!A1438</f>
        <v>45593</v>
      </c>
      <c r="B1437" s="5">
        <f>prices!B1438/prices!B1437-1</f>
        <v>4.8994287797763381E-3</v>
      </c>
      <c r="C1437" s="5">
        <f>prices!C1438/prices!C1437-1</f>
        <v>8.2060700043133927E-3</v>
      </c>
      <c r="D1437" s="5">
        <f>prices!D1438/prices!D1437-1</f>
        <v>-5.2713691376702343E-3</v>
      </c>
      <c r="E1437" s="5">
        <f>prices!E1438/prices!E1437-1</f>
        <v>1.7711350690456928E-3</v>
      </c>
      <c r="F1437" s="5">
        <f>prices!F1438/prices!F1437-1</f>
        <v>3.8313281158743884E-3</v>
      </c>
      <c r="G1437" s="5">
        <f>prices!G1438/prices!G1437-1</f>
        <v>-1.7041626836302726E-3</v>
      </c>
      <c r="H1437" s="5">
        <f>prices!H1438/prices!H1437-1</f>
        <v>2.2846975088967936E-2</v>
      </c>
      <c r="I1437" s="5">
        <f>prices!I1438/prices!I1437-1</f>
        <v>4.3293359233771422E-3</v>
      </c>
      <c r="J1437" s="5">
        <f>prices!J1438/prices!J1437-1</f>
        <v>6.5485840005294893E-3</v>
      </c>
      <c r="K1437" s="8">
        <f>SUMPRODUCT(B1437:I1437,weights!$B$5:$I$5)</f>
        <v>5.3901544869924857E-3</v>
      </c>
      <c r="L1437" s="4">
        <f t="shared" si="44"/>
        <v>286.41239025832738</v>
      </c>
      <c r="M1437" s="4">
        <f>L1437/MAX(L$2:L1437)-1</f>
        <v>-8.1115635831016886E-2</v>
      </c>
      <c r="N1437" s="4">
        <f t="shared" si="45"/>
        <v>-8.1115635831016886E-2</v>
      </c>
    </row>
    <row r="1438" spans="1:14">
      <c r="A1438" s="3">
        <f>prices!A1439</f>
        <v>45594</v>
      </c>
      <c r="B1438" s="5">
        <f>prices!B1439/prices!B1438-1</f>
        <v>4.2330282025502264E-3</v>
      </c>
      <c r="C1438" s="5">
        <f>prices!C1439/prices!C1438-1</f>
        <v>-3.8137283722493587E-3</v>
      </c>
      <c r="D1438" s="5">
        <f>prices!D1439/prices!D1438-1</f>
        <v>1.0170860958627292E-2</v>
      </c>
      <c r="E1438" s="5">
        <f>prices!E1439/prices!E1438-1</f>
        <v>-2.7375541094680766E-3</v>
      </c>
      <c r="F1438" s="5">
        <f>prices!F1439/prices!F1438-1</f>
        <v>7.8428634597034197E-3</v>
      </c>
      <c r="G1438" s="5">
        <f>prices!G1439/prices!G1438-1</f>
        <v>-3.8076592400151932E-2</v>
      </c>
      <c r="H1438" s="5">
        <f>prices!H1439/prices!H1438-1</f>
        <v>-1.6448724193487974E-2</v>
      </c>
      <c r="I1438" s="5">
        <f>prices!I1439/prices!I1438-1</f>
        <v>1.2004600492387052E-2</v>
      </c>
      <c r="J1438" s="5">
        <f>prices!J1439/prices!J1438-1</f>
        <v>5.2466910307056303E-3</v>
      </c>
      <c r="K1438" s="8">
        <f>SUMPRODUCT(B1438:I1438,weights!$B$5:$I$5)</f>
        <v>-6.1334937183103282E-3</v>
      </c>
      <c r="L1438" s="4">
        <f t="shared" si="44"/>
        <v>284.65568166183169</v>
      </c>
      <c r="M1438" s="4">
        <f>L1438/MAX(L$2:L1438)-1</f>
        <v>-8.6751607306500889E-2</v>
      </c>
      <c r="N1438" s="4">
        <f t="shared" si="45"/>
        <v>-7.2886905949459124E-2</v>
      </c>
    </row>
    <row r="1439" spans="1:14">
      <c r="A1439" s="3">
        <f>prices!A1440</f>
        <v>45595</v>
      </c>
      <c r="B1439" s="5">
        <f>prices!B1440/prices!B1439-1</f>
        <v>2.9054669446682002E-3</v>
      </c>
      <c r="C1439" s="5">
        <f>prices!C1440/prices!C1439-1</f>
        <v>2.3080632029910397E-3</v>
      </c>
      <c r="D1439" s="5">
        <f>prices!D1440/prices!D1439-1</f>
        <v>-9.8449740055047696E-3</v>
      </c>
      <c r="E1439" s="5">
        <f>prices!E1440/prices!E1439-1</f>
        <v>-2.0222007445999335E-2</v>
      </c>
      <c r="F1439" s="5">
        <f>prices!F1440/prices!F1439-1</f>
        <v>7.3892763127509919E-3</v>
      </c>
      <c r="G1439" s="5">
        <f>prices!G1440/prices!G1439-1</f>
        <v>1.9052469389698068E-2</v>
      </c>
      <c r="H1439" s="5">
        <f>prices!H1440/prices!H1439-1</f>
        <v>-1.0416326530612308E-2</v>
      </c>
      <c r="I1439" s="5">
        <f>prices!I1440/prices!I1439-1</f>
        <v>8.1181456985583988E-3</v>
      </c>
      <c r="J1439" s="5">
        <f>prices!J1440/prices!J1439-1</f>
        <v>-5.1498251716097787E-3</v>
      </c>
      <c r="K1439" s="8">
        <f>SUMPRODUCT(B1439:I1439,weights!$B$5:$I$5)</f>
        <v>2.4757826338581675E-3</v>
      </c>
      <c r="L1439" s="4">
        <f t="shared" si="44"/>
        <v>285.36042725511913</v>
      </c>
      <c r="M1439" s="4">
        <f>L1439/MAX(L$2:L1439)-1</f>
        <v>-8.4490602795471381E-2</v>
      </c>
      <c r="N1439" s="4">
        <f t="shared" si="45"/>
        <v>-6.812370806484036E-2</v>
      </c>
    </row>
    <row r="1440" spans="1:14">
      <c r="A1440" s="3">
        <f>prices!A1441</f>
        <v>45596</v>
      </c>
      <c r="B1440" s="5">
        <f>prices!B1441/prices!B1440-1</f>
        <v>-8.8112339480181934E-3</v>
      </c>
      <c r="C1440" s="5">
        <f>prices!C1441/prices!C1440-1</f>
        <v>-2.8447879289723144E-2</v>
      </c>
      <c r="D1440" s="5">
        <f>prices!D1441/prices!D1440-1</f>
        <v>6.2959575201060325E-4</v>
      </c>
      <c r="E1440" s="5">
        <f>prices!E1441/prices!E1440-1</f>
        <v>-2.4888660600152934E-2</v>
      </c>
      <c r="F1440" s="5">
        <f>prices!F1441/prices!F1440-1</f>
        <v>-5.5929950029798281E-3</v>
      </c>
      <c r="G1440" s="5">
        <f>prices!G1441/prices!G1440-1</f>
        <v>-1.5991546638609799E-2</v>
      </c>
      <c r="H1440" s="5">
        <f>prices!H1441/prices!H1440-1</f>
        <v>-1.7323302316372136E-3</v>
      </c>
      <c r="I1440" s="5">
        <f>prices!I1441/prices!I1440-1</f>
        <v>6.277155305171056E-2</v>
      </c>
      <c r="J1440" s="5">
        <f>prices!J1441/prices!J1440-1</f>
        <v>-5.5667735514577377E-3</v>
      </c>
      <c r="K1440" s="8">
        <f>SUMPRODUCT(B1440:I1440,weights!$B$5:$I$5)</f>
        <v>2.8464932141906412E-3</v>
      </c>
      <c r="L1440" s="4">
        <f t="shared" si="44"/>
        <v>286.17270377489939</v>
      </c>
      <c r="M1440" s="4">
        <f>L1440/MAX(L$2:L1440)-1</f>
        <v>-8.1884611508800886E-2</v>
      </c>
      <c r="N1440" s="4">
        <f t="shared" si="45"/>
        <v>-4.0640945538693241E-2</v>
      </c>
    </row>
    <row r="1441" spans="1:14">
      <c r="A1441" s="3">
        <f>prices!A1442</f>
        <v>45597</v>
      </c>
      <c r="B1441" s="5">
        <f>prices!B1442/prices!B1441-1</f>
        <v>4.9521069170483933E-3</v>
      </c>
      <c r="C1441" s="5">
        <f>prices!C1442/prices!C1441-1</f>
        <v>3.9665253400362754E-3</v>
      </c>
      <c r="D1441" s="5">
        <f>prices!D1442/prices!D1441-1</f>
        <v>9.2599187976349917E-4</v>
      </c>
      <c r="E1441" s="5">
        <f>prices!E1442/prices!E1441-1</f>
        <v>2.0471809360764759E-3</v>
      </c>
      <c r="F1441" s="5">
        <f>prices!F1442/prices!F1441-1</f>
        <v>3.0657876538655593E-3</v>
      </c>
      <c r="G1441" s="5">
        <f>prices!G1442/prices!G1441-1</f>
        <v>3.0288812956902333E-3</v>
      </c>
      <c r="H1441" s="5">
        <f>prices!H1442/prices!H1441-1</f>
        <v>5.1399011684598594E-3</v>
      </c>
      <c r="I1441" s="5">
        <f>prices!I1442/prices!I1441-1</f>
        <v>1.1198302809987126E-3</v>
      </c>
      <c r="J1441" s="5">
        <f>prices!J1442/prices!J1441-1</f>
        <v>4.0900048956118429E-3</v>
      </c>
      <c r="K1441" s="8">
        <f>SUMPRODUCT(B1441:I1441,weights!$B$5:$I$5)</f>
        <v>3.0618560000067983E-3</v>
      </c>
      <c r="L1441" s="4">
        <f t="shared" si="44"/>
        <v>287.04892338499076</v>
      </c>
      <c r="M1441" s="4">
        <f>L1441/MAX(L$2:L1441)-1</f>
        <v>-7.9073474397850396E-2</v>
      </c>
      <c r="N1441" s="4">
        <f t="shared" si="45"/>
        <v>-3.4009588282584491E-2</v>
      </c>
    </row>
    <row r="1442" spans="1:14">
      <c r="A1442" s="3">
        <f>prices!A1443</f>
        <v>45600</v>
      </c>
      <c r="B1442" s="5">
        <f>prices!B1443/prices!B1442-1</f>
        <v>-2.7268137945584359E-2</v>
      </c>
      <c r="C1442" s="5">
        <f>prices!C1443/prices!C1442-1</f>
        <v>-5.0315448486628611E-3</v>
      </c>
      <c r="D1442" s="5">
        <f>prices!D1443/prices!D1442-1</f>
        <v>-1.3355157035771836E-2</v>
      </c>
      <c r="E1442" s="5">
        <f>prices!E1443/prices!E1442-1</f>
        <v>1.5889988709745229E-3</v>
      </c>
      <c r="F1442" s="5">
        <f>prices!F1443/prices!F1442-1</f>
        <v>-1.1628174192807039E-2</v>
      </c>
      <c r="G1442" s="5">
        <f>prices!G1443/prices!G1442-1</f>
        <v>-5.1793139890183859E-3</v>
      </c>
      <c r="H1442" s="5">
        <f>prices!H1443/prices!H1442-1</f>
        <v>-2.6636850932289735E-2</v>
      </c>
      <c r="I1442" s="5">
        <f>prices!I1443/prices!I1442-1</f>
        <v>-1.4311048905452095E-2</v>
      </c>
      <c r="J1442" s="5">
        <f>prices!J1443/prices!J1442-1</f>
        <v>-1.2713773460306443E-2</v>
      </c>
      <c r="K1442" s="8">
        <f>SUMPRODUCT(B1442:I1442,weights!$B$5:$I$5)</f>
        <v>-1.3586688405575958E-2</v>
      </c>
      <c r="L1442" s="4">
        <f t="shared" si="44"/>
        <v>283.14887910580285</v>
      </c>
      <c r="M1442" s="4">
        <f>L1442/MAX(L$2:L1442)-1</f>
        <v>-9.1585816145636434E-2</v>
      </c>
      <c r="N1442" s="4">
        <f t="shared" si="45"/>
        <v>-4.3284644163569141E-2</v>
      </c>
    </row>
    <row r="1443" spans="1:14">
      <c r="A1443" s="3">
        <f>prices!A1444</f>
        <v>45601</v>
      </c>
      <c r="B1443" s="5">
        <f>prices!B1444/prices!B1443-1</f>
        <v>2.4167312161114118E-3</v>
      </c>
      <c r="C1443" s="5">
        <f>prices!C1444/prices!C1443-1</f>
        <v>1.8174825023293817E-3</v>
      </c>
      <c r="D1443" s="5">
        <f>prices!D1444/prices!D1443-1</f>
        <v>2.5521121342533704E-2</v>
      </c>
      <c r="E1443" s="5">
        <f>prices!E1444/prices!E1443-1</f>
        <v>-5.3558541633118573E-3</v>
      </c>
      <c r="F1443" s="5">
        <f>prices!F1444/prices!F1443-1</f>
        <v>-9.0678695156827249E-3</v>
      </c>
      <c r="G1443" s="5">
        <f>prices!G1444/prices!G1443-1</f>
        <v>1.0644420201027627E-2</v>
      </c>
      <c r="H1443" s="5">
        <f>prices!H1444/prices!H1443-1</f>
        <v>-2.9280268477538396E-3</v>
      </c>
      <c r="I1443" s="5">
        <f>prices!I1444/prices!I1443-1</f>
        <v>9.6944259901921015E-5</v>
      </c>
      <c r="J1443" s="5">
        <f>prices!J1444/prices!J1443-1</f>
        <v>9.0830098331551312E-3</v>
      </c>
      <c r="K1443" s="8">
        <f>SUMPRODUCT(B1443:I1443,weights!$B$5:$I$5)</f>
        <v>2.7990059497946577E-3</v>
      </c>
      <c r="L1443" s="4">
        <f t="shared" si="44"/>
        <v>283.94141450309769</v>
      </c>
      <c r="M1443" s="4">
        <f>L1443/MAX(L$2:L1443)-1</f>
        <v>-8.9043159440150177E-2</v>
      </c>
      <c r="N1443" s="4">
        <f t="shared" si="45"/>
        <v>-4.869428846189372E-2</v>
      </c>
    </row>
    <row r="1444" spans="1:14">
      <c r="A1444" s="3">
        <f>prices!A1445</f>
        <v>45602</v>
      </c>
      <c r="B1444" s="5">
        <f>prices!B1445/prices!B1444-1</f>
        <v>1.5361790251290586E-2</v>
      </c>
      <c r="C1444" s="5">
        <f>prices!C1445/prices!C1444-1</f>
        <v>4.2377853421401879E-2</v>
      </c>
      <c r="D1444" s="5">
        <f>prices!D1445/prices!D1444-1</f>
        <v>-1.4769836711249207E-3</v>
      </c>
      <c r="E1444" s="5">
        <f>prices!E1445/prices!E1444-1</f>
        <v>3.9617674747704834E-2</v>
      </c>
      <c r="F1444" s="5">
        <f>prices!F1445/prices!F1444-1</f>
        <v>1.853633356015072E-3</v>
      </c>
      <c r="G1444" s="5">
        <f>prices!G1445/prices!G1444-1</f>
        <v>1.6486268602693421E-2</v>
      </c>
      <c r="H1444" s="5">
        <f>prices!H1445/prices!H1444-1</f>
        <v>1.3226108858443331E-2</v>
      </c>
      <c r="I1444" s="5">
        <f>prices!I1445/prices!I1444-1</f>
        <v>1.976330787367675E-2</v>
      </c>
      <c r="J1444" s="5">
        <f>prices!J1445/prices!J1444-1</f>
        <v>1.1181871120417242E-2</v>
      </c>
      <c r="K1444" s="8">
        <f>SUMPRODUCT(B1444:I1444,weights!$B$5:$I$5)</f>
        <v>1.8171424580840274E-2</v>
      </c>
      <c r="L1444" s="4">
        <f t="shared" si="44"/>
        <v>289.10103450211784</v>
      </c>
      <c r="M1444" s="4">
        <f>L1444/MAX(L$2:L1444)-1</f>
        <v>-7.2489775915516419E-2</v>
      </c>
      <c r="N1444" s="4">
        <f t="shared" si="45"/>
        <v>-2.8223459282646135E-2</v>
      </c>
    </row>
    <row r="1445" spans="1:14">
      <c r="A1445" s="3">
        <f>prices!A1446</f>
        <v>45603</v>
      </c>
      <c r="B1445" s="5">
        <f>prices!B1446/prices!B1445-1</f>
        <v>-1.4863013698630079E-2</v>
      </c>
      <c r="C1445" s="5">
        <f>prices!C1446/prices!C1445-1</f>
        <v>2.7182864420276509E-3</v>
      </c>
      <c r="D1445" s="5">
        <f>prices!D1446/prices!D1445-1</f>
        <v>-4.954040125377146E-3</v>
      </c>
      <c r="E1445" s="5">
        <f>prices!E1446/prices!E1445-1</f>
        <v>-1.1322212993724601E-2</v>
      </c>
      <c r="F1445" s="5">
        <f>prices!F1446/prices!F1445-1</f>
        <v>-6.6513654035318392E-3</v>
      </c>
      <c r="G1445" s="5">
        <f>prices!G1446/prices!G1445-1</f>
        <v>-4.764863559808985E-3</v>
      </c>
      <c r="H1445" s="5">
        <f>prices!H1446/prices!H1445-1</f>
        <v>-1.9975921879877068E-2</v>
      </c>
      <c r="I1445" s="5">
        <f>prices!I1446/prices!I1445-1</f>
        <v>3.0194334089128638E-4</v>
      </c>
      <c r="J1445" s="5">
        <f>prices!J1446/prices!J1445-1</f>
        <v>-1.1627978214388546E-2</v>
      </c>
      <c r="K1445" s="8">
        <f>SUMPRODUCT(B1445:I1445,weights!$B$5:$I$5)</f>
        <v>-7.4171093102137408E-3</v>
      </c>
      <c r="L1445" s="4">
        <f t="shared" si="44"/>
        <v>286.95674052751974</v>
      </c>
      <c r="M1445" s="4">
        <f>L1445/MAX(L$2:L1445)-1</f>
        <v>-7.9369220633891846E-2</v>
      </c>
      <c r="N1445" s="4">
        <f t="shared" si="45"/>
        <v>-3.2514233624898026E-2</v>
      </c>
    </row>
    <row r="1446" spans="1:14">
      <c r="A1446" s="3">
        <f>prices!A1447</f>
        <v>45604</v>
      </c>
      <c r="B1446" s="5">
        <f>prices!B1447/prices!B1446-1</f>
        <v>-1.6771342711689008E-2</v>
      </c>
      <c r="C1446" s="5">
        <f>prices!C1447/prices!C1446-1</f>
        <v>-9.4157817814966016E-4</v>
      </c>
      <c r="D1446" s="5">
        <f>prices!D1447/prices!D1446-1</f>
        <v>4.5185875579571988E-3</v>
      </c>
      <c r="E1446" s="5">
        <f>prices!E1447/prices!E1446-1</f>
        <v>1.4917188311271534E-2</v>
      </c>
      <c r="F1446" s="5">
        <f>prices!F1447/prices!F1446-1</f>
        <v>3.3007969066822795E-4</v>
      </c>
      <c r="G1446" s="5">
        <f>prices!G1447/prices!G1446-1</f>
        <v>2.5207806288407575E-4</v>
      </c>
      <c r="H1446" s="5">
        <f>prices!H1447/prices!H1446-1</f>
        <v>1.0413349105964809E-2</v>
      </c>
      <c r="I1446" s="5">
        <f>prices!I1447/prices!I1446-1</f>
        <v>3.7703575551091273E-3</v>
      </c>
      <c r="J1446" s="5">
        <f>prices!J1447/prices!J1446-1</f>
        <v>-2.1136931363857636E-3</v>
      </c>
      <c r="K1446" s="8">
        <f>SUMPRODUCT(B1446:I1446,weights!$B$5:$I$5)</f>
        <v>1.7729109760293979E-3</v>
      </c>
      <c r="L1446" s="4">
        <f t="shared" si="44"/>
        <v>287.46548928244658</v>
      </c>
      <c r="M1446" s="4">
        <f>L1446/MAX(L$2:L1446)-1</f>
        <v>-7.773702422028328E-2</v>
      </c>
      <c r="N1446" s="4">
        <f t="shared" si="45"/>
        <v>-2.8765813682283703E-2</v>
      </c>
    </row>
    <row r="1447" spans="1:14">
      <c r="A1447" s="3">
        <f>prices!A1448</f>
        <v>45607</v>
      </c>
      <c r="B1447" s="5">
        <f>prices!B1448/prices!B1447-1</f>
        <v>-8.6112071403878776E-3</v>
      </c>
      <c r="C1447" s="5">
        <f>prices!C1448/prices!C1447-1</f>
        <v>1.2466955447787642E-2</v>
      </c>
      <c r="D1447" s="5">
        <f>prices!D1448/prices!D1447-1</f>
        <v>6.753265056844926E-3</v>
      </c>
      <c r="E1447" s="5">
        <f>prices!E1448/prices!E1447-1</f>
        <v>1.64798528481922E-2</v>
      </c>
      <c r="F1447" s="5">
        <f>prices!F1448/prices!F1447-1</f>
        <v>-2.309795418120042E-3</v>
      </c>
      <c r="G1447" s="5">
        <f>prices!G1448/prices!G1447-1</f>
        <v>8.554945040055717E-3</v>
      </c>
      <c r="H1447" s="5">
        <f>prices!H1448/prices!H1447-1</f>
        <v>-8.2909778625825936E-3</v>
      </c>
      <c r="I1447" s="5">
        <f>prices!I1448/prices!I1447-1</f>
        <v>-8.5927493456591231E-3</v>
      </c>
      <c r="J1447" s="5">
        <f>prices!J1448/prices!J1447-1</f>
        <v>-2.8573558277644739E-4</v>
      </c>
      <c r="K1447" s="8">
        <f>SUMPRODUCT(B1447:I1447,weights!$B$5:$I$5)</f>
        <v>4.2381809070660831E-4</v>
      </c>
      <c r="L1447" s="4">
        <f t="shared" si="44"/>
        <v>287.5873223572583</v>
      </c>
      <c r="M1447" s="4">
        <f>L1447/MAX(L$2:L1447)-1</f>
        <v>-7.7346152486758912E-2</v>
      </c>
      <c r="N1447" s="4">
        <f t="shared" si="45"/>
        <v>-3.3256005631231322E-2</v>
      </c>
    </row>
    <row r="1448" spans="1:14">
      <c r="A1448" s="3">
        <f>prices!A1449</f>
        <v>45608</v>
      </c>
      <c r="B1448" s="5">
        <f>prices!B1449/prices!B1448-1</f>
        <v>1.220478681249082E-3</v>
      </c>
      <c r="C1448" s="5">
        <f>prices!C1449/prices!C1448-1</f>
        <v>-3.0943442547493039E-4</v>
      </c>
      <c r="D1448" s="5">
        <f>prices!D1449/prices!D1448-1</f>
        <v>-2.7228502432366297E-2</v>
      </c>
      <c r="E1448" s="5">
        <f>prices!E1449/prices!E1448-1</f>
        <v>4.6766231048933626E-3</v>
      </c>
      <c r="F1448" s="5">
        <f>prices!F1449/prices!F1448-1</f>
        <v>-8.5991022915189452E-3</v>
      </c>
      <c r="G1448" s="5">
        <f>prices!G1449/prices!G1448-1</f>
        <v>-2.250951591957373E-2</v>
      </c>
      <c r="H1448" s="5">
        <f>prices!H1449/prices!H1448-1</f>
        <v>3.4848742834439062E-3</v>
      </c>
      <c r="I1448" s="5">
        <f>prices!I1449/prices!I1448-1</f>
        <v>-1.0332702342903066E-2</v>
      </c>
      <c r="J1448" s="5">
        <f>prices!J1449/prices!J1448-1</f>
        <v>-1.0680866399075395E-2</v>
      </c>
      <c r="K1448" s="8">
        <f>SUMPRODUCT(B1448:I1448,weights!$B$5:$I$5)</f>
        <v>-8.1040913108851968E-3</v>
      </c>
      <c r="L1448" s="4">
        <f t="shared" si="44"/>
        <v>285.25668843702209</v>
      </c>
      <c r="M1448" s="4">
        <f>L1448/MAX(L$2:L1448)-1</f>
        <v>-8.4823423515345886E-2</v>
      </c>
      <c r="N1448" s="4">
        <f t="shared" si="45"/>
        <v>-3.5852457355795897E-2</v>
      </c>
    </row>
    <row r="1449" spans="1:14">
      <c r="A1449" s="3">
        <f>prices!A1450</f>
        <v>45609</v>
      </c>
      <c r="B1449" s="5">
        <f>prices!B1450/prices!B1449-1</f>
        <v>-1.7422071651336912E-2</v>
      </c>
      <c r="C1449" s="5">
        <f>prices!C1450/prices!C1449-1</f>
        <v>-1.1209597994448983E-2</v>
      </c>
      <c r="D1449" s="5">
        <f>prices!D1450/prices!D1449-1</f>
        <v>-2.1442705522575989E-2</v>
      </c>
      <c r="E1449" s="5">
        <f>prices!E1450/prices!E1449-1</f>
        <v>-2.1388688760815011E-4</v>
      </c>
      <c r="F1449" s="5">
        <f>prices!F1450/prices!F1449-1</f>
        <v>-1.3582423866941307E-3</v>
      </c>
      <c r="G1449" s="5">
        <f>prices!G1450/prices!G1449-1</f>
        <v>-8.3909266577302244E-3</v>
      </c>
      <c r="H1449" s="5">
        <f>prices!H1450/prices!H1449-1</f>
        <v>-1.2132078459763385E-2</v>
      </c>
      <c r="I1449" s="5">
        <f>prices!I1450/prices!I1449-1</f>
        <v>-1.2086555516140463E-2</v>
      </c>
      <c r="J1449" s="5">
        <f>prices!J1450/prices!J1449-1</f>
        <v>-1.3582627300494754E-2</v>
      </c>
      <c r="K1449" s="8">
        <f>SUMPRODUCT(B1449:I1449,weights!$B$5:$I$5)</f>
        <v>-1.0769464282954659E-2</v>
      </c>
      <c r="L1449" s="4">
        <f t="shared" si="44"/>
        <v>282.18462671942564</v>
      </c>
      <c r="M1449" s="4">
        <f>L1449/MAX(L$2:L1449)-1</f>
        <v>-9.467938496839412E-2</v>
      </c>
      <c r="N1449" s="4">
        <f t="shared" si="45"/>
        <v>-4.2921474721318353E-2</v>
      </c>
    </row>
    <row r="1450" spans="1:14">
      <c r="A1450" s="3">
        <f>prices!A1451</f>
        <v>45610</v>
      </c>
      <c r="B1450" s="5">
        <f>prices!B1451/prices!B1450-1</f>
        <v>1.242216010247077E-2</v>
      </c>
      <c r="C1450" s="5">
        <f>prices!C1451/prices!C1450-1</f>
        <v>-1.0710599095031803E-3</v>
      </c>
      <c r="D1450" s="5">
        <f>prices!D1451/prices!D1450-1</f>
        <v>6.7772099464440405E-3</v>
      </c>
      <c r="E1450" s="5">
        <f>prices!E1451/prices!E1450-1</f>
        <v>-2.0605091596951342E-3</v>
      </c>
      <c r="F1450" s="5">
        <f>prices!F1451/prices!F1450-1</f>
        <v>-1.3242978835094954E-2</v>
      </c>
      <c r="G1450" s="5">
        <f>prices!G1451/prices!G1450-1</f>
        <v>-3.9408311688791109E-3</v>
      </c>
      <c r="H1450" s="5">
        <f>prices!H1451/prices!H1450-1</f>
        <v>-6.0746941182532321E-3</v>
      </c>
      <c r="I1450" s="5">
        <f>prices!I1451/prices!I1450-1</f>
        <v>-6.1157774994542446E-3</v>
      </c>
      <c r="J1450" s="5">
        <f>prices!J1451/prices!J1450-1</f>
        <v>-1.1184661520731165E-3</v>
      </c>
      <c r="K1450" s="8">
        <f>SUMPRODUCT(B1450:I1450,weights!$B$5:$I$5)</f>
        <v>-2.1779355773603876E-3</v>
      </c>
      <c r="L1450" s="4">
        <f t="shared" si="44"/>
        <v>281.57004678150923</v>
      </c>
      <c r="M1450" s="4">
        <f>L1450/MAX(L$2:L1450)-1</f>
        <v>-9.6651114944789285E-2</v>
      </c>
      <c r="N1450" s="4">
        <f t="shared" si="45"/>
        <v>-4.344626396806528E-2</v>
      </c>
    </row>
    <row r="1451" spans="1:14">
      <c r="A1451" s="3">
        <f>prices!A1452</f>
        <v>45614</v>
      </c>
      <c r="B1451" s="5">
        <f>prices!B1452/prices!B1451-1</f>
        <v>-5.40282474636955E-3</v>
      </c>
      <c r="C1451" s="5">
        <f>prices!C1452/prices!C1451-1</f>
        <v>-3.04880101730296E-2</v>
      </c>
      <c r="D1451" s="5">
        <f>prices!D1452/prices!D1451-1</f>
        <v>7.2915398660986508E-3</v>
      </c>
      <c r="E1451" s="5">
        <f>prices!E1452/prices!E1451-1</f>
        <v>-2.8477942006092771E-2</v>
      </c>
      <c r="F1451" s="5">
        <f>prices!F1452/prices!F1451-1</f>
        <v>1.2816172558880456E-3</v>
      </c>
      <c r="G1451" s="5">
        <f>prices!G1452/prices!G1451-1</f>
        <v>7.98612979293023E-3</v>
      </c>
      <c r="H1451" s="5">
        <f>prices!H1452/prices!H1451-1</f>
        <v>-1.1561193101302991E-2</v>
      </c>
      <c r="I1451" s="5">
        <f>prices!I1452/prices!I1451-1</f>
        <v>4.5088399275117208E-3</v>
      </c>
      <c r="J1451" s="5">
        <f>prices!J1452/prices!J1451-1</f>
        <v>-3.3527814487925856E-3</v>
      </c>
      <c r="K1451" s="8">
        <f>SUMPRODUCT(B1451:I1451,weights!$B$5:$I$5)</f>
        <v>-4.4318678287904841E-3</v>
      </c>
      <c r="L1451" s="4">
        <f t="shared" si="44"/>
        <v>280.32216554962724</v>
      </c>
      <c r="M1451" s="4">
        <f>L1451/MAX(L$2:L1451)-1</f>
        <v>-0.10065463780663919</v>
      </c>
      <c r="N1451" s="4">
        <f t="shared" si="45"/>
        <v>-4.619592902687697E-2</v>
      </c>
    </row>
    <row r="1452" spans="1:14">
      <c r="A1452" s="3">
        <f>prices!A1453</f>
        <v>45615</v>
      </c>
      <c r="B1452" s="5">
        <f>prices!B1453/prices!B1452-1</f>
        <v>-1.5152484879516148E-2</v>
      </c>
      <c r="C1452" s="5">
        <f>prices!C1453/prices!C1452-1</f>
        <v>4.9873513077438592E-3</v>
      </c>
      <c r="D1452" s="5">
        <f>prices!D1453/prices!D1452-1</f>
        <v>2.1788782946017493E-2</v>
      </c>
      <c r="E1452" s="5">
        <f>prices!E1453/prices!E1452-1</f>
        <v>7.3397904907905875E-3</v>
      </c>
      <c r="F1452" s="5">
        <f>prices!F1453/prices!F1452-1</f>
        <v>1.7146859226699895E-3</v>
      </c>
      <c r="G1452" s="5">
        <f>prices!G1453/prices!G1452-1</f>
        <v>-1.2136907407765407E-2</v>
      </c>
      <c r="H1452" s="5">
        <f>prices!H1453/prices!H1452-1</f>
        <v>1.6877342051739186E-2</v>
      </c>
      <c r="I1452" s="5">
        <f>prices!I1453/prices!I1452-1</f>
        <v>-1.0231709668044875E-2</v>
      </c>
      <c r="J1452" s="5">
        <f>prices!J1453/prices!J1452-1</f>
        <v>2.758614808687776E-3</v>
      </c>
      <c r="K1452" s="8">
        <f>SUMPRODUCT(B1452:I1452,weights!$B$5:$I$5)</f>
        <v>-9.3451967319967523E-4</v>
      </c>
      <c r="L1452" s="4">
        <f t="shared" si="44"/>
        <v>280.06019897108717</v>
      </c>
      <c r="M1452" s="4">
        <f>L1452/MAX(L$2:L1452)-1</f>
        <v>-0.10149509374060972</v>
      </c>
      <c r="N1452" s="4">
        <f t="shared" si="45"/>
        <v>-4.7904367341496168E-2</v>
      </c>
    </row>
    <row r="1453" spans="1:14">
      <c r="A1453" s="3">
        <f>prices!A1454</f>
        <v>45617</v>
      </c>
      <c r="B1453" s="5">
        <f>prices!B1454/prices!B1453-1</f>
        <v>-1.502006466182515E-2</v>
      </c>
      <c r="C1453" s="5">
        <f>prices!C1454/prices!C1453-1</f>
        <v>8.2453071921830823E-3</v>
      </c>
      <c r="D1453" s="5">
        <f>prices!D1454/prices!D1453-1</f>
        <v>-6.0317910871410252E-4</v>
      </c>
      <c r="E1453" s="5">
        <f>prices!E1454/prices!E1453-1</f>
        <v>5.0958057598744499E-3</v>
      </c>
      <c r="F1453" s="5">
        <f>prices!F1454/prices!F1453-1</f>
        <v>-2.1818795506051258E-2</v>
      </c>
      <c r="G1453" s="5">
        <f>prices!G1454/prices!G1453-1</f>
        <v>-8.9285132031879932E-3</v>
      </c>
      <c r="H1453" s="5">
        <f>prices!H1454/prices!H1453-1</f>
        <v>1.5473932155405379E-3</v>
      </c>
      <c r="I1453" s="5">
        <f>prices!I1454/prices!I1453-1</f>
        <v>-6.3897020561584084E-3</v>
      </c>
      <c r="J1453" s="5">
        <f>prices!J1454/prices!J1453-1</f>
        <v>-7.1688245423814356E-3</v>
      </c>
      <c r="K1453" s="8">
        <f>SUMPRODUCT(B1453:I1453,weights!$B$5:$I$5)</f>
        <v>-5.3861856675315638E-3</v>
      </c>
      <c r="L1453" s="4">
        <f t="shared" si="44"/>
        <v>278.55174274134305</v>
      </c>
      <c r="M1453" s="4">
        <f>L1453/MAX(L$2:L1453)-1</f>
        <v>-0.10633460798891092</v>
      </c>
      <c r="N1453" s="4">
        <f t="shared" si="45"/>
        <v>-3.9973621433506801E-2</v>
      </c>
    </row>
    <row r="1454" spans="1:14">
      <c r="A1454" s="3">
        <f>prices!A1455</f>
        <v>45618</v>
      </c>
      <c r="B1454" s="5">
        <f>prices!B1455/prices!B1454-1</f>
        <v>3.4671307101679982E-2</v>
      </c>
      <c r="C1454" s="5">
        <f>prices!C1455/prices!C1454-1</f>
        <v>4.2168007676976593E-2</v>
      </c>
      <c r="D1454" s="5">
        <f>prices!D1455/prices!D1454-1</f>
        <v>2.5325144081134177E-3</v>
      </c>
      <c r="E1454" s="5">
        <f>prices!E1455/prices!E1454-1</f>
        <v>3.7187428309245263E-2</v>
      </c>
      <c r="F1454" s="5">
        <f>prices!F1455/prices!F1454-1</f>
        <v>3.8276686466369281E-2</v>
      </c>
      <c r="G1454" s="5">
        <f>prices!G1455/prices!G1454-1</f>
        <v>1.8611978782344218E-2</v>
      </c>
      <c r="H1454" s="5">
        <f>prices!H1455/prices!H1454-1</f>
        <v>8.5947916249420331E-3</v>
      </c>
      <c r="I1454" s="5">
        <f>prices!I1455/prices!I1454-1</f>
        <v>3.4447750539069011E-2</v>
      </c>
      <c r="J1454" s="5">
        <f>prices!J1455/prices!J1454-1</f>
        <v>2.3869481239748191E-2</v>
      </c>
      <c r="K1454" s="8">
        <f>SUMPRODUCT(B1454:I1454,weights!$B$5:$I$5)</f>
        <v>2.6355841284609764E-2</v>
      </c>
      <c r="L1454" s="4">
        <f t="shared" si="44"/>
        <v>285.89320826258529</v>
      </c>
      <c r="M1454" s="4">
        <f>L1454/MAX(L$2:L1454)-1</f>
        <v>-8.2781304755518259E-2</v>
      </c>
      <c r="N1454" s="4">
        <f t="shared" si="45"/>
        <v>-1.0550100098277504E-2</v>
      </c>
    </row>
    <row r="1455" spans="1:14">
      <c r="A1455" s="3">
        <f>prices!A1456</f>
        <v>45621</v>
      </c>
      <c r="B1455" s="5">
        <f>prices!B1456/prices!B1455-1</f>
        <v>1.7065608136652477E-2</v>
      </c>
      <c r="C1455" s="5">
        <f>prices!C1456/prices!C1455-1</f>
        <v>1.6609707293750997E-2</v>
      </c>
      <c r="D1455" s="5">
        <f>prices!D1456/prices!D1455-1</f>
        <v>2.2912117098506712E-2</v>
      </c>
      <c r="E1455" s="5">
        <f>prices!E1456/prices!E1455-1</f>
        <v>-6.5968459003340474E-3</v>
      </c>
      <c r="F1455" s="5">
        <f>prices!F1456/prices!F1455-1</f>
        <v>4.5340169966292532E-3</v>
      </c>
      <c r="G1455" s="5">
        <f>prices!G1456/prices!G1455-1</f>
        <v>-3.4753527722998223E-3</v>
      </c>
      <c r="H1455" s="5">
        <f>prices!H1456/prices!H1455-1</f>
        <v>2.0084080812896588E-3</v>
      </c>
      <c r="I1455" s="5">
        <f>prices!I1456/prices!I1455-1</f>
        <v>4.1485772145024802E-2</v>
      </c>
      <c r="J1455" s="5">
        <f>prices!J1456/prices!J1455-1</f>
        <v>1.3161279528176584E-2</v>
      </c>
      <c r="K1455" s="8">
        <f>SUMPRODUCT(B1455:I1455,weights!$B$5:$I$5)</f>
        <v>1.2953534658131814E-2</v>
      </c>
      <c r="L1455" s="4">
        <f t="shared" si="44"/>
        <v>289.59653584433914</v>
      </c>
      <c r="M1455" s="4">
        <f>L1455/MAX(L$2:L1455)-1</f>
        <v>-7.0900080597582571E-2</v>
      </c>
      <c r="N1455" s="4">
        <f t="shared" si="45"/>
        <v>7.0161737967655569E-3</v>
      </c>
    </row>
    <row r="1456" spans="1:14">
      <c r="A1456" s="3">
        <f>prices!A1457</f>
        <v>45622</v>
      </c>
      <c r="B1456" s="5">
        <f>prices!B1457/prices!B1456-1</f>
        <v>6.7634288938698273E-3</v>
      </c>
      <c r="C1456" s="5">
        <f>prices!C1457/prices!C1456-1</f>
        <v>8.7141090433142665E-3</v>
      </c>
      <c r="D1456" s="5">
        <f>prices!D1457/prices!D1456-1</f>
        <v>-2.3079763663225172E-5</v>
      </c>
      <c r="E1456" s="5">
        <f>prices!E1457/prices!E1456-1</f>
        <v>1.8229789981686784E-2</v>
      </c>
      <c r="F1456" s="5">
        <f>prices!F1457/prices!F1456-1</f>
        <v>4.2536096604206541E-4</v>
      </c>
      <c r="G1456" s="5">
        <f>prices!G1457/prices!G1456-1</f>
        <v>-7.3648094900750083E-3</v>
      </c>
      <c r="H1456" s="5">
        <f>prices!H1457/prices!H1456-1</f>
        <v>-2.0734600510721291E-2</v>
      </c>
      <c r="I1456" s="5">
        <f>prices!I1457/prices!I1456-1</f>
        <v>-1.3428924463997127E-2</v>
      </c>
      <c r="J1456" s="5">
        <f>prices!J1457/prices!J1456-1</f>
        <v>-1.1312077087264338E-3</v>
      </c>
      <c r="K1456" s="8">
        <f>SUMPRODUCT(B1456:I1456,weights!$B$5:$I$5)</f>
        <v>-3.9994592103752592E-3</v>
      </c>
      <c r="L1456" s="4">
        <f t="shared" si="44"/>
        <v>288.43830631176371</v>
      </c>
      <c r="M1456" s="4">
        <f>L1456/MAX(L$2:L1456)-1</f>
        <v>-7.4615977827595548E-2</v>
      </c>
      <c r="N1456" s="4">
        <f t="shared" si="45"/>
        <v>1.2501704556823423E-2</v>
      </c>
    </row>
    <row r="1457" spans="1:14">
      <c r="A1457" s="3">
        <f>prices!A1458</f>
        <v>45623</v>
      </c>
      <c r="B1457" s="5">
        <f>prices!B1458/prices!B1457-1</f>
        <v>-1.9305470142687575E-3</v>
      </c>
      <c r="C1457" s="5">
        <f>prices!C1458/prices!C1457-1</f>
        <v>-4.6302349159674794E-3</v>
      </c>
      <c r="D1457" s="5">
        <f>prices!D1458/prices!D1457-1</f>
        <v>1.497911233180238E-2</v>
      </c>
      <c r="E1457" s="5">
        <f>prices!E1458/prices!E1457-1</f>
        <v>1.8040081781700579E-4</v>
      </c>
      <c r="F1457" s="5">
        <f>prices!F1458/prices!F1457-1</f>
        <v>-1.1810558639424595E-4</v>
      </c>
      <c r="G1457" s="5">
        <f>prices!G1458/prices!G1457-1</f>
        <v>1.0452350566091173E-2</v>
      </c>
      <c r="H1457" s="5">
        <f>prices!H1458/prices!H1457-1</f>
        <v>-6.897907499812117E-3</v>
      </c>
      <c r="I1457" s="5">
        <f>prices!I1458/prices!I1457-1</f>
        <v>-1.0515015552313711E-3</v>
      </c>
      <c r="J1457" s="5">
        <f>prices!J1458/prices!J1457-1</f>
        <v>3.3230692926078387E-3</v>
      </c>
      <c r="K1457" s="8">
        <f>SUMPRODUCT(B1457:I1457,weights!$B$5:$I$5)</f>
        <v>1.2510922117879018E-3</v>
      </c>
      <c r="L1457" s="4">
        <f t="shared" si="44"/>
        <v>288.79916923037166</v>
      </c>
      <c r="M1457" s="4">
        <f>L1457/MAX(L$2:L1457)-1</f>
        <v>-7.3458237084542577E-2</v>
      </c>
      <c r="N1457" s="4">
        <f t="shared" si="45"/>
        <v>8.3333649423880107E-3</v>
      </c>
    </row>
    <row r="1458" spans="1:14">
      <c r="A1458" s="3">
        <f>prices!A1459</f>
        <v>45624</v>
      </c>
      <c r="B1458" s="5">
        <f>prices!B1459/prices!B1458-1</f>
        <v>-1.732273638398607E-2</v>
      </c>
      <c r="C1458" s="5">
        <f>prices!C1459/prices!C1458-1</f>
        <v>-2.0230382996862528E-2</v>
      </c>
      <c r="D1458" s="5">
        <f>prices!D1459/prices!D1458-1</f>
        <v>-1.0573949426960105E-2</v>
      </c>
      <c r="E1458" s="5">
        <f>prices!E1459/prices!E1458-1</f>
        <v>-3.5253800031701088E-2</v>
      </c>
      <c r="F1458" s="5">
        <f>prices!F1459/prices!F1458-1</f>
        <v>-4.2995511457595281E-3</v>
      </c>
      <c r="G1458" s="5">
        <f>prices!G1459/prices!G1458-1</f>
        <v>-9.811506800748937E-3</v>
      </c>
      <c r="H1458" s="5">
        <f>prices!H1459/prices!H1458-1</f>
        <v>-8.6924626509390368E-3</v>
      </c>
      <c r="I1458" s="5">
        <f>prices!I1459/prices!I1458-1</f>
        <v>-8.8286838537591228E-3</v>
      </c>
      <c r="J1458" s="5">
        <f>prices!J1459/prices!J1458-1</f>
        <v>-1.4861029293632533E-2</v>
      </c>
      <c r="K1458" s="8">
        <f>SUMPRODUCT(B1458:I1458,weights!$B$5:$I$5)</f>
        <v>-1.3072157974406792E-2</v>
      </c>
      <c r="L1458" s="4">
        <f t="shared" si="44"/>
        <v>285.02394086731482</v>
      </c>
      <c r="M1458" s="4">
        <f>L1458/MAX(L$2:L1458)-1</f>
        <v>-8.5570137379258782E-2</v>
      </c>
      <c r="N1458" s="4">
        <f t="shared" si="45"/>
        <v>1.2937005273641056E-3</v>
      </c>
    </row>
    <row r="1459" spans="1:14">
      <c r="A1459" s="3">
        <f>prices!A1460</f>
        <v>45625</v>
      </c>
      <c r="B1459" s="5">
        <f>prices!B1460/prices!B1459-1</f>
        <v>1.6842339196139422E-2</v>
      </c>
      <c r="C1459" s="5">
        <f>prices!C1460/prices!C1459-1</f>
        <v>6.1137403595394879E-3</v>
      </c>
      <c r="D1459" s="5">
        <f>prices!D1460/prices!D1459-1</f>
        <v>1.6202799292133196E-3</v>
      </c>
      <c r="E1459" s="5">
        <f>prices!E1460/prices!E1459-1</f>
        <v>6.45859417933492E-4</v>
      </c>
      <c r="F1459" s="5">
        <f>prices!F1460/prices!F1459-1</f>
        <v>3.8910505836575737E-3</v>
      </c>
      <c r="G1459" s="5">
        <f>prices!G1460/prices!G1459-1</f>
        <v>1.1356759836231634E-2</v>
      </c>
      <c r="H1459" s="5">
        <f>prices!H1460/prices!H1459-1</f>
        <v>2.6899245294100371E-2</v>
      </c>
      <c r="I1459" s="5">
        <f>prices!I1460/prices!I1459-1</f>
        <v>1.6027066699286108E-2</v>
      </c>
      <c r="J1459" s="5">
        <f>prices!J1460/prices!J1459-1</f>
        <v>9.0720347576642713E-3</v>
      </c>
      <c r="K1459" s="8">
        <f>SUMPRODUCT(B1459:I1459,weights!$B$5:$I$5)</f>
        <v>1.2603010081487448E-2</v>
      </c>
      <c r="L1459" s="4">
        <f t="shared" si="44"/>
        <v>288.61610046753083</v>
      </c>
      <c r="M1459" s="4">
        <f>L1459/MAX(L$2:L1459)-1</f>
        <v>-7.4045568601836531E-2</v>
      </c>
      <c r="N1459" s="4">
        <f t="shared" si="45"/>
        <v>1.1408986325567305E-2</v>
      </c>
    </row>
    <row r="1460" spans="1:14">
      <c r="A1460" s="3">
        <f>prices!A1461</f>
        <v>45628</v>
      </c>
      <c r="B1460" s="5">
        <f>prices!B1461/prices!B1460-1</f>
        <v>1.3113320948530127E-2</v>
      </c>
      <c r="C1460" s="5">
        <f>prices!C1461/prices!C1460-1</f>
        <v>1.3576162270336756E-3</v>
      </c>
      <c r="D1460" s="5">
        <f>prices!D1461/prices!D1460-1</f>
        <v>4.8185583332378545E-3</v>
      </c>
      <c r="E1460" s="5">
        <f>prices!E1461/prices!E1460-1</f>
        <v>1.1816128137331905E-2</v>
      </c>
      <c r="F1460" s="5">
        <f>prices!F1461/prices!F1460-1</f>
        <v>9.4535829079211986E-4</v>
      </c>
      <c r="G1460" s="5">
        <f>prices!G1461/prices!G1460-1</f>
        <v>1.4908695648165438E-2</v>
      </c>
      <c r="H1460" s="5">
        <f>prices!H1461/prices!H1460-1</f>
        <v>1.5528039120363601E-2</v>
      </c>
      <c r="I1460" s="5">
        <f>prices!I1461/prices!I1460-1</f>
        <v>-5.5709239360931528E-3</v>
      </c>
      <c r="J1460" s="5">
        <f>prices!J1461/prices!J1460-1</f>
        <v>6.0067713448621607E-3</v>
      </c>
      <c r="K1460" s="8">
        <f>SUMPRODUCT(B1460:I1460,weights!$B$5:$I$5)</f>
        <v>7.3698135773019582E-3</v>
      </c>
      <c r="L1460" s="4">
        <f t="shared" si="44"/>
        <v>290.74314732338439</v>
      </c>
      <c r="M1460" s="4">
        <f>L1460/MAX(L$2:L1460)-1</f>
        <v>-6.7221457061355405E-2</v>
      </c>
      <c r="N1460" s="4">
        <f t="shared" si="45"/>
        <v>1.5970927653813138E-2</v>
      </c>
    </row>
    <row r="1461" spans="1:14">
      <c r="A1461" s="3">
        <f>prices!A1462</f>
        <v>45629</v>
      </c>
      <c r="B1461" s="5">
        <f>prices!B1462/prices!B1461-1</f>
        <v>1.080943649167132E-2</v>
      </c>
      <c r="C1461" s="5">
        <f>prices!C1462/prices!C1461-1</f>
        <v>6.1035009138932228E-3</v>
      </c>
      <c r="D1461" s="5">
        <f>prices!D1462/prices!D1461-1</f>
        <v>1.196579244830609E-2</v>
      </c>
      <c r="E1461" s="5">
        <f>prices!E1462/prices!E1461-1</f>
        <v>6.5413239326284067E-3</v>
      </c>
      <c r="F1461" s="5">
        <f>prices!F1462/prices!F1461-1</f>
        <v>-9.7279939554212325E-3</v>
      </c>
      <c r="G1461" s="5">
        <f>prices!G1462/prices!G1461-1</f>
        <v>3.5545583372698086E-3</v>
      </c>
      <c r="H1461" s="5">
        <f>prices!H1462/prices!H1461-1</f>
        <v>-4.7026357287677234E-3</v>
      </c>
      <c r="I1461" s="5">
        <f>prices!I1462/prices!I1461-1</f>
        <v>2.2405780432707134E-2</v>
      </c>
      <c r="J1461" s="5">
        <f>prices!J1462/prices!J1461-1</f>
        <v>7.4600274756395635E-3</v>
      </c>
      <c r="K1461" s="8">
        <f>SUMPRODUCT(B1461:I1461,weights!$B$5:$I$5)</f>
        <v>6.9378038911198847E-3</v>
      </c>
      <c r="L1461" s="4">
        <f t="shared" si="44"/>
        <v>292.76026626220101</v>
      </c>
      <c r="M1461" s="4">
        <f>L1461/MAX(L$2:L1461)-1</f>
        <v>-6.0750022456602548E-2</v>
      </c>
      <c r="N1461" s="4">
        <f t="shared" si="45"/>
        <v>1.9896757701997059E-2</v>
      </c>
    </row>
    <row r="1462" spans="1:14">
      <c r="A1462" s="3">
        <f>prices!A1463</f>
        <v>45630</v>
      </c>
      <c r="B1462" s="5">
        <f>prices!B1463/prices!B1462-1</f>
        <v>-1.0846284594922206E-2</v>
      </c>
      <c r="C1462" s="5">
        <f>prices!C1463/prices!C1462-1</f>
        <v>1.2003184212693307E-2</v>
      </c>
      <c r="D1462" s="5">
        <f>prices!D1463/prices!D1462-1</f>
        <v>1.8514966546693712E-2</v>
      </c>
      <c r="E1462" s="5">
        <f>prices!E1463/prices!E1462-1</f>
        <v>-1.5065683042490008E-3</v>
      </c>
      <c r="F1462" s="5">
        <f>prices!F1463/prices!F1462-1</f>
        <v>-1.1540295660467326E-2</v>
      </c>
      <c r="G1462" s="5">
        <f>prices!G1463/prices!G1462-1</f>
        <v>-1.324549469428915E-2</v>
      </c>
      <c r="H1462" s="5">
        <f>prices!H1463/prices!H1462-1</f>
        <v>8.4877634743296682E-5</v>
      </c>
      <c r="I1462" s="5">
        <f>prices!I1463/prices!I1462-1</f>
        <v>7.5354705363084307E-4</v>
      </c>
      <c r="J1462" s="5">
        <f>prices!J1463/prices!J1462-1</f>
        <v>4.2114473681520437E-4</v>
      </c>
      <c r="K1462" s="8">
        <f>SUMPRODUCT(B1462:I1462,weights!$B$5:$I$5)</f>
        <v>-2.4563557049934832E-3</v>
      </c>
      <c r="L1462" s="4">
        <f t="shared" si="44"/>
        <v>292.04114291197243</v>
      </c>
      <c r="M1462" s="4">
        <f>L1462/MAX(L$2:L1462)-1</f>
        <v>-6.3057154497356271E-2</v>
      </c>
      <c r="N1462" s="4">
        <f t="shared" si="45"/>
        <v>3.1404905554462292E-2</v>
      </c>
    </row>
    <row r="1463" spans="1:14">
      <c r="A1463" s="3">
        <f>prices!A1464</f>
        <v>45631</v>
      </c>
      <c r="B1463" s="5">
        <f>prices!B1464/prices!B1463-1</f>
        <v>1.0009709186739935E-2</v>
      </c>
      <c r="C1463" s="5">
        <f>prices!C1464/prices!C1463-1</f>
        <v>2.5181426109085026E-2</v>
      </c>
      <c r="D1463" s="5">
        <f>prices!D1464/prices!D1463-1</f>
        <v>3.0352711804324528E-3</v>
      </c>
      <c r="E1463" s="5">
        <f>prices!E1464/prices!E1463-1</f>
        <v>2.4135895951182595E-2</v>
      </c>
      <c r="F1463" s="5">
        <f>prices!F1464/prices!F1463-1</f>
        <v>8.442686221536988E-4</v>
      </c>
      <c r="G1463" s="5">
        <f>prices!G1464/prices!G1463-1</f>
        <v>4.7077385975855535E-3</v>
      </c>
      <c r="H1463" s="5">
        <f>prices!H1464/prices!H1463-1</f>
        <v>7.3610953943645807E-3</v>
      </c>
      <c r="I1463" s="5">
        <f>prices!I1464/prices!I1463-1</f>
        <v>1.0990813648293907E-2</v>
      </c>
      <c r="J1463" s="5">
        <f>prices!J1464/prices!J1463-1</f>
        <v>9.8477773531773227E-3</v>
      </c>
      <c r="K1463" s="8">
        <f>SUMPRODUCT(B1463:I1463,weights!$B$5:$I$5)</f>
        <v>1.0017181527926518E-2</v>
      </c>
      <c r="L1463" s="4">
        <f t="shared" si="44"/>
        <v>294.96657205414476</v>
      </c>
      <c r="M1463" s="4">
        <f>L1463/MAX(L$2:L1463)-1</f>
        <v>-5.3671627932664445E-2</v>
      </c>
      <c r="N1463" s="4">
        <f t="shared" si="45"/>
        <v>3.8828987206185772E-2</v>
      </c>
    </row>
    <row r="1464" spans="1:14">
      <c r="A1464" s="3">
        <f>prices!A1465</f>
        <v>45632</v>
      </c>
      <c r="B1464" s="5">
        <f>prices!B1465/prices!B1464-1</f>
        <v>-7.942139113318647E-3</v>
      </c>
      <c r="C1464" s="5">
        <f>prices!C1465/prices!C1464-1</f>
        <v>-4.1563539539480887E-3</v>
      </c>
      <c r="D1464" s="5">
        <f>prices!D1465/prices!D1464-1</f>
        <v>-5.3122169946767661E-3</v>
      </c>
      <c r="E1464" s="5">
        <f>prices!E1465/prices!E1464-1</f>
        <v>-6.431340143414066E-3</v>
      </c>
      <c r="F1464" s="5">
        <f>prices!F1465/prices!F1464-1</f>
        <v>7.8089224169095584E-3</v>
      </c>
      <c r="G1464" s="5">
        <f>prices!G1465/prices!G1464-1</f>
        <v>1.213510680647012E-2</v>
      </c>
      <c r="H1464" s="5">
        <f>prices!H1465/prices!H1464-1</f>
        <v>-4.7404811251341439E-3</v>
      </c>
      <c r="I1464" s="5">
        <f>prices!I1465/prices!I1464-1</f>
        <v>9.1716031419657451E-3</v>
      </c>
      <c r="J1464" s="5">
        <f>prices!J1465/prices!J1464-1</f>
        <v>-1.2384452251057443E-3</v>
      </c>
      <c r="K1464" s="8">
        <f>SUMPRODUCT(B1464:I1464,weights!$B$5:$I$5)</f>
        <v>1.7875888585433463E-3</v>
      </c>
      <c r="L1464" s="4">
        <f t="shared" si="44"/>
        <v>295.49385101199147</v>
      </c>
      <c r="M1464" s="4">
        <f>L1464/MAX(L$2:L1464)-1</f>
        <v>-5.1979981878233383E-2</v>
      </c>
      <c r="N1464" s="4">
        <f t="shared" si="45"/>
        <v>2.2112741730181407E-2</v>
      </c>
    </row>
    <row r="1465" spans="1:14">
      <c r="A1465" s="3">
        <f>prices!A1466</f>
        <v>45635</v>
      </c>
      <c r="B1465" s="5">
        <f>prices!B1466/prices!B1465-1</f>
        <v>-1.2504614248800339E-2</v>
      </c>
      <c r="C1465" s="5">
        <f>prices!C1466/prices!C1465-1</f>
        <v>1.4975085804826982E-3</v>
      </c>
      <c r="D1465" s="5">
        <f>prices!D1466/prices!D1465-1</f>
        <v>7.6278243490812692E-3</v>
      </c>
      <c r="E1465" s="5">
        <f>prices!E1466/prices!E1465-1</f>
        <v>6.456555044866974E-4</v>
      </c>
      <c r="F1465" s="5">
        <f>prices!F1466/prices!F1465-1</f>
        <v>-1.3153174698074865E-2</v>
      </c>
      <c r="G1465" s="5">
        <f>prices!G1466/prices!G1465-1</f>
        <v>-3.3701895190354492E-3</v>
      </c>
      <c r="H1465" s="5">
        <f>prices!H1466/prices!H1465-1</f>
        <v>9.9324480662765779E-4</v>
      </c>
      <c r="I1465" s="5">
        <f>prices!I1466/prices!I1465-1</f>
        <v>2.0846567261743276E-2</v>
      </c>
      <c r="J1465" s="5">
        <f>prices!J1466/prices!J1465-1</f>
        <v>-2.3827083451523068E-3</v>
      </c>
      <c r="K1465" s="8">
        <f>SUMPRODUCT(B1465:I1465,weights!$B$5:$I$5)</f>
        <v>1.6631657131125285E-3</v>
      </c>
      <c r="L1465" s="4">
        <f t="shared" si="44"/>
        <v>295.98530625343017</v>
      </c>
      <c r="M1465" s="4">
        <f>L1465/MAX(L$2:L1465)-1</f>
        <v>-5.0403267488749015E-2</v>
      </c>
      <c r="N1465" s="4">
        <f t="shared" si="45"/>
        <v>3.1463159601384572E-2</v>
      </c>
    </row>
    <row r="1466" spans="1:14">
      <c r="A1466" s="3">
        <f>prices!A1467</f>
        <v>45636</v>
      </c>
      <c r="B1466" s="5">
        <f>prices!B1467/prices!B1466-1</f>
        <v>-7.9513418376088163E-3</v>
      </c>
      <c r="C1466" s="5">
        <f>prices!C1467/prices!C1466-1</f>
        <v>-4.403809560559635E-3</v>
      </c>
      <c r="D1466" s="5">
        <f>prices!D1467/prices!D1466-1</f>
        <v>-1.013751763046522E-3</v>
      </c>
      <c r="E1466" s="5">
        <f>prices!E1467/prices!E1466-1</f>
        <v>1.2948523059088668E-2</v>
      </c>
      <c r="F1466" s="5">
        <f>prices!F1467/prices!F1466-1</f>
        <v>1.0662789288744534E-3</v>
      </c>
      <c r="G1466" s="5">
        <f>prices!G1467/prices!G1466-1</f>
        <v>-7.23474778852784E-3</v>
      </c>
      <c r="H1466" s="5">
        <f>prices!H1467/prices!H1466-1</f>
        <v>1.8266590743800659E-3</v>
      </c>
      <c r="I1466" s="5">
        <f>prices!I1467/prices!I1466-1</f>
        <v>-6.1192873741285903E-3</v>
      </c>
      <c r="J1466" s="5">
        <f>prices!J1467/prices!J1466-1</f>
        <v>-3.6354035501040549E-4</v>
      </c>
      <c r="K1466" s="8">
        <f>SUMPRODUCT(B1466:I1466,weights!$B$5:$I$5)</f>
        <v>-2.6235858948576076E-3</v>
      </c>
      <c r="L1466" s="4">
        <f t="shared" si="44"/>
        <v>295.20876337885858</v>
      </c>
      <c r="M1466" s="4">
        <f>L1466/MAX(L$2:L1466)-1</f>
        <v>-5.2894616081968326E-2</v>
      </c>
      <c r="N1466" s="4">
        <f t="shared" si="45"/>
        <v>2.6936360659292502E-2</v>
      </c>
    </row>
    <row r="1467" spans="1:14">
      <c r="A1467" s="3">
        <f>prices!A1468</f>
        <v>45637</v>
      </c>
      <c r="B1467" s="5">
        <f>prices!B1468/prices!B1467-1</f>
        <v>-5.1732935588961748E-3</v>
      </c>
      <c r="C1467" s="5">
        <f>prices!C1468/prices!C1467-1</f>
        <v>-1.1506364836548766E-3</v>
      </c>
      <c r="D1467" s="5">
        <f>prices!D1468/prices!D1467-1</f>
        <v>-2.6803441429517072E-3</v>
      </c>
      <c r="E1467" s="5">
        <f>prices!E1468/prices!E1467-1</f>
        <v>1.3133886831564467E-2</v>
      </c>
      <c r="F1467" s="5">
        <f>prices!F1468/prices!F1467-1</f>
        <v>-4.1153259580228863E-4</v>
      </c>
      <c r="G1467" s="5">
        <f>prices!G1468/prices!G1467-1</f>
        <v>7.1042127471021566E-3</v>
      </c>
      <c r="H1467" s="5">
        <f>prices!H1468/prices!H1467-1</f>
        <v>2.2397676944461153E-3</v>
      </c>
      <c r="I1467" s="5">
        <f>prices!I1468/prices!I1467-1</f>
        <v>-1.6314654612527013E-3</v>
      </c>
      <c r="J1467" s="5">
        <f>prices!J1468/prices!J1467-1</f>
        <v>1.2901233439184256E-3</v>
      </c>
      <c r="K1467" s="8">
        <f>SUMPRODUCT(B1467:I1467,weights!$B$5:$I$5)</f>
        <v>1.5174104357888337E-3</v>
      </c>
      <c r="L1467" s="4">
        <f t="shared" si="44"/>
        <v>295.65671623714599</v>
      </c>
      <c r="M1467" s="4">
        <f>L1467/MAX(L$2:L1467)-1</f>
        <v>-5.1457468488619318E-2</v>
      </c>
      <c r="N1467" s="4">
        <f t="shared" si="45"/>
        <v>2.805893463503728E-2</v>
      </c>
    </row>
    <row r="1468" spans="1:14">
      <c r="A1468" s="3">
        <f>prices!A1469</f>
        <v>45638</v>
      </c>
      <c r="B1468" s="5">
        <f>prices!B1469/prices!B1468-1</f>
        <v>-1.1970708457617274E-2</v>
      </c>
      <c r="C1468" s="5">
        <f>prices!C1469/prices!C1468-1</f>
        <v>6.2133191055926407E-3</v>
      </c>
      <c r="D1468" s="5">
        <f>prices!D1469/prices!D1468-1</f>
        <v>-2.0681951402944376E-3</v>
      </c>
      <c r="E1468" s="5">
        <f>prices!E1469/prices!E1468-1</f>
        <v>6.5111173866017058E-3</v>
      </c>
      <c r="F1468" s="5">
        <f>prices!F1469/prices!F1468-1</f>
        <v>-1.0001937421292295E-2</v>
      </c>
      <c r="G1468" s="5">
        <f>prices!G1469/prices!G1468-1</f>
        <v>-9.7853895416103454E-3</v>
      </c>
      <c r="H1468" s="5">
        <f>prices!H1469/prices!H1468-1</f>
        <v>-4.7109688649317194E-3</v>
      </c>
      <c r="I1468" s="5">
        <f>prices!I1469/prices!I1468-1</f>
        <v>-1.4514626517686646E-2</v>
      </c>
      <c r="J1468" s="5">
        <f>prices!J1469/prices!J1468-1</f>
        <v>-3.778133090926783E-3</v>
      </c>
      <c r="K1468" s="8">
        <f>SUMPRODUCT(B1468:I1468,weights!$B$5:$I$5)</f>
        <v>-6.8883716120965478E-3</v>
      </c>
      <c r="L1468" s="4">
        <f t="shared" si="44"/>
        <v>293.62012290609232</v>
      </c>
      <c r="M1468" s="4">
        <f>L1468/MAX(L$2:L1468)-1</f>
        <v>-5.7991381935548647E-2</v>
      </c>
      <c r="N1468" s="4">
        <f t="shared" si="45"/>
        <v>2.9318977636931587E-2</v>
      </c>
    </row>
    <row r="1469" spans="1:14">
      <c r="A1469" s="3">
        <f>prices!A1470</f>
        <v>45639</v>
      </c>
      <c r="B1469" s="5">
        <f>prices!B1470/prices!B1469-1</f>
        <v>7.8748332787579312E-3</v>
      </c>
      <c r="C1469" s="5">
        <f>prices!C1470/prices!C1469-1</f>
        <v>4.2540166111515454E-3</v>
      </c>
      <c r="D1469" s="5">
        <f>prices!D1470/prices!D1469-1</f>
        <v>6.7272525767483327E-3</v>
      </c>
      <c r="E1469" s="5">
        <f>prices!E1470/prices!E1469-1</f>
        <v>6.3895903145032573E-3</v>
      </c>
      <c r="F1469" s="5">
        <f>prices!F1470/prices!F1469-1</f>
        <v>2.0401673230754147E-2</v>
      </c>
      <c r="G1469" s="5">
        <f>prices!G1470/prices!G1469-1</f>
        <v>9.4158239600217186E-3</v>
      </c>
      <c r="H1469" s="5">
        <f>prices!H1470/prices!H1469-1</f>
        <v>4.428623008530197E-3</v>
      </c>
      <c r="I1469" s="5">
        <f>prices!I1470/prices!I1469-1</f>
        <v>7.0209440119981537E-3</v>
      </c>
      <c r="J1469" s="5">
        <f>prices!J1470/prices!J1469-1</f>
        <v>8.9454838749098986E-3</v>
      </c>
      <c r="K1469" s="8">
        <f>SUMPRODUCT(B1469:I1469,weights!$B$5:$I$5)</f>
        <v>8.0047285888198479E-3</v>
      </c>
      <c r="L1469" s="4">
        <f t="shared" si="44"/>
        <v>295.9704722981715</v>
      </c>
      <c r="M1469" s="4">
        <f>L1469/MAX(L$2:L1469)-1</f>
        <v>-5.0450858619613403E-2</v>
      </c>
      <c r="N1469" s="4">
        <f t="shared" si="45"/>
        <v>4.8853992292262838E-2</v>
      </c>
    </row>
    <row r="1470" spans="1:14">
      <c r="A1470" s="3">
        <f>prices!A1471</f>
        <v>45642</v>
      </c>
      <c r="B1470" s="5">
        <f>prices!B1471/prices!B1470-1</f>
        <v>-3.5738341455683331E-3</v>
      </c>
      <c r="C1470" s="5">
        <f>prices!C1471/prices!C1470-1</f>
        <v>-1.3120789503368369E-2</v>
      </c>
      <c r="D1470" s="5">
        <f>prices!D1471/prices!D1470-1</f>
        <v>-3.5007761154595141E-3</v>
      </c>
      <c r="E1470" s="5">
        <f>prices!E1471/prices!E1470-1</f>
        <v>-9.8259936457171237E-3</v>
      </c>
      <c r="F1470" s="5">
        <f>prices!F1471/prices!F1470-1</f>
        <v>2.1576007479695569E-4</v>
      </c>
      <c r="G1470" s="5">
        <f>prices!G1471/prices!G1470-1</f>
        <v>3.9489319769292486E-4</v>
      </c>
      <c r="H1470" s="5">
        <f>prices!H1471/prices!H1470-1</f>
        <v>-2.0107727995237745E-3</v>
      </c>
      <c r="I1470" s="5">
        <f>prices!I1471/prices!I1470-1</f>
        <v>-2.3545884321011235E-3</v>
      </c>
      <c r="J1470" s="5">
        <f>prices!J1471/prices!J1470-1</f>
        <v>-4.0394375068131261E-3</v>
      </c>
      <c r="K1470" s="8">
        <f>SUMPRODUCT(B1470:I1470,weights!$B$5:$I$5)</f>
        <v>-3.3721775670057484E-3</v>
      </c>
      <c r="L1470" s="4">
        <f t="shared" si="44"/>
        <v>294.97240731099151</v>
      </c>
      <c r="M1470" s="4">
        <f>L1470/MAX(L$2:L1470)-1</f>
        <v>-5.3652906932945998E-2</v>
      </c>
      <c r="N1470" s="4">
        <f t="shared" si="45"/>
        <v>4.7598672808695897E-2</v>
      </c>
    </row>
    <row r="1471" spans="1:14">
      <c r="A1471" s="3">
        <f>prices!A1472</f>
        <v>45643</v>
      </c>
      <c r="B1471" s="5">
        <f>prices!B1472/prices!B1471-1</f>
        <v>-1.8132077872502816E-2</v>
      </c>
      <c r="C1471" s="5">
        <f>prices!C1472/prices!C1471-1</f>
        <v>-1.9637645914396873E-2</v>
      </c>
      <c r="D1471" s="5">
        <f>prices!D1472/prices!D1471-1</f>
        <v>-1.7123476839116636E-2</v>
      </c>
      <c r="E1471" s="5">
        <f>prices!E1472/prices!E1471-1</f>
        <v>-1.7424564385891683E-3</v>
      </c>
      <c r="F1471" s="5">
        <f>prices!F1472/prices!F1471-1</f>
        <v>-1.1744403432242256E-3</v>
      </c>
      <c r="G1471" s="5">
        <f>prices!G1472/prices!G1471-1</f>
        <v>-1.493754821046378E-2</v>
      </c>
      <c r="H1471" s="5">
        <f>prices!H1472/prices!H1471-1</f>
        <v>-1.1469864871709645E-2</v>
      </c>
      <c r="I1471" s="5">
        <f>prices!I1472/prices!I1471-1</f>
        <v>-1.8218852254359486E-2</v>
      </c>
      <c r="J1471" s="5">
        <f>prices!J1472/prices!J1471-1</f>
        <v>-1.3468730047733413E-2</v>
      </c>
      <c r="K1471" s="8">
        <f>SUMPRODUCT(B1471:I1471,weights!$B$5:$I$5)</f>
        <v>-1.3773411500765219E-2</v>
      </c>
      <c r="L1471" s="4">
        <f t="shared" si="44"/>
        <v>290.90963096372593</v>
      </c>
      <c r="M1471" s="4">
        <f>L1471/MAX(L$2:L1471)-1</f>
        <v>-6.6687334868311354E-2</v>
      </c>
      <c r="N1471" s="4">
        <f t="shared" si="45"/>
        <v>3.776891989022646E-2</v>
      </c>
    </row>
    <row r="1472" spans="1:14">
      <c r="A1472" s="3">
        <f>prices!A1473</f>
        <v>45644</v>
      </c>
      <c r="B1472" s="5">
        <f>prices!B1473/prices!B1472-1</f>
        <v>6.3824272662476034E-3</v>
      </c>
      <c r="C1472" s="5">
        <f>prices!C1473/prices!C1472-1</f>
        <v>4.4700775193797782E-3</v>
      </c>
      <c r="D1472" s="5">
        <f>prices!D1473/prices!D1472-1</f>
        <v>-1.230765772347675E-2</v>
      </c>
      <c r="E1472" s="5">
        <f>prices!E1473/prices!E1472-1</f>
        <v>1.2931584997233347E-3</v>
      </c>
      <c r="F1472" s="5">
        <f>prices!F1473/prices!F1472-1</f>
        <v>2.0396899671248914E-3</v>
      </c>
      <c r="G1472" s="5">
        <f>prices!G1473/prices!G1472-1</f>
        <v>-9.5511808924912955E-3</v>
      </c>
      <c r="H1472" s="5">
        <f>prices!H1473/prices!H1472-1</f>
        <v>6.7124028580374251E-3</v>
      </c>
      <c r="I1472" s="5">
        <f>prices!I1473/prices!I1472-1</f>
        <v>-1.2881706210363775E-2</v>
      </c>
      <c r="J1472" s="5">
        <f>prices!J1473/prices!J1472-1</f>
        <v>-5.6356837606837962E-3</v>
      </c>
      <c r="K1472" s="8">
        <f>SUMPRODUCT(B1472:I1472,weights!$B$5:$I$5)</f>
        <v>-2.8118298209271466E-3</v>
      </c>
      <c r="L1472" s="4">
        <f t="shared" si="44"/>
        <v>290.09164258818726</v>
      </c>
      <c r="M1472" s="4">
        <f>L1472/MAX(L$2:L1472)-1</f>
        <v>-6.9311651252377482E-2</v>
      </c>
      <c r="N1472" s="4">
        <f t="shared" si="45"/>
        <v>3.5818883418474279E-2</v>
      </c>
    </row>
    <row r="1473" spans="1:14">
      <c r="A1473" s="3">
        <f>prices!A1474</f>
        <v>45645</v>
      </c>
      <c r="B1473" s="5">
        <f>prices!B1474/prices!B1473-1</f>
        <v>-1.8196890190902315E-2</v>
      </c>
      <c r="C1473" s="5">
        <f>prices!C1474/prices!C1473-1</f>
        <v>-1.746734596606303E-2</v>
      </c>
      <c r="D1473" s="5">
        <f>prices!D1474/prices!D1473-1</f>
        <v>-9.5022418462799019E-3</v>
      </c>
      <c r="E1473" s="5">
        <f>prices!E1474/prices!E1473-1</f>
        <v>-1.6651165262682288E-2</v>
      </c>
      <c r="F1473" s="5">
        <f>prices!F1474/prices!F1473-1</f>
        <v>-8.4055749796445589E-3</v>
      </c>
      <c r="G1473" s="5">
        <f>prices!G1474/prices!G1473-1</f>
        <v>-4.2806463376949822E-3</v>
      </c>
      <c r="H1473" s="5">
        <f>prices!H1474/prices!H1473-1</f>
        <v>1.2351264534226081E-2</v>
      </c>
      <c r="I1473" s="5">
        <f>prices!I1474/prices!I1473-1</f>
        <v>-1.1124339305908504E-2</v>
      </c>
      <c r="J1473" s="5">
        <f>prices!J1474/prices!J1473-1</f>
        <v>-1.0213295259898669E-2</v>
      </c>
      <c r="K1473" s="8">
        <f>SUMPRODUCT(B1473:I1473,weights!$B$5:$I$5)</f>
        <v>-7.8308322672916916E-3</v>
      </c>
      <c r="L1473" s="4">
        <f t="shared" si="44"/>
        <v>287.81998359293607</v>
      </c>
      <c r="M1473" s="4">
        <f>L1473/MAX(L$2:L1473)-1</f>
        <v>-7.6599715604542706E-2</v>
      </c>
      <c r="N1473" s="4">
        <f t="shared" si="45"/>
        <v>3.3272959488174214E-2</v>
      </c>
    </row>
    <row r="1474" spans="1:14">
      <c r="A1474" s="3">
        <f>prices!A1475</f>
        <v>45646</v>
      </c>
      <c r="B1474" s="5">
        <f>prices!B1475/prices!B1474-1</f>
        <v>-2.0435933798395034E-2</v>
      </c>
      <c r="C1474" s="5">
        <f>prices!C1475/prices!C1474-1</f>
        <v>-2.3785107099589364E-2</v>
      </c>
      <c r="D1474" s="5">
        <f>prices!D1475/prices!D1474-1</f>
        <v>-1.2258872459472103E-2</v>
      </c>
      <c r="E1474" s="5">
        <f>prices!E1475/prices!E1474-1</f>
        <v>-1.2355287479326904E-2</v>
      </c>
      <c r="F1474" s="5">
        <f>prices!F1475/prices!F1474-1</f>
        <v>-4.0814355060738716E-3</v>
      </c>
      <c r="G1474" s="5">
        <f>prices!G1475/prices!G1474-1</f>
        <v>-4.9560682479861118E-3</v>
      </c>
      <c r="H1474" s="5">
        <f>prices!H1475/prices!H1474-1</f>
        <v>-7.9270200214515141E-3</v>
      </c>
      <c r="I1474" s="5">
        <f>prices!I1475/prices!I1474-1</f>
        <v>-2.3275074800007678E-2</v>
      </c>
      <c r="J1474" s="5">
        <f>prices!J1475/prices!J1474-1</f>
        <v>-1.5205601272561098E-2</v>
      </c>
      <c r="K1474" s="8">
        <f>SUMPRODUCT(B1474:I1474,weights!$B$5:$I$5)</f>
        <v>-1.3733165810354889E-2</v>
      </c>
      <c r="L1474" s="4">
        <f t="shared" si="44"/>
        <v>283.86730403472063</v>
      </c>
      <c r="M1474" s="4">
        <f>L1474/MAX(L$2:L1474)-1</f>
        <v>-8.9280924819474361E-2</v>
      </c>
      <c r="N1474" s="4">
        <f t="shared" si="45"/>
        <v>-7.0862271971284807E-3</v>
      </c>
    </row>
    <row r="1475" spans="1:14">
      <c r="A1475" s="3">
        <f>prices!A1476</f>
        <v>45649</v>
      </c>
      <c r="B1475" s="5">
        <f>prices!B1476/prices!B1475-1</f>
        <v>1.4100654404257673E-2</v>
      </c>
      <c r="C1475" s="5">
        <f>prices!C1476/prices!C1475-1</f>
        <v>-2.8759677747425272E-3</v>
      </c>
      <c r="D1475" s="5">
        <f>prices!D1476/prices!D1475-1</f>
        <v>1.6644954171125326E-2</v>
      </c>
      <c r="E1475" s="5">
        <f>prices!E1476/prices!E1475-1</f>
        <v>1.1163645915419629E-3</v>
      </c>
      <c r="F1475" s="5">
        <f>prices!F1476/prices!F1475-1</f>
        <v>2.0660555798050373E-2</v>
      </c>
      <c r="G1475" s="5">
        <f>prices!G1476/prices!G1475-1</f>
        <v>-7.2519691676579123E-3</v>
      </c>
      <c r="H1475" s="5">
        <f>prices!H1476/prices!H1475-1</f>
        <v>3.1815033588791231E-3</v>
      </c>
      <c r="I1475" s="5">
        <f>prices!I1476/prices!I1475-1</f>
        <v>2.9341404793459258E-3</v>
      </c>
      <c r="J1475" s="5">
        <f>prices!J1476/prices!J1475-1</f>
        <v>7.0355060943296799E-3</v>
      </c>
      <c r="K1475" s="8">
        <f>SUMPRODUCT(B1475:I1475,weights!$B$5:$I$5)</f>
        <v>4.2503065432848257E-3</v>
      </c>
      <c r="L1475" s="4">
        <f t="shared" si="44"/>
        <v>285.07382709448405</v>
      </c>
      <c r="M1475" s="4">
        <f>L1475/MAX(L$2:L1475)-1</f>
        <v>-8.5410089575140291E-2</v>
      </c>
      <c r="N1475" s="4">
        <f t="shared" si="45"/>
        <v>-1.5617275036349576E-2</v>
      </c>
    </row>
    <row r="1476" spans="1:14">
      <c r="A1476" s="3">
        <f>prices!A1477</f>
        <v>45650</v>
      </c>
      <c r="B1476" s="5">
        <f>prices!B1477/prices!B1476-1</f>
        <v>3.7133921424636895E-4</v>
      </c>
      <c r="C1476" s="5">
        <f>prices!C1477/prices!C1476-1</f>
        <v>5.0971663473406981E-3</v>
      </c>
      <c r="D1476" s="5">
        <f>prices!D1477/prices!D1476-1</f>
        <v>-1.6017756827568785E-3</v>
      </c>
      <c r="E1476" s="5">
        <f>prices!E1477/prices!E1476-1</f>
        <v>-7.9260959877555104E-3</v>
      </c>
      <c r="F1476" s="5">
        <f>prices!F1477/prices!F1476-1</f>
        <v>8.8619624613923698E-3</v>
      </c>
      <c r="G1476" s="5">
        <f>prices!G1477/prices!G1476-1</f>
        <v>-7.891755120678301E-3</v>
      </c>
      <c r="H1476" s="5">
        <f>prices!H1477/prices!H1476-1</f>
        <v>2.424868372307154E-3</v>
      </c>
      <c r="I1476" s="5">
        <f>prices!I1477/prices!I1476-1</f>
        <v>-2.0436901765696902E-4</v>
      </c>
      <c r="J1476" s="5">
        <f>prices!J1477/prices!J1476-1</f>
        <v>-1.0861580107310864E-3</v>
      </c>
      <c r="K1476" s="8">
        <f>SUMPRODUCT(B1476:I1476,weights!$B$5:$I$5)</f>
        <v>-7.6372860456722666E-4</v>
      </c>
      <c r="L1476" s="4">
        <f t="shared" ref="L1476:L1539" si="46">L1475*(1+K1476)</f>
        <v>284.85610805831857</v>
      </c>
      <c r="M1476" s="4">
        <f>L1476/MAX(L$2:L1476)-1</f>
        <v>-8.6108588051180157E-2</v>
      </c>
      <c r="N1476" s="4">
        <f t="shared" si="45"/>
        <v>-1.2419287504667476E-2</v>
      </c>
    </row>
    <row r="1477" spans="1:14">
      <c r="A1477" s="3">
        <f>prices!A1478</f>
        <v>45652</v>
      </c>
      <c r="B1477" s="5">
        <f>prices!B1478/prices!B1477-1</f>
        <v>-5.0730854258090874E-3</v>
      </c>
      <c r="C1477" s="5">
        <f>prices!C1478/prices!C1477-1</f>
        <v>-2.4868464320946249E-3</v>
      </c>
      <c r="D1477" s="5">
        <f>prices!D1478/prices!D1477-1</f>
        <v>-4.0910809850681629E-3</v>
      </c>
      <c r="E1477" s="5">
        <f>prices!E1478/prices!E1477-1</f>
        <v>-8.6506143589182294E-4</v>
      </c>
      <c r="F1477" s="5">
        <f>prices!F1478/prices!F1477-1</f>
        <v>-3.1321385676942315E-3</v>
      </c>
      <c r="G1477" s="5">
        <f>prices!G1478/prices!G1477-1</f>
        <v>1.4846871725234356E-2</v>
      </c>
      <c r="H1477" s="5">
        <f>prices!H1478/prices!H1477-1</f>
        <v>1.2285397511563101E-2</v>
      </c>
      <c r="I1477" s="5">
        <f>prices!I1478/prices!I1477-1</f>
        <v>-2.8169487348931321E-3</v>
      </c>
      <c r="J1477" s="5">
        <f>prices!J1478/prices!J1477-1</f>
        <v>9.5036803054671104E-4</v>
      </c>
      <c r="K1477" s="8">
        <f>SUMPRODUCT(B1477:I1477,weights!$B$5:$I$5)</f>
        <v>2.6805848156471477E-3</v>
      </c>
      <c r="L1477" s="4">
        <f t="shared" si="46"/>
        <v>285.61968901622407</v>
      </c>
      <c r="M1477" s="4">
        <f>L1477/MAX(L$2:L1477)-1</f>
        <v>-8.3658824609159743E-2</v>
      </c>
      <c r="N1477" s="4">
        <f t="shared" si="45"/>
        <v>-1.1009312189576792E-2</v>
      </c>
    </row>
    <row r="1478" spans="1:14">
      <c r="A1478" s="3">
        <f>prices!A1479</f>
        <v>45653</v>
      </c>
      <c r="B1478" s="5">
        <f>prices!B1479/prices!B1478-1</f>
        <v>3.7060681684393249E-3</v>
      </c>
      <c r="C1478" s="5">
        <f>prices!C1479/prices!C1478-1</f>
        <v>-1.0198825589781135E-3</v>
      </c>
      <c r="D1478" s="5">
        <f>prices!D1479/prices!D1478-1</f>
        <v>4.1884334798518719E-3</v>
      </c>
      <c r="E1478" s="5">
        <f>prices!E1479/prices!E1478-1</f>
        <v>4.9025825415121016E-3</v>
      </c>
      <c r="F1478" s="5">
        <f>prices!F1479/prices!F1478-1</f>
        <v>3.4727143869595078E-3</v>
      </c>
      <c r="G1478" s="5">
        <f>prices!G1479/prices!G1478-1</f>
        <v>4.1341248014692411E-3</v>
      </c>
      <c r="H1478" s="5">
        <f>prices!H1479/prices!H1478-1</f>
        <v>1.080871777851522E-2</v>
      </c>
      <c r="I1478" s="5">
        <f>prices!I1479/prices!I1478-1</f>
        <v>-5.8969218068168905E-3</v>
      </c>
      <c r="J1478" s="5">
        <f>prices!J1479/prices!J1478-1</f>
        <v>2.6610302229033156E-3</v>
      </c>
      <c r="K1478" s="8">
        <f>SUMPRODUCT(B1478:I1478,weights!$B$5:$I$5)</f>
        <v>2.6717606109674377E-3</v>
      </c>
      <c r="L1478" s="4">
        <f t="shared" si="46"/>
        <v>286.38279645105439</v>
      </c>
      <c r="M1478" s="4">
        <f>L1478/MAX(L$2:L1478)-1</f>
        <v>-8.121058035054296E-2</v>
      </c>
      <c r="N1478" s="4">
        <f t="shared" si="45"/>
        <v>4.7675138432394792E-3</v>
      </c>
    </row>
    <row r="1479" spans="1:14">
      <c r="A1479" s="3">
        <f>prices!A1480</f>
        <v>45656</v>
      </c>
      <c r="B1479" s="5">
        <f>prices!B1480/prices!B1479-1</f>
        <v>-8.4833966628118374E-3</v>
      </c>
      <c r="C1479" s="5">
        <f>prices!C1480/prices!C1479-1</f>
        <v>-1.4540429612978079E-3</v>
      </c>
      <c r="D1479" s="5">
        <f>prices!D1480/prices!D1479-1</f>
        <v>-1.1321187120430842E-2</v>
      </c>
      <c r="E1479" s="5">
        <f>prices!E1480/prices!E1479-1</f>
        <v>-5.6085434250530142E-3</v>
      </c>
      <c r="F1479" s="5">
        <f>prices!F1480/prices!F1479-1</f>
        <v>-3.3429856157448645E-3</v>
      </c>
      <c r="G1479" s="5">
        <f>prices!G1480/prices!G1479-1</f>
        <v>-1.2987728006106591E-2</v>
      </c>
      <c r="H1479" s="5">
        <f>prices!H1480/prices!H1479-1</f>
        <v>1.2170696203224418E-2</v>
      </c>
      <c r="I1479" s="5">
        <f>prices!I1480/prices!I1479-1</f>
        <v>-8.0786852645909901E-3</v>
      </c>
      <c r="J1479" s="5">
        <f>prices!J1480/prices!J1479-1</f>
        <v>-7.0758480519371725E-3</v>
      </c>
      <c r="K1479" s="8">
        <f>SUMPRODUCT(B1479:I1479,weights!$B$5:$I$5)</f>
        <v>-5.0843936656210066E-3</v>
      </c>
      <c r="L1479" s="4">
        <f t="shared" si="46"/>
        <v>284.92671357483584</v>
      </c>
      <c r="M1479" s="4">
        <f>L1479/MAX(L$2:L1479)-1</f>
        <v>-8.5882067455848143E-2</v>
      </c>
      <c r="N1479" s="4">
        <f t="shared" si="45"/>
        <v>-1.2783025225268196E-2</v>
      </c>
    </row>
    <row r="1480" spans="1:14">
      <c r="A1480" s="3">
        <f>prices!A1481</f>
        <v>45657</v>
      </c>
      <c r="B1480" s="5">
        <f>prices!B1481/prices!B1480-1</f>
        <v>3.9239209217465376E-3</v>
      </c>
      <c r="C1480" s="5">
        <f>prices!C1481/prices!C1480-1</f>
        <v>-1.5387793039347342E-2</v>
      </c>
      <c r="D1480" s="5">
        <f>prices!D1481/prices!D1480-1</f>
        <v>-2.8395262047704595E-3</v>
      </c>
      <c r="E1480" s="5">
        <f>prices!E1481/prices!E1480-1</f>
        <v>-1.3636865342163351E-2</v>
      </c>
      <c r="F1480" s="5">
        <f>prices!F1481/prices!F1480-1</f>
        <v>1.3936459194519912E-2</v>
      </c>
      <c r="G1480" s="5">
        <f>prices!G1481/prices!G1480-1</f>
        <v>5.5052949346181546E-3</v>
      </c>
      <c r="H1480" s="5">
        <f>prices!H1481/prices!H1480-1</f>
        <v>1.2975918857254243E-3</v>
      </c>
      <c r="I1480" s="5">
        <f>prices!I1481/prices!I1480-1</f>
        <v>8.0191822484465547E-3</v>
      </c>
      <c r="J1480" s="5">
        <f>prices!J1481/prices!J1480-1</f>
        <v>-4.2292418238609741E-6</v>
      </c>
      <c r="K1480" s="8">
        <f>SUMPRODUCT(B1480:I1480,weights!$B$5:$I$5)</f>
        <v>1.792490096009516E-3</v>
      </c>
      <c r="L1480" s="4">
        <f t="shared" si="46"/>
        <v>285.43744188700731</v>
      </c>
      <c r="M1480" s="4">
        <f>L1480/MAX(L$2:L1480)-1</f>
        <v>-8.4243520115177994E-2</v>
      </c>
      <c r="N1480" s="4">
        <f t="shared" si="45"/>
        <v>-1.824877210425091E-2</v>
      </c>
    </row>
    <row r="1481" spans="1:14">
      <c r="A1481" s="3">
        <f>prices!A1482</f>
        <v>45658</v>
      </c>
      <c r="B1481" s="5">
        <f>prices!B1482/prices!B1481-1</f>
        <v>4.7716258381464982E-3</v>
      </c>
      <c r="C1481" s="5">
        <f>prices!C1482/prices!C1481-1</f>
        <v>4.3108873505348644E-3</v>
      </c>
      <c r="D1481" s="5">
        <f>prices!D1482/prices!D1481-1</f>
        <v>5.5906179899345432E-3</v>
      </c>
      <c r="E1481" s="5">
        <f>prices!E1482/prices!E1481-1</f>
        <v>1.326029911206339E-3</v>
      </c>
      <c r="F1481" s="5">
        <f>prices!F1482/prices!F1481-1</f>
        <v>6.0570762958644941E-4</v>
      </c>
      <c r="G1481" s="5">
        <f>prices!G1482/prices!G1481-1</f>
        <v>3.2223760074920227E-2</v>
      </c>
      <c r="H1481" s="5">
        <f>prices!H1482/prices!H1481-1</f>
        <v>1.9114677264333579E-3</v>
      </c>
      <c r="I1481" s="5">
        <f>prices!I1482/prices!I1481-1</f>
        <v>1.6588789007102367E-2</v>
      </c>
      <c r="J1481" s="5">
        <f>prices!J1482/prices!J1481-1</f>
        <v>4.1489037758830616E-3</v>
      </c>
      <c r="K1481" s="8">
        <f>SUMPRODUCT(B1481:I1481,weights!$B$5:$I$5)</f>
        <v>1.1384307929221857E-2</v>
      </c>
      <c r="L1481" s="4">
        <f t="shared" si="46"/>
        <v>288.68694961997841</v>
      </c>
      <c r="M1481" s="4">
        <f>L1481/MAX(L$2:L1481)-1</f>
        <v>-7.3818266359988782E-2</v>
      </c>
      <c r="N1481" s="4">
        <f t="shared" si="45"/>
        <v>-1.3913488651408956E-2</v>
      </c>
    </row>
    <row r="1482" spans="1:14">
      <c r="A1482" s="3">
        <f>prices!A1483</f>
        <v>45659</v>
      </c>
      <c r="B1482" s="5">
        <f>prices!B1483/prices!B1482-1</f>
        <v>1.6831985728326115E-2</v>
      </c>
      <c r="C1482" s="5">
        <f>prices!C1483/prices!C1482-1</f>
        <v>1.5391484162045277E-2</v>
      </c>
      <c r="D1482" s="5">
        <f>prices!D1483/prices!D1482-1</f>
        <v>6.1721260315772408E-3</v>
      </c>
      <c r="E1482" s="5">
        <f>prices!E1483/prices!E1482-1</f>
        <v>4.0029949822871336E-2</v>
      </c>
      <c r="F1482" s="5">
        <f>prices!F1483/prices!F1482-1</f>
        <v>1.0546902283998127E-2</v>
      </c>
      <c r="G1482" s="5">
        <f>prices!G1483/prices!G1482-1</f>
        <v>5.6476435207409637E-2</v>
      </c>
      <c r="H1482" s="5">
        <f>prices!H1483/prices!H1482-1</f>
        <v>-6.3270673450029902E-3</v>
      </c>
      <c r="I1482" s="5">
        <f>prices!I1483/prices!I1482-1</f>
        <v>1.2544255042434838E-2</v>
      </c>
      <c r="J1482" s="5">
        <f>prices!J1483/prices!J1482-1</f>
        <v>1.8774033500541298E-2</v>
      </c>
      <c r="K1482" s="8">
        <f>SUMPRODUCT(B1482:I1482,weights!$B$5:$I$5)</f>
        <v>2.0722087790691096E-2</v>
      </c>
      <c r="L1482" s="4">
        <f t="shared" si="46"/>
        <v>294.66914593403038</v>
      </c>
      <c r="M1482" s="4">
        <f>L1482/MAX(L$2:L1482)-1</f>
        <v>-5.4625847165366115E-2</v>
      </c>
      <c r="N1482" s="4">
        <f t="shared" si="45"/>
        <v>8.9987424232553792E-3</v>
      </c>
    </row>
    <row r="1483" spans="1:14">
      <c r="A1483" s="3">
        <f>prices!A1484</f>
        <v>45660</v>
      </c>
      <c r="B1483" s="5">
        <f>prices!B1484/prices!B1483-1</f>
        <v>7.5294232315601395E-3</v>
      </c>
      <c r="C1483" s="5">
        <f>prices!C1484/prices!C1483-1</f>
        <v>-1.816409916199313E-2</v>
      </c>
      <c r="D1483" s="5">
        <f>prices!D1484/prices!D1483-1</f>
        <v>-2.4835730368055864E-2</v>
      </c>
      <c r="E1483" s="5">
        <f>prices!E1484/prices!E1483-1</f>
        <v>-9.7566217160048874E-3</v>
      </c>
      <c r="F1483" s="5">
        <f>prices!F1484/prices!F1483-1</f>
        <v>-1.5229011151046024E-2</v>
      </c>
      <c r="G1483" s="5">
        <f>prices!G1484/prices!G1483-1</f>
        <v>7.8496089422082083E-3</v>
      </c>
      <c r="H1483" s="5">
        <f>prices!H1484/prices!H1483-1</f>
        <v>-1.5093991690982578E-2</v>
      </c>
      <c r="I1483" s="5">
        <f>prices!I1484/prices!I1483-1</f>
        <v>-1.4433527280711345E-2</v>
      </c>
      <c r="J1483" s="5">
        <f>prices!J1484/prices!J1483-1</f>
        <v>-7.6027393012839672E-3</v>
      </c>
      <c r="K1483" s="8">
        <f>SUMPRODUCT(B1483:I1483,weights!$B$5:$I$5)</f>
        <v>-8.177138394357502E-3</v>
      </c>
      <c r="L1483" s="4">
        <f t="shared" si="46"/>
        <v>292.25959554718071</v>
      </c>
      <c r="M1483" s="4">
        <f>L1483/MAX(L$2:L1483)-1</f>
        <v>-6.235630244754331E-2</v>
      </c>
      <c r="N1483" s="4">
        <f t="shared" si="45"/>
        <v>-9.1772314676632494E-3</v>
      </c>
    </row>
    <row r="1484" spans="1:14">
      <c r="A1484" s="3">
        <f>prices!A1485</f>
        <v>45663</v>
      </c>
      <c r="B1484" s="5">
        <f>prices!B1485/prices!B1484-1</f>
        <v>-2.6498661765180231E-2</v>
      </c>
      <c r="C1484" s="5">
        <f>prices!C1485/prices!C1484-1</f>
        <v>-1.1968520434217922E-3</v>
      </c>
      <c r="D1484" s="5">
        <f>prices!D1485/prices!D1484-1</f>
        <v>-2.2134527034986418E-2</v>
      </c>
      <c r="E1484" s="5">
        <f>prices!E1485/prices!E1484-1</f>
        <v>-4.6659504975210542E-4</v>
      </c>
      <c r="F1484" s="5">
        <f>prices!F1485/prices!F1484-1</f>
        <v>-4.5481131413330877E-2</v>
      </c>
      <c r="G1484" s="5">
        <f>prices!G1485/prices!G1484-1</f>
        <v>-1.4965262420363667E-2</v>
      </c>
      <c r="H1484" s="5">
        <f>prices!H1485/prices!H1484-1</f>
        <v>-1.2169938599631003E-3</v>
      </c>
      <c r="I1484" s="5">
        <f>prices!I1485/prices!I1484-1</f>
        <v>-1.5494248136318278E-2</v>
      </c>
      <c r="J1484" s="5">
        <f>prices!J1485/prices!J1484-1</f>
        <v>-1.6192628542267662E-2</v>
      </c>
      <c r="K1484" s="8">
        <f>SUMPRODUCT(B1484:I1484,weights!$B$5:$I$5)</f>
        <v>-1.5110889631035072E-2</v>
      </c>
      <c r="L1484" s="4">
        <f t="shared" si="46"/>
        <v>287.84329305525631</v>
      </c>
      <c r="M1484" s="4">
        <f>L1484/MAX(L$2:L1484)-1</f>
        <v>-7.6524932874494134E-2</v>
      </c>
      <c r="N1484" s="4">
        <f t="shared" si="45"/>
        <v>-2.5890751805947687E-2</v>
      </c>
    </row>
    <row r="1485" spans="1:14">
      <c r="A1485" s="3">
        <f>prices!A1486</f>
        <v>45664</v>
      </c>
      <c r="B1485" s="5">
        <f>prices!B1486/prices!B1485-1</f>
        <v>1.8764957725018183E-2</v>
      </c>
      <c r="C1485" s="5">
        <f>prices!C1486/prices!C1485-1</f>
        <v>-1.628567982421647E-2</v>
      </c>
      <c r="D1485" s="5">
        <f>prices!D1486/prices!D1485-1</f>
        <v>1.6985700690268501E-3</v>
      </c>
      <c r="E1485" s="5">
        <f>prices!E1486/prices!E1485-1</f>
        <v>-3.6096575981934276E-3</v>
      </c>
      <c r="F1485" s="5">
        <f>prices!F1486/prices!F1485-1</f>
        <v>-3.5049878673496515E-3</v>
      </c>
      <c r="G1485" s="5">
        <f>prices!G1486/prices!G1485-1</f>
        <v>-2.9216250627488449E-3</v>
      </c>
      <c r="H1485" s="5">
        <f>prices!H1486/prices!H1485-1</f>
        <v>3.2474334799916793E-3</v>
      </c>
      <c r="I1485" s="5">
        <f>prices!I1486/prices!I1485-1</f>
        <v>1.1130376735674075E-2</v>
      </c>
      <c r="J1485" s="5">
        <f>prices!J1486/prices!J1485-1</f>
        <v>3.8893040961549552E-3</v>
      </c>
      <c r="K1485" s="8">
        <f>SUMPRODUCT(B1485:I1485,weights!$B$5:$I$5)</f>
        <v>2.6006751634162564E-3</v>
      </c>
      <c r="L1485" s="4">
        <f t="shared" si="46"/>
        <v>288.59187995846105</v>
      </c>
      <c r="M1485" s="4">
        <f>L1485/MAX(L$2:L1485)-1</f>
        <v>-7.4123274203386713E-2</v>
      </c>
      <c r="N1485" s="4">
        <f t="shared" si="45"/>
        <v>-2.4979031522053607E-2</v>
      </c>
    </row>
    <row r="1486" spans="1:14">
      <c r="A1486" s="3">
        <f>prices!A1487</f>
        <v>45665</v>
      </c>
      <c r="B1486" s="5">
        <f>prices!B1487/prices!B1486-1</f>
        <v>1.9858075319249213E-2</v>
      </c>
      <c r="C1486" s="5">
        <f>prices!C1487/prices!C1486-1</f>
        <v>1.9881812632774221E-2</v>
      </c>
      <c r="D1486" s="5">
        <f>prices!D1487/prices!D1486-1</f>
        <v>-1.1148258610736983E-2</v>
      </c>
      <c r="E1486" s="5">
        <f>prices!E1487/prices!E1486-1</f>
        <v>1.1876031662152453E-3</v>
      </c>
      <c r="F1486" s="5">
        <f>prices!F1487/prices!F1486-1</f>
        <v>1.9160763478945242E-2</v>
      </c>
      <c r="G1486" s="5">
        <f>prices!G1487/prices!G1486-1</f>
        <v>8.5910892382734527E-3</v>
      </c>
      <c r="H1486" s="5">
        <f>prices!H1487/prices!H1486-1</f>
        <v>-8.4412765232493303E-3</v>
      </c>
      <c r="I1486" s="5">
        <f>prices!I1487/prices!I1486-1</f>
        <v>-1.2887722674782887E-2</v>
      </c>
      <c r="J1486" s="5">
        <f>prices!J1487/prices!J1486-1</f>
        <v>-7.9931162186441806E-4</v>
      </c>
      <c r="K1486" s="8">
        <f>SUMPRODUCT(B1486:I1486,weights!$B$5:$I$5)</f>
        <v>3.0048501823167519E-3</v>
      </c>
      <c r="L1486" s="4">
        <f t="shared" si="46"/>
        <v>289.45905532156939</v>
      </c>
      <c r="M1486" s="4">
        <f>L1486/MAX(L$2:L1486)-1</f>
        <v>-7.1341153355073739E-2</v>
      </c>
      <c r="N1486" s="4">
        <f t="shared" si="45"/>
        <v>-1.9476752625768978E-2</v>
      </c>
    </row>
    <row r="1487" spans="1:14">
      <c r="A1487" s="3">
        <f>prices!A1488</f>
        <v>45666</v>
      </c>
      <c r="B1487" s="5">
        <f>prices!B1488/prices!B1487-1</f>
        <v>-8.4883554110277704E-3</v>
      </c>
      <c r="C1487" s="5">
        <f>prices!C1488/prices!C1487-1</f>
        <v>-1.6927757130984378E-2</v>
      </c>
      <c r="D1487" s="5">
        <f>prices!D1488/prices!D1487-1</f>
        <v>-1.564001216175126E-2</v>
      </c>
      <c r="E1487" s="5">
        <f>prices!E1488/prices!E1487-1</f>
        <v>-8.1945358878229291E-3</v>
      </c>
      <c r="F1487" s="5">
        <f>prices!F1488/prices!F1487-1</f>
        <v>1.2308434898031795E-3</v>
      </c>
      <c r="G1487" s="5">
        <f>prices!G1488/prices!G1487-1</f>
        <v>-6.8899822352801454E-3</v>
      </c>
      <c r="H1487" s="5">
        <f>prices!H1488/prices!H1487-1</f>
        <v>-6.2019542529666571E-3</v>
      </c>
      <c r="I1487" s="5">
        <f>prices!I1488/prices!I1487-1</f>
        <v>-1.9032774573845557E-2</v>
      </c>
      <c r="J1487" s="5">
        <f>prices!J1488/prices!J1487-1</f>
        <v>-6.8576277124988705E-3</v>
      </c>
      <c r="K1487" s="8">
        <f>SUMPRODUCT(B1487:I1487,weights!$B$5:$I$5)</f>
        <v>-1.0344976532163245E-2</v>
      </c>
      <c r="L1487" s="4">
        <f t="shared" si="46"/>
        <v>286.46460818724563</v>
      </c>
      <c r="M1487" s="4">
        <f>L1487/MAX(L$2:L1487)-1</f>
        <v>-8.094810733000124E-2</v>
      </c>
      <c r="N1487" s="4">
        <f t="shared" si="45"/>
        <v>-3.1090476032099912E-2</v>
      </c>
    </row>
    <row r="1488" spans="1:14">
      <c r="A1488" s="3">
        <f>prices!A1489</f>
        <v>45667</v>
      </c>
      <c r="B1488" s="5">
        <f>prices!B1489/prices!B1488-1</f>
        <v>-1.0241075232514163E-2</v>
      </c>
      <c r="C1488" s="5">
        <f>prices!C1489/prices!C1488-1</f>
        <v>5.6155938205338929E-2</v>
      </c>
      <c r="D1488" s="5">
        <f>prices!D1489/prices!D1488-1</f>
        <v>-6.6222710930453621E-3</v>
      </c>
      <c r="E1488" s="5">
        <f>prices!E1489/prices!E1488-1</f>
        <v>2.5894938965848269E-2</v>
      </c>
      <c r="F1488" s="5">
        <f>prices!F1489/prices!F1488-1</f>
        <v>-1.1570168249529944E-2</v>
      </c>
      <c r="G1488" s="5">
        <f>prices!G1489/prices!G1488-1</f>
        <v>-9.3222660411240721E-3</v>
      </c>
      <c r="H1488" s="5">
        <f>prices!H1489/prices!H1488-1</f>
        <v>-2.2754143708033081E-2</v>
      </c>
      <c r="I1488" s="5">
        <f>prices!I1489/prices!I1488-1</f>
        <v>2.3400327604587989E-3</v>
      </c>
      <c r="J1488" s="5">
        <f>prices!J1489/prices!J1488-1</f>
        <v>-4.037999702463213E-3</v>
      </c>
      <c r="K1488" s="8">
        <f>SUMPRODUCT(B1488:I1488,weights!$B$5:$I$5)</f>
        <v>-4.2194298450390821E-4</v>
      </c>
      <c r="L1488" s="4">
        <f t="shared" si="46"/>
        <v>286.34373645551233</v>
      </c>
      <c r="M1488" s="4">
        <f>L1488/MAX(L$2:L1488)-1</f>
        <v>-8.1335894828508559E-2</v>
      </c>
      <c r="N1488" s="4">
        <f t="shared" si="45"/>
        <v>-2.4781634101104122E-2</v>
      </c>
    </row>
    <row r="1489" spans="1:14">
      <c r="A1489" s="3">
        <f>prices!A1490</f>
        <v>45670</v>
      </c>
      <c r="B1489" s="5">
        <f>prices!B1490/prices!B1489-1</f>
        <v>-1.6568258789704249E-3</v>
      </c>
      <c r="C1489" s="5">
        <f>prices!C1490/prices!C1489-1</f>
        <v>5.965685978372548E-3</v>
      </c>
      <c r="D1489" s="5">
        <f>prices!D1490/prices!D1489-1</f>
        <v>-1.5633745009514532E-2</v>
      </c>
      <c r="E1489" s="5">
        <f>prices!E1490/prices!E1489-1</f>
        <v>-2.4171769298644286E-3</v>
      </c>
      <c r="F1489" s="5">
        <f>prices!F1490/prices!F1489-1</f>
        <v>-1.3144417890064819E-2</v>
      </c>
      <c r="G1489" s="5">
        <f>prices!G1490/prices!G1489-1</f>
        <v>-1.14693012293553E-2</v>
      </c>
      <c r="H1489" s="5">
        <f>prices!H1490/prices!H1489-1</f>
        <v>-2.1235190722943886E-2</v>
      </c>
      <c r="I1489" s="5">
        <f>prices!I1490/prices!I1489-1</f>
        <v>-2.031940373358232E-2</v>
      </c>
      <c r="J1489" s="5">
        <f>prices!J1490/prices!J1489-1</f>
        <v>-1.4747241960608504E-2</v>
      </c>
      <c r="K1489" s="8">
        <f>SUMPRODUCT(B1489:I1489,weights!$B$5:$I$5)</f>
        <v>-1.1588586431986656E-2</v>
      </c>
      <c r="L1489" s="4">
        <f t="shared" si="46"/>
        <v>283.0254173163396</v>
      </c>
      <c r="M1489" s="4">
        <f>L1489/MAX(L$2:L1489)-1</f>
        <v>-9.1981913213252109E-2</v>
      </c>
      <c r="N1489" s="4">
        <f t="shared" si="45"/>
        <v>-4.3737656940286196E-2</v>
      </c>
    </row>
    <row r="1490" spans="1:14">
      <c r="A1490" s="3">
        <f>prices!A1491</f>
        <v>45671</v>
      </c>
      <c r="B1490" s="5">
        <f>prices!B1491/prices!B1490-1</f>
        <v>-8.8673397167327028E-4</v>
      </c>
      <c r="C1490" s="5">
        <f>prices!C1491/prices!C1490-1</f>
        <v>-1.3529609000055065E-2</v>
      </c>
      <c r="D1490" s="5">
        <f>prices!D1491/prices!D1490-1</f>
        <v>9.6530462689206065E-3</v>
      </c>
      <c r="E1490" s="5">
        <f>prices!E1491/prices!E1490-1</f>
        <v>-1.1289622231871577E-2</v>
      </c>
      <c r="F1490" s="5">
        <f>prices!F1491/prices!F1490-1</f>
        <v>-5.5847974893122876E-3</v>
      </c>
      <c r="G1490" s="5">
        <f>prices!G1491/prices!G1490-1</f>
        <v>2.117392991513567E-2</v>
      </c>
      <c r="H1490" s="5">
        <f>prices!H1491/prices!H1490-1</f>
        <v>1.3713725970368573E-2</v>
      </c>
      <c r="I1490" s="5">
        <f>prices!I1491/prices!I1490-1</f>
        <v>-4.9130796772078877E-4</v>
      </c>
      <c r="J1490" s="5">
        <f>prices!J1491/prices!J1490-1</f>
        <v>3.9028066854513987E-3</v>
      </c>
      <c r="K1490" s="8">
        <f>SUMPRODUCT(B1490:I1490,weights!$B$5:$I$5)</f>
        <v>4.0806845817304514E-3</v>
      </c>
      <c r="L1490" s="4">
        <f t="shared" si="46"/>
        <v>284.18035477302021</v>
      </c>
      <c r="M1490" s="4">
        <f>L1490/MAX(L$2:L1490)-1</f>
        <v>-8.8276577806569057E-2</v>
      </c>
      <c r="N1490" s="4">
        <f t="shared" si="45"/>
        <v>-3.6586651057816222E-2</v>
      </c>
    </row>
    <row r="1491" spans="1:14">
      <c r="A1491" s="3">
        <f>prices!A1492</f>
        <v>45672</v>
      </c>
      <c r="B1491" s="5">
        <f>prices!B1492/prices!B1491-1</f>
        <v>1.0861953848909645E-2</v>
      </c>
      <c r="C1491" s="5">
        <f>prices!C1492/prices!C1491-1</f>
        <v>3.9113726584398822E-3</v>
      </c>
      <c r="D1491" s="5">
        <f>prices!D1492/prices!D1491-1</f>
        <v>-2.1524214741585057E-3</v>
      </c>
      <c r="E1491" s="5">
        <f>prices!E1492/prices!E1491-1</f>
        <v>4.9501997972207779E-3</v>
      </c>
      <c r="F1491" s="5">
        <f>prices!F1492/prices!F1491-1</f>
        <v>1.7146691185607743E-3</v>
      </c>
      <c r="G1491" s="5">
        <f>prices!G1492/prices!G1491-1</f>
        <v>1.7566178606149174E-2</v>
      </c>
      <c r="H1491" s="5">
        <f>prices!H1492/prices!H1491-1</f>
        <v>-7.90870763089635E-3</v>
      </c>
      <c r="I1491" s="5">
        <f>prices!I1492/prices!I1491-1</f>
        <v>1.120556186753463E-2</v>
      </c>
      <c r="J1491" s="5">
        <f>prices!J1492/prices!J1491-1</f>
        <v>1.6029478707546563E-3</v>
      </c>
      <c r="K1491" s="8">
        <f>SUMPRODUCT(B1491:I1491,weights!$B$5:$I$5)</f>
        <v>6.5579135089348563E-3</v>
      </c>
      <c r="L1491" s="4">
        <f t="shared" si="46"/>
        <v>286.04398496056012</v>
      </c>
      <c r="M1491" s="4">
        <f>L1491/MAX(L$2:L1491)-1</f>
        <v>-8.2297574459754386E-2</v>
      </c>
      <c r="N1491" s="4">
        <f t="shared" si="45"/>
        <v>-1.6725627085795947E-2</v>
      </c>
    </row>
    <row r="1492" spans="1:14">
      <c r="A1492" s="3">
        <f>prices!A1493</f>
        <v>45673</v>
      </c>
      <c r="B1492" s="5">
        <f>prices!B1493/prices!B1492-1</f>
        <v>1.138157682765728E-2</v>
      </c>
      <c r="C1492" s="5">
        <f>prices!C1493/prices!C1492-1</f>
        <v>-1.0190081788481908E-2</v>
      </c>
      <c r="D1492" s="5">
        <f>prices!D1493/prices!D1492-1</f>
        <v>5.4804484687351884E-3</v>
      </c>
      <c r="E1492" s="5">
        <f>prices!E1493/prices!E1492-1</f>
        <v>-1.0871324521176229E-2</v>
      </c>
      <c r="F1492" s="5">
        <f>prices!F1493/prices!F1492-1</f>
        <v>-1.0270404366162333E-2</v>
      </c>
      <c r="G1492" s="5">
        <f>prices!G1493/prices!G1492-1</f>
        <v>1.2127893214378904E-2</v>
      </c>
      <c r="H1492" s="5">
        <f>prices!H1493/prices!H1492-1</f>
        <v>3.6699056144338105E-3</v>
      </c>
      <c r="I1492" s="5">
        <f>prices!I1493/prices!I1492-1</f>
        <v>1.857085888766985E-3</v>
      </c>
      <c r="J1492" s="5">
        <f>prices!J1493/prices!J1492-1</f>
        <v>4.2475832715866968E-3</v>
      </c>
      <c r="K1492" s="8">
        <f>SUMPRODUCT(B1492:I1492,weights!$B$5:$I$5)</f>
        <v>2.4582196054839973E-3</v>
      </c>
      <c r="L1492" s="4">
        <f t="shared" si="46"/>
        <v>286.74714389242098</v>
      </c>
      <c r="M1492" s="4">
        <f>L1492/MAX(L$2:L1492)-1</f>
        <v>-8.0041660365291034E-2</v>
      </c>
      <c r="N1492" s="4">
        <f t="shared" si="45"/>
        <v>-1.152911082141761E-2</v>
      </c>
    </row>
    <row r="1493" spans="1:14">
      <c r="A1493" s="3">
        <f>prices!A1494</f>
        <v>45674</v>
      </c>
      <c r="B1493" s="5">
        <f>prices!B1494/prices!B1493-1</f>
        <v>2.8344788588813508E-2</v>
      </c>
      <c r="C1493" s="5">
        <f>prices!C1494/prices!C1493-1</f>
        <v>-1.4524791700702977E-3</v>
      </c>
      <c r="D1493" s="5">
        <f>prices!D1494/prices!D1493-1</f>
        <v>-9.267227938883682E-3</v>
      </c>
      <c r="E1493" s="5">
        <f>prices!E1494/prices!E1493-1</f>
        <v>-5.8597649112280714E-2</v>
      </c>
      <c r="F1493" s="5">
        <f>prices!F1494/prices!F1493-1</f>
        <v>1.696911971124937E-2</v>
      </c>
      <c r="G1493" s="5">
        <f>prices!G1494/prices!G1493-1</f>
        <v>3.6432348548236515E-3</v>
      </c>
      <c r="H1493" s="5">
        <f>prices!H1494/prices!H1493-1</f>
        <v>1.3187613001611531E-2</v>
      </c>
      <c r="I1493" s="5">
        <f>prices!I1494/prices!I1493-1</f>
        <v>1.7316168245750108E-2</v>
      </c>
      <c r="J1493" s="5">
        <f>prices!J1494/prices!J1493-1</f>
        <v>-4.6585849226571385E-3</v>
      </c>
      <c r="K1493" s="8">
        <f>SUMPRODUCT(B1493:I1493,weights!$B$5:$I$5)</f>
        <v>5.3518242084370973E-3</v>
      </c>
      <c r="L1493" s="4">
        <f t="shared" si="46"/>
        <v>288.28176419880464</v>
      </c>
      <c r="M1493" s="4">
        <f>L1493/MAX(L$2:L1493)-1</f>
        <v>-7.5118205052480347E-2</v>
      </c>
      <c r="N1493" s="4">
        <f t="shared" si="45"/>
        <v>1.6044077277193036E-3</v>
      </c>
    </row>
    <row r="1494" spans="1:14">
      <c r="A1494" s="3">
        <f>prices!A1495</f>
        <v>45677</v>
      </c>
      <c r="B1494" s="5">
        <f>prices!B1495/prices!B1494-1</f>
        <v>2.37763320941764E-3</v>
      </c>
      <c r="C1494" s="5">
        <f>prices!C1495/prices!C1494-1</f>
        <v>-1.1273726592957112E-2</v>
      </c>
      <c r="D1494" s="5">
        <f>prices!D1495/prices!D1494-1</f>
        <v>8.8629267801390021E-3</v>
      </c>
      <c r="E1494" s="5">
        <f>prices!E1495/prices!E1494-1</f>
        <v>-1.181978307221665E-3</v>
      </c>
      <c r="F1494" s="5">
        <f>prices!F1495/prices!F1494-1</f>
        <v>-5.6687945185222022E-3</v>
      </c>
      <c r="G1494" s="5">
        <f>prices!G1495/prices!G1494-1</f>
        <v>-9.5827213212394957E-3</v>
      </c>
      <c r="H1494" s="5">
        <f>prices!H1495/prices!H1494-1</f>
        <v>-4.6465222348917035E-3</v>
      </c>
      <c r="I1494" s="5">
        <f>prices!I1495/prices!I1494-1</f>
        <v>6.8257046326256621E-3</v>
      </c>
      <c r="J1494" s="5">
        <f>prices!J1495/prices!J1494-1</f>
        <v>6.1004516618397009E-3</v>
      </c>
      <c r="K1494" s="8">
        <f>SUMPRODUCT(B1494:I1494,weights!$B$5:$I$5)</f>
        <v>-1.8211443442518471E-3</v>
      </c>
      <c r="L1494" s="4">
        <f t="shared" si="46"/>
        <v>287.75676149438306</v>
      </c>
      <c r="M1494" s="4">
        <f>L1494/MAX(L$2:L1494)-1</f>
        <v>-7.680254830245048E-2</v>
      </c>
      <c r="N1494" s="4">
        <f t="shared" si="45"/>
        <v>1.3701674706385614E-2</v>
      </c>
    </row>
    <row r="1495" spans="1:14">
      <c r="A1495" s="3">
        <f>prices!A1496</f>
        <v>45678</v>
      </c>
      <c r="B1495" s="5">
        <f>prices!B1496/prices!B1495-1</f>
        <v>-2.4322591113137171E-2</v>
      </c>
      <c r="C1495" s="5">
        <f>prices!C1496/prices!C1495-1</f>
        <v>-1.0287900921748361E-2</v>
      </c>
      <c r="D1495" s="5">
        <f>prices!D1496/prices!D1495-1</f>
        <v>-5.3658780073875256E-3</v>
      </c>
      <c r="E1495" s="5">
        <f>prices!E1496/prices!E1495-1</f>
        <v>-6.9494396361695632E-3</v>
      </c>
      <c r="F1495" s="5">
        <f>prices!F1496/prices!F1495-1</f>
        <v>-3.4702426691124444E-4</v>
      </c>
      <c r="G1495" s="5">
        <f>prices!G1496/prices!G1495-1</f>
        <v>-1.1343646666004181E-2</v>
      </c>
      <c r="H1495" s="5">
        <f>prices!H1496/prices!H1495-1</f>
        <v>-8.7464558810894655E-3</v>
      </c>
      <c r="I1495" s="5">
        <f>prices!I1496/prices!I1495-1</f>
        <v>-1.4446710558040698E-2</v>
      </c>
      <c r="J1495" s="5">
        <f>prices!J1496/prices!J1495-1</f>
        <v>-1.3711862410177855E-2</v>
      </c>
      <c r="K1495" s="8">
        <f>SUMPRODUCT(B1495:I1495,weights!$B$5:$I$5)</f>
        <v>-1.1386179754979296E-2</v>
      </c>
      <c r="L1495" s="4">
        <f t="shared" si="46"/>
        <v>284.48031128229729</v>
      </c>
      <c r="M1495" s="4">
        <f>L1495/MAX(L$2:L1495)-1</f>
        <v>-8.731424043681757E-2</v>
      </c>
      <c r="N1495" s="4">
        <f t="shared" ref="N1495:N1558" si="47">L1495/L1475-1</f>
        <v>-2.0819723025293779E-3</v>
      </c>
    </row>
    <row r="1496" spans="1:14">
      <c r="A1496" s="3">
        <f>prices!A1497</f>
        <v>45679</v>
      </c>
      <c r="B1496" s="5">
        <f>prices!B1497/prices!B1496-1</f>
        <v>2.6766128968396252E-3</v>
      </c>
      <c r="C1496" s="5">
        <f>prices!C1497/prices!C1496-1</f>
        <v>2.9920112020815681E-2</v>
      </c>
      <c r="D1496" s="5">
        <f>prices!D1497/prices!D1496-1</f>
        <v>1.4402930770581968E-2</v>
      </c>
      <c r="E1496" s="5">
        <f>prices!E1497/prices!E1496-1</f>
        <v>3.0959752321981338E-2</v>
      </c>
      <c r="F1496" s="5">
        <f>prices!F1497/prices!F1496-1</f>
        <v>-1.2645986758909045E-3</v>
      </c>
      <c r="G1496" s="5">
        <f>prices!G1497/prices!G1496-1</f>
        <v>1.1498716446326274E-2</v>
      </c>
      <c r="H1496" s="5">
        <f>prices!H1497/prices!H1496-1</f>
        <v>2.0565359590426491E-2</v>
      </c>
      <c r="I1496" s="5">
        <f>prices!I1497/prices!I1496-1</f>
        <v>-6.4672292513326957E-3</v>
      </c>
      <c r="J1496" s="5">
        <f>prices!J1497/prices!J1496-1</f>
        <v>5.6765249417471964E-3</v>
      </c>
      <c r="K1496" s="8">
        <f>SUMPRODUCT(B1496:I1496,weights!$B$5:$I$5)</f>
        <v>1.0619544112795939E-2</v>
      </c>
      <c r="L1496" s="4">
        <f t="shared" si="46"/>
        <v>287.50136249718156</v>
      </c>
      <c r="M1496" s="4">
        <f>L1496/MAX(L$2:L1496)-1</f>
        <v>-7.7621933752015759E-2</v>
      </c>
      <c r="N1496" s="4">
        <f t="shared" si="47"/>
        <v>9.2862830180964195E-3</v>
      </c>
    </row>
    <row r="1497" spans="1:14">
      <c r="A1497" s="3">
        <f>prices!A1498</f>
        <v>45680</v>
      </c>
      <c r="B1497" s="5">
        <f>prices!B1498/prices!B1497-1</f>
        <v>-1.0535710054732084E-2</v>
      </c>
      <c r="C1497" s="5">
        <f>prices!C1498/prices!C1497-1</f>
        <v>-2.6836512876706742E-3</v>
      </c>
      <c r="D1497" s="5">
        <f>prices!D1498/prices!D1497-1</f>
        <v>-6.9260642639812353E-4</v>
      </c>
      <c r="E1497" s="5">
        <f>prices!E1498/prices!E1497-1</f>
        <v>4.8444671086180779E-3</v>
      </c>
      <c r="F1497" s="5">
        <f>prices!F1498/prices!F1497-1</f>
        <v>7.3240975222206295E-3</v>
      </c>
      <c r="G1497" s="5">
        <f>prices!G1498/prices!G1497-1</f>
        <v>2.1132383168838142E-3</v>
      </c>
      <c r="H1497" s="5">
        <f>prices!H1498/prices!H1497-1</f>
        <v>1.9262018944948611E-2</v>
      </c>
      <c r="I1497" s="5">
        <f>prices!I1498/prices!I1497-1</f>
        <v>-4.2468503492207876E-3</v>
      </c>
      <c r="J1497" s="5">
        <f>prices!J1498/prices!J1497-1</f>
        <v>2.1593281898135697E-3</v>
      </c>
      <c r="K1497" s="8">
        <f>SUMPRODUCT(B1497:I1497,weights!$B$5:$I$5)</f>
        <v>1.8743557106929453E-3</v>
      </c>
      <c r="L1497" s="4">
        <f t="shared" si="46"/>
        <v>288.04024231781017</v>
      </c>
      <c r="M1497" s="4">
        <f>L1497/MAX(L$2:L1497)-1</f>
        <v>-7.5893069156125925E-2</v>
      </c>
      <c r="N1497" s="4">
        <f t="shared" si="47"/>
        <v>8.4747424448341491E-3</v>
      </c>
    </row>
    <row r="1498" spans="1:14">
      <c r="A1498" s="3">
        <f>prices!A1499</f>
        <v>45681</v>
      </c>
      <c r="B1498" s="5">
        <f>prices!B1499/prices!B1498-1</f>
        <v>-1.3728917730258527E-2</v>
      </c>
      <c r="C1498" s="5">
        <f>prices!C1499/prices!C1498-1</f>
        <v>1.6633560624750299E-3</v>
      </c>
      <c r="D1498" s="5">
        <f>prices!D1499/prices!D1498-1</f>
        <v>-9.0596301888661301E-3</v>
      </c>
      <c r="E1498" s="5">
        <f>prices!E1499/prices!E1498-1</f>
        <v>5.3624291634948307E-3</v>
      </c>
      <c r="F1498" s="5">
        <f>prices!F1499/prices!F1498-1</f>
        <v>3.1794543169101352E-3</v>
      </c>
      <c r="G1498" s="5">
        <f>prices!G1499/prices!G1498-1</f>
        <v>-6.4628064429730347E-3</v>
      </c>
      <c r="H1498" s="5">
        <f>prices!H1499/prices!H1498-1</f>
        <v>-6.2160105322216497E-3</v>
      </c>
      <c r="I1498" s="5">
        <f>prices!I1499/prices!I1498-1</f>
        <v>-1.2861801815954976E-2</v>
      </c>
      <c r="J1498" s="5">
        <f>prices!J1499/prices!J1498-1</f>
        <v>-4.876030742910431E-3</v>
      </c>
      <c r="K1498" s="8">
        <f>SUMPRODUCT(B1498:I1498,weights!$B$5:$I$5)</f>
        <v>-6.2821780374052337E-3</v>
      </c>
      <c r="L1498" s="4">
        <f t="shared" si="46"/>
        <v>286.23072223363232</v>
      </c>
      <c r="M1498" s="4">
        <f>L1498/MAX(L$2:L1498)-1</f>
        <v>-8.1698473421287332E-2</v>
      </c>
      <c r="N1498" s="4">
        <f t="shared" si="47"/>
        <v>-5.3101729331028746E-4</v>
      </c>
    </row>
    <row r="1499" spans="1:14">
      <c r="A1499" s="3">
        <f>prices!A1500</f>
        <v>45684</v>
      </c>
      <c r="B1499" s="5">
        <f>prices!B1500/prices!B1499-1</f>
        <v>-1.3604396138002572E-2</v>
      </c>
      <c r="C1499" s="5">
        <f>prices!C1500/prices!C1499-1</f>
        <v>-2.0998641563091058E-2</v>
      </c>
      <c r="D1499" s="5">
        <f>prices!D1500/prices!D1499-1</f>
        <v>-1.2127494816776108E-2</v>
      </c>
      <c r="E1499" s="5">
        <f>prices!E1500/prices!E1499-1</f>
        <v>-2.8497554628258648E-2</v>
      </c>
      <c r="F1499" s="5">
        <f>prices!F1500/prices!F1499-1</f>
        <v>-3.3904967814849529E-3</v>
      </c>
      <c r="G1499" s="5">
        <f>prices!G1500/prices!G1499-1</f>
        <v>2.1685663660646615E-3</v>
      </c>
      <c r="H1499" s="5">
        <f>prices!H1500/prices!H1499-1</f>
        <v>-1.9396310788149851E-2</v>
      </c>
      <c r="I1499" s="5">
        <f>prices!I1500/prices!I1499-1</f>
        <v>-1.5914650319770463E-4</v>
      </c>
      <c r="J1499" s="5">
        <f>prices!J1500/prices!J1499-1</f>
        <v>-1.139129229783209E-2</v>
      </c>
      <c r="K1499" s="8">
        <f>SUMPRODUCT(B1499:I1499,weights!$B$5:$I$5)</f>
        <v>-9.7110765835608688E-3</v>
      </c>
      <c r="L1499" s="4">
        <f t="shared" si="46"/>
        <v>283.45111376945357</v>
      </c>
      <c r="M1499" s="4">
        <f>L1499/MAX(L$2:L1499)-1</f>
        <v>-9.0616169872694052E-2</v>
      </c>
      <c r="N1499" s="4">
        <f t="shared" si="47"/>
        <v>-5.1788749003862655E-3</v>
      </c>
    </row>
    <row r="1500" spans="1:14">
      <c r="A1500" s="3">
        <f>prices!A1501</f>
        <v>45685</v>
      </c>
      <c r="B1500" s="5">
        <f>prices!B1501/prices!B1500-1</f>
        <v>4.1105331386095401E-3</v>
      </c>
      <c r="C1500" s="5">
        <f>prices!C1501/prices!C1500-1</f>
        <v>-6.1131067394603056E-3</v>
      </c>
      <c r="D1500" s="5">
        <f>prices!D1501/prices!D1500-1</f>
        <v>2.4906757696440796E-2</v>
      </c>
      <c r="E1500" s="5">
        <f>prices!E1501/prices!E1500-1</f>
        <v>4.2490546430735687E-3</v>
      </c>
      <c r="F1500" s="5">
        <f>prices!F1501/prices!F1500-1</f>
        <v>-1.0575880090720746E-2</v>
      </c>
      <c r="G1500" s="5">
        <f>prices!G1501/prices!G1500-1</f>
        <v>1.083043554133023E-2</v>
      </c>
      <c r="H1500" s="5">
        <f>prices!H1501/prices!H1500-1</f>
        <v>-4.5528130878413009E-2</v>
      </c>
      <c r="I1500" s="5">
        <f>prices!I1501/prices!I1500-1</f>
        <v>-1.2651213243096704E-2</v>
      </c>
      <c r="J1500" s="5">
        <f>prices!J1501/prices!J1500-1</f>
        <v>5.6112470240896606E-3</v>
      </c>
      <c r="K1500" s="8">
        <f>SUMPRODUCT(B1500:I1500,weights!$B$5:$I$5)</f>
        <v>-5.9397228677485706E-3</v>
      </c>
      <c r="L1500" s="4">
        <f t="shared" si="46"/>
        <v>281.76749270710832</v>
      </c>
      <c r="M1500" s="4">
        <f>L1500/MAX(L$2:L1500)-1</f>
        <v>-9.6017657804062129E-2</v>
      </c>
      <c r="N1500" s="4">
        <f t="shared" si="47"/>
        <v>-1.2857280234986779E-2</v>
      </c>
    </row>
    <row r="1501" spans="1:14">
      <c r="A1501" s="3">
        <f>prices!A1502</f>
        <v>45686</v>
      </c>
      <c r="B1501" s="5">
        <f>prices!B1502/prices!B1501-1</f>
        <v>8.9064657673065817E-4</v>
      </c>
      <c r="C1501" s="5">
        <f>prices!C1502/prices!C1501-1</f>
        <v>1.4725684223711566E-2</v>
      </c>
      <c r="D1501" s="5">
        <f>prices!D1502/prices!D1501-1</f>
        <v>4.1324862764449133E-3</v>
      </c>
      <c r="E1501" s="5">
        <f>prices!E1502/prices!E1501-1</f>
        <v>2.8145857166673505E-2</v>
      </c>
      <c r="F1501" s="5">
        <f>prices!F1502/prices!F1501-1</f>
        <v>-4.8087703999003528E-3</v>
      </c>
      <c r="G1501" s="5">
        <f>prices!G1502/prices!G1501-1</f>
        <v>-1.2030639983561686E-2</v>
      </c>
      <c r="H1501" s="5">
        <f>prices!H1502/prices!H1501-1</f>
        <v>1.7498492024151435E-2</v>
      </c>
      <c r="I1501" s="5">
        <f>prices!I1502/prices!I1501-1</f>
        <v>1.0484708804528342E-2</v>
      </c>
      <c r="J1501" s="5">
        <f>prices!J1502/prices!J1501-1</f>
        <v>8.9666663036731542E-3</v>
      </c>
      <c r="K1501" s="8">
        <f>SUMPRODUCT(B1501:I1501,weights!$B$5:$I$5)</f>
        <v>6.0631141445855515E-3</v>
      </c>
      <c r="L1501" s="4">
        <f t="shared" si="46"/>
        <v>283.47588117762518</v>
      </c>
      <c r="M1501" s="4">
        <f>L1501/MAX(L$2:L1501)-1</f>
        <v>-9.0536709678638361E-2</v>
      </c>
      <c r="N1501" s="4">
        <f t="shared" si="47"/>
        <v>-1.80509318111296E-2</v>
      </c>
    </row>
    <row r="1502" spans="1:14">
      <c r="A1502" s="3">
        <f>prices!A1503</f>
        <v>45687</v>
      </c>
      <c r="B1502" s="5">
        <f>prices!B1503/prices!B1502-1</f>
        <v>1.4205009306730076E-2</v>
      </c>
      <c r="C1502" s="5">
        <f>prices!C1503/prices!C1502-1</f>
        <v>6.1720299034728754E-5</v>
      </c>
      <c r="D1502" s="5">
        <f>prices!D1503/prices!D1502-1</f>
        <v>8.4643734643734536E-3</v>
      </c>
      <c r="E1502" s="5">
        <f>prices!E1503/prices!E1502-1</f>
        <v>-1.1322527076215949E-2</v>
      </c>
      <c r="F1502" s="5">
        <f>prices!F1503/prices!F1502-1</f>
        <v>6.5595112913725551E-3</v>
      </c>
      <c r="G1502" s="5">
        <f>prices!G1503/prices!G1502-1</f>
        <v>1.8454084702970164E-3</v>
      </c>
      <c r="H1502" s="5">
        <f>prices!H1503/prices!H1502-1</f>
        <v>2.1599666613840718E-3</v>
      </c>
      <c r="I1502" s="5">
        <f>prices!I1503/prices!I1502-1</f>
        <v>-8.3314622011605444E-3</v>
      </c>
      <c r="J1502" s="5">
        <f>prices!J1503/prices!J1502-1</f>
        <v>3.7300706727512178E-3</v>
      </c>
      <c r="K1502" s="8">
        <f>SUMPRODUCT(B1502:I1502,weights!$B$5:$I$5)</f>
        <v>1.0748773684643366E-3</v>
      </c>
      <c r="L1502" s="4">
        <f t="shared" si="46"/>
        <v>283.7805829868085</v>
      </c>
      <c r="M1502" s="4">
        <f>L1502/MAX(L$2:L1502)-1</f>
        <v>-8.9559148170422764E-2</v>
      </c>
      <c r="N1502" s="4">
        <f t="shared" si="47"/>
        <v>-3.6951825793324122E-2</v>
      </c>
    </row>
    <row r="1503" spans="1:14">
      <c r="A1503" s="3">
        <f>prices!A1504</f>
        <v>45688</v>
      </c>
      <c r="B1503" s="5">
        <f>prices!B1504/prices!B1503-1</f>
        <v>9.6190997488569963E-3</v>
      </c>
      <c r="C1503" s="5">
        <f>prices!C1504/prices!C1503-1</f>
        <v>3.0112504018000585E-3</v>
      </c>
      <c r="D1503" s="5">
        <f>prices!D1504/prices!D1503-1</f>
        <v>4.2880288467395111E-3</v>
      </c>
      <c r="E1503" s="5">
        <f>prices!E1504/prices!E1503-1</f>
        <v>1.0677404395380563E-2</v>
      </c>
      <c r="F1503" s="5">
        <f>prices!F1504/prices!F1503-1</f>
        <v>2.5917819122475372E-2</v>
      </c>
      <c r="G1503" s="5">
        <f>prices!G1504/prices!G1503-1</f>
        <v>2.5887674023075791E-2</v>
      </c>
      <c r="H1503" s="5">
        <f>prices!H1504/prices!H1503-1</f>
        <v>2.7937050854802692E-3</v>
      </c>
      <c r="I1503" s="5">
        <f>prices!I1504/prices!I1503-1</f>
        <v>4.2808708916271421E-2</v>
      </c>
      <c r="J1503" s="5">
        <f>prices!J1504/prices!J1503-1</f>
        <v>1.1135723348889348E-2</v>
      </c>
      <c r="K1503" s="8">
        <f>SUMPRODUCT(B1503:I1503,weights!$B$5:$I$5)</f>
        <v>1.8766076476567872E-2</v>
      </c>
      <c r="L1503" s="4">
        <f t="shared" si="46"/>
        <v>289.10603110970396</v>
      </c>
      <c r="M1503" s="4">
        <f>L1503/MAX(L$2:L1503)-1</f>
        <v>-7.2473745517597332E-2</v>
      </c>
      <c r="N1503" s="4">
        <f t="shared" si="47"/>
        <v>-1.0790285367953456E-2</v>
      </c>
    </row>
    <row r="1504" spans="1:14">
      <c r="A1504" s="3">
        <f>prices!A1505</f>
        <v>45689</v>
      </c>
      <c r="B1504" s="5">
        <f>prices!B1505/prices!B1504-1</f>
        <v>-3.9863825173203082E-4</v>
      </c>
      <c r="C1504" s="5">
        <f>prices!C1505/prices!C1504-1</f>
        <v>-9.5424642221687561E-3</v>
      </c>
      <c r="D1504" s="5">
        <f>prices!D1505/prices!D1504-1</f>
        <v>-4.5850972210429441E-3</v>
      </c>
      <c r="E1504" s="5">
        <f>prices!E1505/prices!E1504-1</f>
        <v>-1.5136254266689075E-2</v>
      </c>
      <c r="F1504" s="5">
        <f>prices!F1505/prices!F1504-1</f>
        <v>3.3627503273044645E-2</v>
      </c>
      <c r="G1504" s="5">
        <f>prices!G1505/prices!G1504-1</f>
        <v>4.9213202474095441E-2</v>
      </c>
      <c r="H1504" s="5">
        <f>prices!H1505/prices!H1504-1</f>
        <v>-1.0045672768049796E-3</v>
      </c>
      <c r="I1504" s="5">
        <f>prices!I1505/prices!I1504-1</f>
        <v>-3.3609027926576607E-2</v>
      </c>
      <c r="J1504" s="5">
        <f>prices!J1505/prices!J1504-1</f>
        <v>-1.1166221435742196E-3</v>
      </c>
      <c r="K1504" s="8">
        <f>SUMPRODUCT(B1504:I1504,weights!$B$5:$I$5)</f>
        <v>3.0932510185536274E-3</v>
      </c>
      <c r="L1504" s="4">
        <f t="shared" si="46"/>
        <v>290.00030863490406</v>
      </c>
      <c r="M1504" s="4">
        <f>L1504/MAX(L$2:L1504)-1</f>
        <v>-6.9604673986184418E-2</v>
      </c>
      <c r="N1504" s="4">
        <f t="shared" si="47"/>
        <v>7.4937149195053454E-3</v>
      </c>
    </row>
    <row r="1505" spans="1:14">
      <c r="A1505" s="3">
        <f>prices!A1506</f>
        <v>45691</v>
      </c>
      <c r="B1505" s="5">
        <f>prices!B1506/prices!B1505-1</f>
        <v>-1.4787401197986827E-2</v>
      </c>
      <c r="C1505" s="5">
        <f>prices!C1506/prices!C1505-1</f>
        <v>-1.1052898603245431E-3</v>
      </c>
      <c r="D1505" s="5">
        <f>prices!D1506/prices!D1505-1</f>
        <v>-7.6648428646283184E-3</v>
      </c>
      <c r="E1505" s="5">
        <f>prices!E1506/prices!E1505-1</f>
        <v>6.4543620919861322E-3</v>
      </c>
      <c r="F1505" s="5">
        <f>prices!F1506/prices!F1505-1</f>
        <v>-1.7732742241925226E-2</v>
      </c>
      <c r="G1505" s="5">
        <f>prices!G1506/prices!G1505-1</f>
        <v>1.7299626753004116E-2</v>
      </c>
      <c r="H1505" s="5">
        <f>prices!H1506/prices!H1505-1</f>
        <v>-9.1788173941509399E-4</v>
      </c>
      <c r="I1505" s="5">
        <f>prices!I1506/prices!I1505-1</f>
        <v>-4.5917205944522199E-2</v>
      </c>
      <c r="J1505" s="5">
        <f>prices!J1506/prices!J1505-1</f>
        <v>-5.1571086974575575E-3</v>
      </c>
      <c r="K1505" s="8">
        <f>SUMPRODUCT(B1505:I1505,weights!$B$5:$I$5)</f>
        <v>-9.3058667561672498E-3</v>
      </c>
      <c r="L1505" s="4">
        <f t="shared" si="46"/>
        <v>287.30160440350028</v>
      </c>
      <c r="M1505" s="4">
        <f>L1505/MAX(L$2:L1505)-1</f>
        <v>-7.8262808920629756E-2</v>
      </c>
      <c r="N1505" s="4">
        <f t="shared" si="47"/>
        <v>-4.4709350628523437E-3</v>
      </c>
    </row>
    <row r="1506" spans="1:14">
      <c r="A1506" s="3">
        <f>prices!A1507</f>
        <v>45692</v>
      </c>
      <c r="B1506" s="5">
        <f>prices!B1507/prices!B1506-1</f>
        <v>3.1548780389077269E-2</v>
      </c>
      <c r="C1506" s="5">
        <f>prices!C1507/prices!C1506-1</f>
        <v>9.4377515243704302E-3</v>
      </c>
      <c r="D1506" s="5">
        <f>prices!D1507/prices!D1506-1</f>
        <v>2.5566716604857875E-2</v>
      </c>
      <c r="E1506" s="5">
        <f>prices!E1507/prices!E1506-1</f>
        <v>1.9052619100038859E-2</v>
      </c>
      <c r="F1506" s="5">
        <f>prices!F1507/prices!F1506-1</f>
        <v>1.7670797812641137E-3</v>
      </c>
      <c r="G1506" s="5">
        <f>prices!G1507/prices!G1506-1</f>
        <v>-2.2828282828282198E-3</v>
      </c>
      <c r="H1506" s="5">
        <f>prices!H1507/prices!H1506-1</f>
        <v>1.4161239166944561E-2</v>
      </c>
      <c r="I1506" s="5">
        <f>prices!I1507/prices!I1506-1</f>
        <v>4.5586234890573785E-2</v>
      </c>
      <c r="J1506" s="5">
        <f>prices!J1507/prices!J1506-1</f>
        <v>1.6189340804458663E-2</v>
      </c>
      <c r="K1506" s="8">
        <f>SUMPRODUCT(B1506:I1506,weights!$B$5:$I$5)</f>
        <v>1.9180160601686209E-2</v>
      </c>
      <c r="L1506" s="4">
        <f t="shared" si="46"/>
        <v>292.81209531708151</v>
      </c>
      <c r="M1506" s="4">
        <f>L1506/MAX(L$2:L1506)-1</f>
        <v>-6.058374156318036E-2</v>
      </c>
      <c r="N1506" s="4">
        <f t="shared" si="47"/>
        <v>1.1583814476928689E-2</v>
      </c>
    </row>
    <row r="1507" spans="1:14">
      <c r="A1507" s="3">
        <f>prices!A1508</f>
        <v>45693</v>
      </c>
      <c r="B1507" s="5">
        <f>prices!B1508/prices!B1507-1</f>
        <v>-5.4465547009888704E-3</v>
      </c>
      <c r="C1507" s="5">
        <f>prices!C1508/prices!C1507-1</f>
        <v>-3.8840783592912764E-3</v>
      </c>
      <c r="D1507" s="5">
        <f>prices!D1508/prices!D1507-1</f>
        <v>9.8184778964509611E-3</v>
      </c>
      <c r="E1507" s="5">
        <f>prices!E1508/prices!E1507-1</f>
        <v>-9.1958607547260041E-4</v>
      </c>
      <c r="F1507" s="5">
        <f>prices!F1508/prices!F1507-1</f>
        <v>-1.5375080451002332E-2</v>
      </c>
      <c r="G1507" s="5">
        <f>prices!G1508/prices!G1507-1</f>
        <v>-1.7662698530133136E-3</v>
      </c>
      <c r="H1507" s="5">
        <f>prices!H1508/prices!H1507-1</f>
        <v>-7.0798400544691553E-3</v>
      </c>
      <c r="I1507" s="5">
        <f>prices!I1508/prices!I1507-1</f>
        <v>-1.6266547337164039E-2</v>
      </c>
      <c r="J1507" s="5">
        <f>prices!J1508/prices!J1507-1</f>
        <v>-1.8092399717767327E-3</v>
      </c>
      <c r="K1507" s="8">
        <f>SUMPRODUCT(B1507:I1507,weights!$B$5:$I$5)</f>
        <v>-6.2833204933575078E-3</v>
      </c>
      <c r="L1507" s="4">
        <f t="shared" si="46"/>
        <v>290.97226307787275</v>
      </c>
      <c r="M1507" s="4">
        <f>L1507/MAX(L$2:L1507)-1</f>
        <v>-6.6486394991609576E-2</v>
      </c>
      <c r="N1507" s="4">
        <f t="shared" si="47"/>
        <v>1.5735468751800319E-2</v>
      </c>
    </row>
    <row r="1508" spans="1:14">
      <c r="A1508" s="3">
        <f>prices!A1509</f>
        <v>45694</v>
      </c>
      <c r="B1508" s="5">
        <f>prices!B1509/prices!B1508-1</f>
        <v>2.6198254501839102E-3</v>
      </c>
      <c r="C1508" s="5">
        <f>prices!C1509/prices!C1508-1</f>
        <v>-2.0411003386371362E-3</v>
      </c>
      <c r="D1508" s="5">
        <f>prices!D1509/prices!D1508-1</f>
        <v>3.4860557768923162E-3</v>
      </c>
      <c r="E1508" s="5">
        <f>prices!E1509/prices!E1508-1</f>
        <v>9.8031605212087758E-3</v>
      </c>
      <c r="F1508" s="5">
        <f>prices!F1509/prices!F1508-1</f>
        <v>-1.5736212656756843E-2</v>
      </c>
      <c r="G1508" s="5">
        <f>prices!G1509/prices!G1508-1</f>
        <v>-9.7831632852085626E-4</v>
      </c>
      <c r="H1508" s="5">
        <f>prices!H1509/prices!H1508-1</f>
        <v>-1.4527957601606634E-4</v>
      </c>
      <c r="I1508" s="5">
        <f>prices!I1509/prices!I1508-1</f>
        <v>-9.001301392972505E-3</v>
      </c>
      <c r="J1508" s="5">
        <f>prices!J1509/prices!J1508-1</f>
        <v>-3.922553310010457E-3</v>
      </c>
      <c r="K1508" s="8">
        <f>SUMPRODUCT(B1508:I1508,weights!$B$5:$I$5)</f>
        <v>-2.0566208082283899E-3</v>
      </c>
      <c r="L1508" s="4">
        <f t="shared" si="46"/>
        <v>290.37384346700946</v>
      </c>
      <c r="M1508" s="4">
        <f>L1508/MAX(L$2:L1508)-1</f>
        <v>-6.8406278496434214E-2</v>
      </c>
      <c r="N1508" s="4">
        <f t="shared" si="47"/>
        <v>1.4074367616290662E-2</v>
      </c>
    </row>
    <row r="1509" spans="1:14">
      <c r="A1509" s="3">
        <f>prices!A1510</f>
        <v>45695</v>
      </c>
      <c r="B1509" s="5">
        <f>prices!B1510/prices!B1509-1</f>
        <v>-1.159313069621748E-2</v>
      </c>
      <c r="C1509" s="5">
        <f>prices!C1510/prices!C1509-1</f>
        <v>-1.3067034402970856E-2</v>
      </c>
      <c r="D1509" s="5">
        <f>prices!D1510/prices!D1509-1</f>
        <v>-6.368899917286952E-3</v>
      </c>
      <c r="E1509" s="5">
        <f>prices!E1510/prices!E1509-1</f>
        <v>-6.2651687367530906E-3</v>
      </c>
      <c r="F1509" s="5">
        <f>prices!F1510/prices!F1509-1</f>
        <v>-2.3243801652892526E-2</v>
      </c>
      <c r="G1509" s="5">
        <f>prices!G1510/prices!G1509-1</f>
        <v>-1.8734283973947941E-3</v>
      </c>
      <c r="H1509" s="5">
        <f>prices!H1510/prices!H1509-1</f>
        <v>4.4752611053313629E-3</v>
      </c>
      <c r="I1509" s="5">
        <f>prices!I1510/prices!I1509-1</f>
        <v>-4.7269610048514821E-3</v>
      </c>
      <c r="J1509" s="5">
        <f>prices!J1510/prices!J1509-1</f>
        <v>-1.8387220458111475E-3</v>
      </c>
      <c r="K1509" s="8">
        <f>SUMPRODUCT(B1509:I1509,weights!$B$5:$I$5)</f>
        <v>-6.1911605563563597E-3</v>
      </c>
      <c r="L1509" s="4">
        <f t="shared" si="46"/>
        <v>288.57609238073894</v>
      </c>
      <c r="M1509" s="4">
        <f>L1509/MAX(L$2:L1509)-1</f>
        <v>-7.4173924799556312E-2</v>
      </c>
      <c r="N1509" s="4">
        <f t="shared" si="47"/>
        <v>1.9611931384223791E-2</v>
      </c>
    </row>
    <row r="1510" spans="1:14">
      <c r="A1510" s="3">
        <f>prices!A1511</f>
        <v>45698</v>
      </c>
      <c r="B1510" s="5">
        <f>prices!B1511/prices!B1510-1</f>
        <v>-1.0295815583071133E-2</v>
      </c>
      <c r="C1510" s="5">
        <f>prices!C1511/prices!C1510-1</f>
        <v>1.8734921789551606E-3</v>
      </c>
      <c r="D1510" s="5">
        <f>prices!D1511/prices!D1510-1</f>
        <v>-9.810800204540282E-3</v>
      </c>
      <c r="E1510" s="5">
        <f>prices!E1511/prices!E1510-1</f>
        <v>-1.2266752128723524E-2</v>
      </c>
      <c r="F1510" s="5">
        <f>prices!F1511/prices!F1510-1</f>
        <v>-8.461131676361755E-3</v>
      </c>
      <c r="G1510" s="5">
        <f>prices!G1511/prices!G1510-1</f>
        <v>-1.139936830130639E-2</v>
      </c>
      <c r="H1510" s="5">
        <f>prices!H1511/prices!H1510-1</f>
        <v>-1.0114160403177808E-2</v>
      </c>
      <c r="I1510" s="5">
        <f>prices!I1511/prices!I1510-1</f>
        <v>-2.4739698664363319E-3</v>
      </c>
      <c r="J1510" s="5">
        <f>prices!J1511/prices!J1510-1</f>
        <v>-7.5700500213287114E-3</v>
      </c>
      <c r="K1510" s="8">
        <f>SUMPRODUCT(B1510:I1510,weights!$B$5:$I$5)</f>
        <v>-7.8514016948180564E-3</v>
      </c>
      <c r="L1510" s="4">
        <f t="shared" si="46"/>
        <v>286.31036555993683</v>
      </c>
      <c r="M1510" s="4">
        <f>L1510/MAX(L$2:L1510)-1</f>
        <v>-8.1442957215491774E-2</v>
      </c>
      <c r="N1510" s="4">
        <f t="shared" si="47"/>
        <v>7.4952780906263339E-3</v>
      </c>
    </row>
    <row r="1511" spans="1:14">
      <c r="A1511" s="3">
        <f>prices!A1512</f>
        <v>45699</v>
      </c>
      <c r="B1511" s="5">
        <f>prices!B1512/prices!B1511-1</f>
        <v>-1.4996942683358605E-2</v>
      </c>
      <c r="C1511" s="5">
        <f>prices!C1512/prices!C1511-1</f>
        <v>-1.8182767896784968E-2</v>
      </c>
      <c r="D1511" s="5">
        <f>prices!D1512/prices!D1511-1</f>
        <v>-8.3587538731293431E-3</v>
      </c>
      <c r="E1511" s="5">
        <f>prices!E1512/prices!E1511-1</f>
        <v>-2.4726304424441681E-3</v>
      </c>
      <c r="F1511" s="5">
        <f>prices!F1512/prices!F1511-1</f>
        <v>-2.0825396825396747E-2</v>
      </c>
      <c r="G1511" s="5">
        <f>prices!G1512/prices!G1511-1</f>
        <v>-1.3673153309153085E-2</v>
      </c>
      <c r="H1511" s="5">
        <f>prices!H1512/prices!H1511-1</f>
        <v>-1.8675582625570675E-2</v>
      </c>
      <c r="I1511" s="5">
        <f>prices!I1512/prices!I1511-1</f>
        <v>-2.6736150447490559E-2</v>
      </c>
      <c r="J1511" s="5">
        <f>prices!J1512/prices!J1511-1</f>
        <v>-1.3249734834228644E-2</v>
      </c>
      <c r="K1511" s="8">
        <f>SUMPRODUCT(B1511:I1511,weights!$B$5:$I$5)</f>
        <v>-1.6818879204037206E-2</v>
      </c>
      <c r="L1511" s="4">
        <f t="shared" si="46"/>
        <v>281.49494610672053</v>
      </c>
      <c r="M1511" s="4">
        <f>L1511/MAX(L$2:L1511)-1</f>
        <v>-9.6892057160102074E-2</v>
      </c>
      <c r="N1511" s="4">
        <f t="shared" si="47"/>
        <v>-1.5903284435317966E-2</v>
      </c>
    </row>
    <row r="1512" spans="1:14">
      <c r="A1512" s="3">
        <f>prices!A1513</f>
        <v>45700</v>
      </c>
      <c r="B1512" s="5">
        <f>prices!B1513/prices!B1512-1</f>
        <v>-1.4825040023523917E-2</v>
      </c>
      <c r="C1512" s="5">
        <f>prices!C1513/prices!C1512-1</f>
        <v>-3.3783064842204391E-3</v>
      </c>
      <c r="D1512" s="5">
        <f>prices!D1513/prices!D1512-1</f>
        <v>3.17306527794603E-3</v>
      </c>
      <c r="E1512" s="5">
        <f>prices!E1513/prices!E1512-1</f>
        <v>-6.6623671592407341E-3</v>
      </c>
      <c r="F1512" s="5">
        <f>prices!F1513/prices!F1512-1</f>
        <v>-4.6167812216315607E-3</v>
      </c>
      <c r="G1512" s="5">
        <f>prices!G1513/prices!G1512-1</f>
        <v>-5.4072313595348032E-3</v>
      </c>
      <c r="H1512" s="5">
        <f>prices!H1513/prices!H1512-1</f>
        <v>-3.4726358676228086E-3</v>
      </c>
      <c r="I1512" s="5">
        <f>prices!I1513/prices!I1512-1</f>
        <v>1.5434128110184409E-2</v>
      </c>
      <c r="J1512" s="5">
        <f>prices!J1513/prices!J1512-1</f>
        <v>-1.1507554677138154E-3</v>
      </c>
      <c r="K1512" s="8">
        <f>SUMPRODUCT(B1512:I1512,weights!$B$5:$I$5)</f>
        <v>-1.4328594427585532E-3</v>
      </c>
      <c r="L1512" s="4">
        <f t="shared" si="46"/>
        <v>281.09160341510272</v>
      </c>
      <c r="M1512" s="4">
        <f>L1512/MAX(L$2:L1512)-1</f>
        <v>-9.8186083903830434E-2</v>
      </c>
      <c r="N1512" s="4">
        <f t="shared" si="47"/>
        <v>-1.9723092619328919E-2</v>
      </c>
    </row>
    <row r="1513" spans="1:14">
      <c r="A1513" s="3">
        <f>prices!A1514</f>
        <v>45701</v>
      </c>
      <c r="B1513" s="5">
        <f>prices!B1514/prices!B1513-1</f>
        <v>-3.6480313067421832E-4</v>
      </c>
      <c r="C1513" s="5">
        <f>prices!C1514/prices!C1513-1</f>
        <v>-1.0126568764046162E-2</v>
      </c>
      <c r="D1513" s="5">
        <f>prices!D1514/prices!D1513-1</f>
        <v>-5.3361019895693529E-3</v>
      </c>
      <c r="E1513" s="5">
        <f>prices!E1514/prices!E1513-1</f>
        <v>-1.0681601336893887E-2</v>
      </c>
      <c r="F1513" s="5">
        <f>prices!F1514/prices!F1513-1</f>
        <v>-4.9508820387211827E-4</v>
      </c>
      <c r="G1513" s="5">
        <f>prices!G1514/prices!G1513-1</f>
        <v>1.2448015618509167E-3</v>
      </c>
      <c r="H1513" s="5">
        <f>prices!H1514/prices!H1513-1</f>
        <v>3.0998021530056485E-2</v>
      </c>
      <c r="I1513" s="5">
        <f>prices!I1514/prices!I1513-1</f>
        <v>-7.9033872102066693E-3</v>
      </c>
      <c r="J1513" s="5">
        <f>prices!J1514/prices!J1513-1</f>
        <v>-6.0099152753811946E-4</v>
      </c>
      <c r="K1513" s="8">
        <f>SUMPRODUCT(B1513:I1513,weights!$B$5:$I$5)</f>
        <v>1.0815755930422574E-3</v>
      </c>
      <c r="L1513" s="4">
        <f t="shared" si="46"/>
        <v>281.39562523276561</v>
      </c>
      <c r="M1513" s="4">
        <f>L1513/MAX(L$2:L1513)-1</f>
        <v>-9.7210703982714919E-2</v>
      </c>
      <c r="N1513" s="4">
        <f t="shared" si="47"/>
        <v>-2.3886835107926663E-2</v>
      </c>
    </row>
    <row r="1514" spans="1:14">
      <c r="A1514" s="3">
        <f>prices!A1515</f>
        <v>45702</v>
      </c>
      <c r="B1514" s="5">
        <f>prices!B1515/prices!B1514-1</f>
        <v>9.4551667509890081E-4</v>
      </c>
      <c r="C1514" s="5">
        <f>prices!C1515/prices!C1514-1</f>
        <v>6.3149833901376962E-3</v>
      </c>
      <c r="D1514" s="5">
        <f>prices!D1515/prices!D1514-1</f>
        <v>-1.6749605534651657E-3</v>
      </c>
      <c r="E1514" s="5">
        <f>prices!E1515/prices!E1514-1</f>
        <v>7.1332781693154157E-3</v>
      </c>
      <c r="F1514" s="5">
        <f>prices!F1515/prices!F1514-1</f>
        <v>1.3295792272798312E-3</v>
      </c>
      <c r="G1514" s="5">
        <f>prices!G1515/prices!G1514-1</f>
        <v>7.0582661482010423E-4</v>
      </c>
      <c r="H1514" s="5">
        <f>prices!H1515/prices!H1514-1</f>
        <v>-2.6257051256036612E-2</v>
      </c>
      <c r="I1514" s="5">
        <f>prices!I1515/prices!I1514-1</f>
        <v>-7.9663483458349837E-3</v>
      </c>
      <c r="J1514" s="5">
        <f>prices!J1515/prices!J1514-1</f>
        <v>-4.4352492683902289E-3</v>
      </c>
      <c r="K1514" s="8">
        <f>SUMPRODUCT(B1514:I1514,weights!$B$5:$I$5)</f>
        <v>-4.1264862764523649E-3</v>
      </c>
      <c r="L1514" s="4">
        <f t="shared" si="46"/>
        <v>280.23445004698885</v>
      </c>
      <c r="M1514" s="4">
        <f>L1514/MAX(L$2:L1514)-1</f>
        <v>-0.10093605162325836</v>
      </c>
      <c r="N1514" s="4">
        <f t="shared" si="47"/>
        <v>-2.6141215269205875E-2</v>
      </c>
    </row>
    <row r="1515" spans="1:14">
      <c r="A1515" s="3">
        <f>prices!A1516</f>
        <v>45705</v>
      </c>
      <c r="B1515" s="5">
        <f>prices!B1516/prices!B1515-1</f>
        <v>6.2809177763232249E-3</v>
      </c>
      <c r="C1515" s="5">
        <f>prices!C1516/prices!C1515-1</f>
        <v>-7.711558763792592E-3</v>
      </c>
      <c r="D1515" s="5">
        <f>prices!D1516/prices!D1515-1</f>
        <v>1.3276272917375875E-2</v>
      </c>
      <c r="E1515" s="5">
        <f>prices!E1516/prices!E1515-1</f>
        <v>-7.5927132617502613E-3</v>
      </c>
      <c r="F1515" s="5">
        <f>prices!F1516/prices!F1515-1</f>
        <v>-4.0094769455074619E-3</v>
      </c>
      <c r="G1515" s="5">
        <f>prices!G1516/prices!G1515-1</f>
        <v>6.5186549798950111E-3</v>
      </c>
      <c r="H1515" s="5">
        <f>prices!H1516/prices!H1515-1</f>
        <v>8.0555853249026921E-3</v>
      </c>
      <c r="I1515" s="5">
        <f>prices!I1516/prices!I1515-1</f>
        <v>-4.882409788743769E-3</v>
      </c>
      <c r="J1515" s="5">
        <f>prices!J1516/prices!J1515-1</f>
        <v>1.3192755977626813E-3</v>
      </c>
      <c r="K1515" s="8">
        <f>SUMPRODUCT(B1515:I1515,weights!$B$5:$I$5)</f>
        <v>1.6511173664660165E-3</v>
      </c>
      <c r="L1515" s="4">
        <f t="shared" si="46"/>
        <v>280.69715001414346</v>
      </c>
      <c r="M1515" s="4">
        <f>L1515/MAX(L$2:L1515)-1</f>
        <v>-9.9451591524530203E-2</v>
      </c>
      <c r="N1515" s="4">
        <f t="shared" si="47"/>
        <v>-1.329849946768269E-2</v>
      </c>
    </row>
    <row r="1516" spans="1:14">
      <c r="A1516" s="3">
        <f>prices!A1517</f>
        <v>45706</v>
      </c>
      <c r="B1516" s="5">
        <f>prices!B1517/prices!B1516-1</f>
        <v>4.1172256486698977E-4</v>
      </c>
      <c r="C1516" s="5">
        <f>prices!C1517/prices!C1516-1</f>
        <v>-8.0172171696442085E-3</v>
      </c>
      <c r="D1516" s="5">
        <f>prices!D1517/prices!D1516-1</f>
        <v>3.3115761182569425E-3</v>
      </c>
      <c r="E1516" s="5">
        <f>prices!E1517/prices!E1516-1</f>
        <v>5.2356618801563393E-3</v>
      </c>
      <c r="F1516" s="5">
        <f>prices!F1517/prices!F1516-1</f>
        <v>-8.2080773755064396E-3</v>
      </c>
      <c r="G1516" s="5">
        <f>prices!G1517/prices!G1516-1</f>
        <v>1.8254977721248178E-3</v>
      </c>
      <c r="H1516" s="5">
        <f>prices!H1517/prices!H1516-1</f>
        <v>-7.3474257431589418E-3</v>
      </c>
      <c r="I1516" s="5">
        <f>prices!I1517/prices!I1516-1</f>
        <v>-5.2828039984809116E-4</v>
      </c>
      <c r="J1516" s="5">
        <f>prices!J1517/prices!J1516-1</f>
        <v>-6.1848036760381309E-4</v>
      </c>
      <c r="K1516" s="8">
        <f>SUMPRODUCT(B1516:I1516,weights!$B$5:$I$5)</f>
        <v>-1.5051328629585464E-3</v>
      </c>
      <c r="L1516" s="4">
        <f t="shared" si="46"/>
        <v>280.2746635091184</v>
      </c>
      <c r="M1516" s="4">
        <f>L1516/MAX(L$2:L1516)-1</f>
        <v>-0.10080703652881151</v>
      </c>
      <c r="N1516" s="4">
        <f t="shared" si="47"/>
        <v>-2.5136225182703309E-2</v>
      </c>
    </row>
    <row r="1517" spans="1:14">
      <c r="A1517" s="3">
        <f>prices!A1518</f>
        <v>45707</v>
      </c>
      <c r="B1517" s="5">
        <f>prices!B1518/prices!B1517-1</f>
        <v>1.6709056637940201E-3</v>
      </c>
      <c r="C1517" s="5">
        <f>prices!C1518/prices!C1517-1</f>
        <v>-2.300474467754976E-2</v>
      </c>
      <c r="D1517" s="5">
        <f>prices!D1518/prices!D1517-1</f>
        <v>2.4156900263094805E-3</v>
      </c>
      <c r="E1517" s="5">
        <f>prices!E1518/prices!E1517-1</f>
        <v>-2.2219445422635098E-2</v>
      </c>
      <c r="F1517" s="5">
        <f>prices!F1518/prices!F1517-1</f>
        <v>2.8465248675575427E-3</v>
      </c>
      <c r="G1517" s="5">
        <f>prices!G1518/prices!G1517-1</f>
        <v>-7.8252759607522204E-3</v>
      </c>
      <c r="H1517" s="5">
        <f>prices!H1518/prices!H1517-1</f>
        <v>-1.4696519840301847E-2</v>
      </c>
      <c r="I1517" s="5">
        <f>prices!I1518/prices!I1517-1</f>
        <v>1.7315866600411844E-2</v>
      </c>
      <c r="J1517" s="5">
        <f>prices!J1518/prices!J1517-1</f>
        <v>-5.4041568425766684E-4</v>
      </c>
      <c r="K1517" s="8">
        <f>SUMPRODUCT(B1517:I1517,weights!$B$5:$I$5)</f>
        <v>-3.5991791028042422E-3</v>
      </c>
      <c r="L1517" s="4">
        <f t="shared" si="46"/>
        <v>279.26590479717089</v>
      </c>
      <c r="M1517" s="4">
        <f>L1517/MAX(L$2:L1517)-1</f>
        <v>-0.10404339305232557</v>
      </c>
      <c r="N1517" s="4">
        <f t="shared" si="47"/>
        <v>-3.0462193233951274E-2</v>
      </c>
    </row>
    <row r="1518" spans="1:14">
      <c r="A1518" s="3">
        <f>prices!A1519</f>
        <v>45708</v>
      </c>
      <c r="B1518" s="5">
        <f>prices!B1519/prices!B1518-1</f>
        <v>4.519532598155962E-3</v>
      </c>
      <c r="C1518" s="5">
        <f>prices!C1519/prices!C1518-1</f>
        <v>-1.2426582856888135E-3</v>
      </c>
      <c r="D1518" s="5">
        <f>prices!D1519/prices!D1518-1</f>
        <v>-2.321586218415217E-2</v>
      </c>
      <c r="E1518" s="5">
        <f>prices!E1519/prices!E1518-1</f>
        <v>7.9233226837061022E-3</v>
      </c>
      <c r="F1518" s="5">
        <f>prices!F1519/prices!F1518-1</f>
        <v>-1.069673315987274E-2</v>
      </c>
      <c r="G1518" s="5">
        <f>prices!G1519/prices!G1518-1</f>
        <v>-1.9351302802619208E-2</v>
      </c>
      <c r="H1518" s="5">
        <f>prices!H1519/prices!H1518-1</f>
        <v>-4.3539436100895612E-3</v>
      </c>
      <c r="I1518" s="5">
        <f>prices!I1519/prices!I1518-1</f>
        <v>-3.1111553586482543E-5</v>
      </c>
      <c r="J1518" s="5">
        <f>prices!J1519/prices!J1518-1</f>
        <v>-8.6120813329326751E-4</v>
      </c>
      <c r="K1518" s="8">
        <f>SUMPRODUCT(B1518:I1518,weights!$B$5:$I$5)</f>
        <v>-5.9070472258810928E-3</v>
      </c>
      <c r="L1518" s="4">
        <f t="shared" si="46"/>
        <v>277.61626790895559</v>
      </c>
      <c r="M1518" s="4">
        <f>L1518/MAX(L$2:L1518)-1</f>
        <v>-0.10933585104190569</v>
      </c>
      <c r="N1518" s="4">
        <f t="shared" si="47"/>
        <v>-3.0096190434950154E-2</v>
      </c>
    </row>
    <row r="1519" spans="1:14">
      <c r="A1519" s="3">
        <f>prices!A1520</f>
        <v>45709</v>
      </c>
      <c r="B1519" s="5">
        <f>prices!B1520/prices!B1519-1</f>
        <v>-3.9347534439317933E-3</v>
      </c>
      <c r="C1519" s="5">
        <f>prices!C1520/prices!C1519-1</f>
        <v>1.7491393787905096E-3</v>
      </c>
      <c r="D1519" s="5">
        <f>prices!D1520/prices!D1519-1</f>
        <v>3.1999609165078713E-3</v>
      </c>
      <c r="E1519" s="5">
        <f>prices!E1520/prices!E1519-1</f>
        <v>-5.5615108867296259E-3</v>
      </c>
      <c r="F1519" s="5">
        <f>prices!F1520/prices!F1519-1</f>
        <v>-2.8691355400882745E-3</v>
      </c>
      <c r="G1519" s="5">
        <f>prices!G1520/prices!G1519-1</f>
        <v>-9.4213656548546298E-3</v>
      </c>
      <c r="H1519" s="5">
        <f>prices!H1520/prices!H1519-1</f>
        <v>-1.5302409083189805E-2</v>
      </c>
      <c r="I1519" s="5">
        <f>prices!I1520/prices!I1519-1</f>
        <v>1.1996988307914291E-2</v>
      </c>
      <c r="J1519" s="5">
        <f>prices!J1520/prices!J1519-1</f>
        <v>-5.1171488861200265E-3</v>
      </c>
      <c r="K1519" s="8">
        <f>SUMPRODUCT(B1519:I1519,weights!$B$5:$I$5)</f>
        <v>-2.5967580588913482E-3</v>
      </c>
      <c r="L1519" s="4">
        <f t="shared" si="46"/>
        <v>276.89536562798367</v>
      </c>
      <c r="M1519" s="4">
        <f>L1519/MAX(L$2:L1519)-1</f>
        <v>-0.11164869034847824</v>
      </c>
      <c r="N1519" s="4">
        <f t="shared" si="47"/>
        <v>-2.3128320274663161E-2</v>
      </c>
    </row>
    <row r="1520" spans="1:14">
      <c r="A1520" s="3">
        <f>prices!A1521</f>
        <v>45712</v>
      </c>
      <c r="B1520" s="5">
        <f>prices!B1521/prices!B1520-1</f>
        <v>-1.1070686497540283E-2</v>
      </c>
      <c r="C1520" s="5">
        <f>prices!C1521/prices!C1520-1</f>
        <v>-2.9162686687701278E-2</v>
      </c>
      <c r="D1520" s="5">
        <f>prices!D1521/prices!D1520-1</f>
        <v>-9.1066254352430986E-3</v>
      </c>
      <c r="E1520" s="5">
        <f>prices!E1521/prices!E1520-1</f>
        <v>-2.8044207732296433E-2</v>
      </c>
      <c r="F1520" s="5">
        <f>prices!F1521/prices!F1520-1</f>
        <v>2.504396014280319E-3</v>
      </c>
      <c r="G1520" s="5">
        <f>prices!G1521/prices!G1520-1</f>
        <v>1.7654948895093892E-3</v>
      </c>
      <c r="H1520" s="5">
        <f>prices!H1521/prices!H1520-1</f>
        <v>-2.5869555844364456E-3</v>
      </c>
      <c r="I1520" s="5">
        <f>prices!I1521/prices!I1520-1</f>
        <v>-1.7314846127832184E-2</v>
      </c>
      <c r="J1520" s="5">
        <f>prices!J1521/prices!J1520-1</f>
        <v>-1.0640071240881177E-2</v>
      </c>
      <c r="K1520" s="8">
        <f>SUMPRODUCT(B1520:I1520,weights!$B$5:$I$5)</f>
        <v>-1.0271844557681469E-2</v>
      </c>
      <c r="L1520" s="4">
        <f t="shared" si="46"/>
        <v>274.05113947351066</v>
      </c>
      <c r="M1520" s="4">
        <f>L1520/MAX(L$2:L1520)-1</f>
        <v>-0.12077369691383144</v>
      </c>
      <c r="N1520" s="4">
        <f t="shared" si="47"/>
        <v>-2.7385533936019613E-2</v>
      </c>
    </row>
    <row r="1521" spans="1:14">
      <c r="A1521" s="3">
        <f>prices!A1522</f>
        <v>45713</v>
      </c>
      <c r="B1521" s="5">
        <f>prices!B1522/prices!B1521-1</f>
        <v>-8.6866254204210902E-3</v>
      </c>
      <c r="C1521" s="5">
        <f>prices!C1522/prices!C1521-1</f>
        <v>-1.2526640984231951E-2</v>
      </c>
      <c r="D1521" s="5">
        <f>prices!D1522/prices!D1521-1</f>
        <v>3.1330630298562756E-3</v>
      </c>
      <c r="E1521" s="5">
        <f>prices!E1522/prices!E1521-1</f>
        <v>2.0392343927018164E-3</v>
      </c>
      <c r="F1521" s="5">
        <f>prices!F1522/prices!F1521-1</f>
        <v>7.3349633251835744E-3</v>
      </c>
      <c r="G1521" s="5">
        <f>prices!G1522/prices!G1521-1</f>
        <v>1.0623094748577255E-2</v>
      </c>
      <c r="H1521" s="5">
        <f>prices!H1522/prices!H1521-1</f>
        <v>-1.5796656641944518E-2</v>
      </c>
      <c r="I1521" s="5">
        <f>prices!I1522/prices!I1521-1</f>
        <v>-9.761042178965007E-3</v>
      </c>
      <c r="J1521" s="5">
        <f>prices!J1522/prices!J1521-1</f>
        <v>-2.5716800386632599E-4</v>
      </c>
      <c r="K1521" s="8">
        <f>SUMPRODUCT(B1521:I1521,weights!$B$5:$I$5)</f>
        <v>-3.4267843444765948E-3</v>
      </c>
      <c r="L1521" s="4">
        <f t="shared" si="46"/>
        <v>273.11202531917684</v>
      </c>
      <c r="M1521" s="4">
        <f>L1521/MAX(L$2:L1521)-1</f>
        <v>-0.12378661584449924</v>
      </c>
      <c r="N1521" s="4">
        <f t="shared" si="47"/>
        <v>-3.6559921131189221E-2</v>
      </c>
    </row>
    <row r="1522" spans="1:14">
      <c r="A1522" s="3">
        <f>prices!A1523</f>
        <v>45715</v>
      </c>
      <c r="B1522" s="5">
        <f>prices!B1523/prices!B1522-1</f>
        <v>2.5718570148027808E-3</v>
      </c>
      <c r="C1522" s="5">
        <f>prices!C1523/prices!C1522-1</f>
        <v>-4.6855482933915171E-3</v>
      </c>
      <c r="D1522" s="5">
        <f>prices!D1523/prices!D1522-1</f>
        <v>1.0913099393716763E-2</v>
      </c>
      <c r="E1522" s="5">
        <f>prices!E1523/prices!E1522-1</f>
        <v>-1.9220241353866685E-3</v>
      </c>
      <c r="F1522" s="5">
        <f>prices!F1523/prices!F1522-1</f>
        <v>-8.0202617138033228E-3</v>
      </c>
      <c r="G1522" s="5">
        <f>prices!G1523/prices!G1522-1</f>
        <v>-7.6742855786769981E-3</v>
      </c>
      <c r="H1522" s="5">
        <f>prices!H1523/prices!H1522-1</f>
        <v>2.1007058823529379E-2</v>
      </c>
      <c r="I1522" s="5">
        <f>prices!I1523/prices!I1522-1</f>
        <v>-5.0834391724956518E-3</v>
      </c>
      <c r="J1522" s="5">
        <f>prices!J1523/prices!J1522-1</f>
        <v>-1.1087679149179852E-4</v>
      </c>
      <c r="K1522" s="8">
        <f>SUMPRODUCT(B1522:I1522,weights!$B$5:$I$5)</f>
        <v>5.6928876440756637E-4</v>
      </c>
      <c r="L1522" s="4">
        <f t="shared" si="46"/>
        <v>273.26750492661563</v>
      </c>
      <c r="M1522" s="4">
        <f>L1522/MAX(L$2:L1522)-1</f>
        <v>-0.12328779740967599</v>
      </c>
      <c r="N1522" s="4">
        <f t="shared" si="47"/>
        <v>-3.7046502440519546E-2</v>
      </c>
    </row>
    <row r="1523" spans="1:14">
      <c r="A1523" s="3">
        <f>prices!A1524</f>
        <v>45716</v>
      </c>
      <c r="B1523" s="5">
        <f>prices!B1524/prices!B1523-1</f>
        <v>-5.798990607974952E-3</v>
      </c>
      <c r="C1523" s="5">
        <f>prices!C1524/prices!C1523-1</f>
        <v>-3.5790063536629169E-2</v>
      </c>
      <c r="D1523" s="5">
        <f>prices!D1524/prices!D1523-1</f>
        <v>1.8634292914607054E-2</v>
      </c>
      <c r="E1523" s="5">
        <f>prices!E1524/prices!E1523-1</f>
        <v>-4.3415271062249183E-2</v>
      </c>
      <c r="F1523" s="5">
        <f>prices!F1524/prices!F1523-1</f>
        <v>-1.6436170212765999E-2</v>
      </c>
      <c r="G1523" s="5">
        <f>prices!G1524/prices!G1523-1</f>
        <v>-3.5115555097412599E-2</v>
      </c>
      <c r="H1523" s="5">
        <f>prices!H1524/prices!H1523-1</f>
        <v>-3.2927121550118899E-2</v>
      </c>
      <c r="I1523" s="5">
        <f>prices!I1524/prices!I1523-1</f>
        <v>-1.4226332051481605E-2</v>
      </c>
      <c r="J1523" s="5">
        <f>prices!J1524/prices!J1523-1</f>
        <v>-1.8644891007116748E-2</v>
      </c>
      <c r="K1523" s="8">
        <f>SUMPRODUCT(B1523:I1523,weights!$B$5:$I$5)</f>
        <v>-2.2143370401296887E-2</v>
      </c>
      <c r="L1523" s="4">
        <f t="shared" si="46"/>
        <v>267.21644134638734</v>
      </c>
      <c r="M1523" s="4">
        <f>L1523/MAX(L$2:L1523)-1</f>
        <v>-0.14270116044697034</v>
      </c>
      <c r="N1523" s="4">
        <f t="shared" si="47"/>
        <v>-7.5714746175635561E-2</v>
      </c>
    </row>
    <row r="1524" spans="1:14">
      <c r="A1524" s="3">
        <f>prices!A1525</f>
        <v>45719</v>
      </c>
      <c r="B1524" s="5">
        <f>prices!B1525/prices!B1524-1</f>
        <v>-2.4037249331831601E-2</v>
      </c>
      <c r="C1524" s="5">
        <f>prices!C1525/prices!C1524-1</f>
        <v>2.8119646219135763E-3</v>
      </c>
      <c r="D1524" s="5">
        <f>prices!D1525/prices!D1524-1</f>
        <v>-1.7805742560125681E-2</v>
      </c>
      <c r="E1524" s="5">
        <f>prices!E1525/prices!E1524-1</f>
        <v>1.2384151775975738E-2</v>
      </c>
      <c r="F1524" s="5">
        <f>prices!F1525/prices!F1524-1</f>
        <v>6.1922016115949496E-3</v>
      </c>
      <c r="G1524" s="5">
        <f>prices!G1525/prices!G1524-1</f>
        <v>-1.4251612974907735E-2</v>
      </c>
      <c r="H1524" s="5">
        <f>prices!H1525/prices!H1524-1</f>
        <v>-5.1154958218155855E-3</v>
      </c>
      <c r="I1524" s="5">
        <f>prices!I1525/prices!I1524-1</f>
        <v>1.0575687194173122E-2</v>
      </c>
      <c r="J1524" s="5">
        <f>prices!J1525/prices!J1524-1</f>
        <v>-2.4407110604895976E-4</v>
      </c>
      <c r="K1524" s="8">
        <f>SUMPRODUCT(B1524:I1524,weights!$B$5:$I$5)</f>
        <v>-4.0276498784387587E-3</v>
      </c>
      <c r="L1524" s="4">
        <f t="shared" si="46"/>
        <v>266.14018707888175</v>
      </c>
      <c r="M1524" s="4">
        <f>L1524/MAX(L$2:L1524)-1</f>
        <v>-0.14615406001388176</v>
      </c>
      <c r="N1524" s="4">
        <f t="shared" si="47"/>
        <v>-8.2276193664541974E-2</v>
      </c>
    </row>
    <row r="1525" spans="1:14">
      <c r="A1525" s="3">
        <f>prices!A1526</f>
        <v>45720</v>
      </c>
      <c r="B1525" s="5">
        <f>prices!B1526/prices!B1525-1</f>
        <v>-7.9829834139956146E-3</v>
      </c>
      <c r="C1525" s="5">
        <f>prices!C1526/prices!C1525-1</f>
        <v>1.116500605186177E-2</v>
      </c>
      <c r="D1525" s="5">
        <f>prices!D1526/prices!D1525-1</f>
        <v>4.9650629109800892E-3</v>
      </c>
      <c r="E1525" s="5">
        <f>prices!E1526/prices!E1525-1</f>
        <v>-1.1881748894935762E-2</v>
      </c>
      <c r="F1525" s="5">
        <f>prices!F1526/prices!F1525-1</f>
        <v>-6.5303270538281666E-3</v>
      </c>
      <c r="G1525" s="5">
        <f>prices!G1526/prices!G1525-1</f>
        <v>-1.3532541218414185E-2</v>
      </c>
      <c r="H1525" s="5">
        <f>prices!H1526/prices!H1525-1</f>
        <v>-1.1733520694941157E-2</v>
      </c>
      <c r="I1525" s="5">
        <f>prices!I1526/prices!I1525-1</f>
        <v>4.9089610853267907E-3</v>
      </c>
      <c r="J1525" s="5">
        <f>prices!J1526/prices!J1525-1</f>
        <v>-1.6569240437083188E-3</v>
      </c>
      <c r="K1525" s="8">
        <f>SUMPRODUCT(B1525:I1525,weights!$B$5:$I$5)</f>
        <v>-4.6532080503570898E-3</v>
      </c>
      <c r="L1525" s="4">
        <f t="shared" si="46"/>
        <v>264.90178141784276</v>
      </c>
      <c r="M1525" s="4">
        <f>L1525/MAX(L$2:L1525)-1</f>
        <v>-0.1501271828155899</v>
      </c>
      <c r="N1525" s="4">
        <f t="shared" si="47"/>
        <v>-7.7966230060442454E-2</v>
      </c>
    </row>
    <row r="1526" spans="1:14">
      <c r="A1526" s="3">
        <f>prices!A1527</f>
        <v>45721</v>
      </c>
      <c r="B1526" s="5">
        <f>prices!B1527/prices!B1526-1</f>
        <v>1.1788706107035862E-2</v>
      </c>
      <c r="C1526" s="5">
        <f>prices!C1527/prices!C1526-1</f>
        <v>4.2477358344128469E-3</v>
      </c>
      <c r="D1526" s="5">
        <f>prices!D1527/prices!D1526-1</f>
        <v>-1.1688577729041971E-2</v>
      </c>
      <c r="E1526" s="5">
        <f>prices!E1527/prices!E1526-1</f>
        <v>1.3744205751881511E-2</v>
      </c>
      <c r="F1526" s="5">
        <f>prices!F1527/prices!F1526-1</f>
        <v>2.5833152997186692E-2</v>
      </c>
      <c r="G1526" s="5">
        <f>prices!G1527/prices!G1526-1</f>
        <v>9.4923358177512185E-5</v>
      </c>
      <c r="H1526" s="5">
        <f>prices!H1527/prices!H1526-1</f>
        <v>1.0179482042101062E-2</v>
      </c>
      <c r="I1526" s="5">
        <f>prices!I1527/prices!I1526-1</f>
        <v>8.2949513405148334E-3</v>
      </c>
      <c r="J1526" s="5">
        <f>prices!J1527/prices!J1526-1</f>
        <v>1.1531677583985545E-2</v>
      </c>
      <c r="K1526" s="8">
        <f>SUMPRODUCT(B1526:I1526,weights!$B$5:$I$5)</f>
        <v>7.5172661455734195E-3</v>
      </c>
      <c r="L1526" s="4">
        <f t="shared" si="46"/>
        <v>266.89311861119717</v>
      </c>
      <c r="M1526" s="4">
        <f>L1526/MAX(L$2:L1526)-1</f>
        <v>-0.14373846265892654</v>
      </c>
      <c r="N1526" s="4">
        <f t="shared" si="47"/>
        <v>-8.8517438727444331E-2</v>
      </c>
    </row>
    <row r="1527" spans="1:14">
      <c r="A1527" s="3">
        <f>prices!A1528</f>
        <v>45722</v>
      </c>
      <c r="B1527" s="5">
        <f>prices!B1528/prices!B1527-1</f>
        <v>2.8922464458229324E-2</v>
      </c>
      <c r="C1527" s="5">
        <f>prices!C1528/prices!C1527-1</f>
        <v>1.5379356468752325E-2</v>
      </c>
      <c r="D1527" s="5">
        <f>prices!D1528/prices!D1527-1</f>
        <v>7.0717046465973432E-4</v>
      </c>
      <c r="E1527" s="5">
        <f>prices!E1528/prices!E1527-1</f>
        <v>2.5382582508759466E-3</v>
      </c>
      <c r="F1527" s="5">
        <f>prices!F1528/prices!F1527-1</f>
        <v>1.5821533106556984E-3</v>
      </c>
      <c r="G1527" s="5">
        <f>prices!G1528/prices!G1527-1</f>
        <v>4.2219308390778476E-3</v>
      </c>
      <c r="H1527" s="5">
        <f>prices!H1528/prices!H1527-1</f>
        <v>1.993627557614297E-2</v>
      </c>
      <c r="I1527" s="5">
        <f>prices!I1528/prices!I1527-1</f>
        <v>6.2510421025145924E-3</v>
      </c>
      <c r="J1527" s="5">
        <f>prices!J1528/prices!J1527-1</f>
        <v>9.2849180518683738E-3</v>
      </c>
      <c r="K1527" s="8">
        <f>SUMPRODUCT(B1527:I1527,weights!$B$5:$I$5)</f>
        <v>1.0490597411240565E-2</v>
      </c>
      <c r="L1527" s="4">
        <f t="shared" si="46"/>
        <v>269.69298687037769</v>
      </c>
      <c r="M1527" s="4">
        <f>L1527/MAX(L$2:L1527)-1</f>
        <v>-0.1347557675919514</v>
      </c>
      <c r="N1527" s="4">
        <f t="shared" si="47"/>
        <v>-7.3131631112894446E-2</v>
      </c>
    </row>
    <row r="1528" spans="1:14">
      <c r="A1528" s="3">
        <f>prices!A1529</f>
        <v>45723</v>
      </c>
      <c r="B1528" s="5">
        <f>prices!B1529/prices!B1528-1</f>
        <v>3.3237717220906404E-2</v>
      </c>
      <c r="C1528" s="5">
        <f>prices!C1529/prices!C1528-1</f>
        <v>2.6639422246552691E-3</v>
      </c>
      <c r="D1528" s="5">
        <f>prices!D1529/prices!D1528-1</f>
        <v>-1.1574779165397509E-3</v>
      </c>
      <c r="E1528" s="5">
        <f>prices!E1529/prices!E1528-1</f>
        <v>-1.7397914457188857E-2</v>
      </c>
      <c r="F1528" s="5">
        <f>prices!F1529/prices!F1528-1</f>
        <v>-4.4230313561329782E-3</v>
      </c>
      <c r="G1528" s="5">
        <f>prices!G1529/prices!G1528-1</f>
        <v>-1.9253119005269159E-4</v>
      </c>
      <c r="H1528" s="5">
        <f>prices!H1529/prices!H1528-1</f>
        <v>-2.9106602933243186E-3</v>
      </c>
      <c r="I1528" s="5">
        <f>prices!I1529/prices!I1528-1</f>
        <v>-4.6646282366329395E-3</v>
      </c>
      <c r="J1528" s="5">
        <f>prices!J1529/prices!J1528-1</f>
        <v>3.459793210820461E-4</v>
      </c>
      <c r="K1528" s="8">
        <f>SUMPRODUCT(B1528:I1528,weights!$B$5:$I$5)</f>
        <v>1.1386840827610737E-3</v>
      </c>
      <c r="L1528" s="4">
        <f t="shared" si="46"/>
        <v>270.00008198175925</v>
      </c>
      <c r="M1528" s="4">
        <f>L1528/MAX(L$2:L1528)-1</f>
        <v>-0.13377052775680764</v>
      </c>
      <c r="N1528" s="4">
        <f t="shared" si="47"/>
        <v>-7.0163900584127359E-2</v>
      </c>
    </row>
    <row r="1529" spans="1:14">
      <c r="A1529" s="3">
        <f>prices!A1530</f>
        <v>45726</v>
      </c>
      <c r="B1529" s="5">
        <f>prices!B1530/prices!B1529-1</f>
        <v>-9.1195222338793513E-3</v>
      </c>
      <c r="C1529" s="5">
        <f>prices!C1530/prices!C1529-1</f>
        <v>-5.9677263955107973E-3</v>
      </c>
      <c r="D1529" s="5">
        <f>prices!D1530/prices!D1529-1</f>
        <v>-1.0368382532324194E-3</v>
      </c>
      <c r="E1529" s="5">
        <f>prices!E1530/prices!E1529-1</f>
        <v>9.1649249773839703E-3</v>
      </c>
      <c r="F1529" s="5">
        <f>prices!F1530/prices!F1529-1</f>
        <v>2.7237868570673118E-3</v>
      </c>
      <c r="G1529" s="5">
        <f>prices!G1530/prices!G1529-1</f>
        <v>-6.6961237758785819E-3</v>
      </c>
      <c r="H1529" s="5">
        <f>prices!H1530/prices!H1529-1</f>
        <v>1.3652091852784931E-3</v>
      </c>
      <c r="I1529" s="5">
        <f>prices!I1530/prices!I1529-1</f>
        <v>-2.0649449368957296E-2</v>
      </c>
      <c r="J1529" s="5">
        <f>prices!J1530/prices!J1529-1</f>
        <v>-4.0882385544840361E-3</v>
      </c>
      <c r="K1529" s="8">
        <f>SUMPRODUCT(B1529:I1529,weights!$B$5:$I$5)</f>
        <v>-5.9206284502675956E-3</v>
      </c>
      <c r="L1529" s="4">
        <f t="shared" si="46"/>
        <v>268.40151181480343</v>
      </c>
      <c r="M1529" s="4">
        <f>L1529/MAX(L$2:L1529)-1</f>
        <v>-0.1388991506146311</v>
      </c>
      <c r="N1529" s="4">
        <f t="shared" si="47"/>
        <v>-6.9910782974071717E-2</v>
      </c>
    </row>
    <row r="1530" spans="1:14">
      <c r="A1530" s="3">
        <f>prices!A1531</f>
        <v>45727</v>
      </c>
      <c r="B1530" s="5">
        <f>prices!B1531/prices!B1530-1</f>
        <v>7.1835803876851845E-3</v>
      </c>
      <c r="C1530" s="5">
        <f>prices!C1531/prices!C1530-1</f>
        <v>-3.9974740428532218E-3</v>
      </c>
      <c r="D1530" s="5">
        <f>prices!D1531/prices!D1530-1</f>
        <v>-1.184443494718912E-3</v>
      </c>
      <c r="E1530" s="5">
        <f>prices!E1531/prices!E1530-1</f>
        <v>-2.3418277136886823E-2</v>
      </c>
      <c r="F1530" s="5">
        <f>prices!F1531/prices!F1530-1</f>
        <v>2.95374228598555E-3</v>
      </c>
      <c r="G1530" s="5">
        <f>prices!G1531/prices!G1530-1</f>
        <v>5.2564235875509624E-3</v>
      </c>
      <c r="H1530" s="5">
        <f>prices!H1531/prices!H1530-1</f>
        <v>2.7185283381605529E-2</v>
      </c>
      <c r="I1530" s="5">
        <f>prices!I1531/prices!I1530-1</f>
        <v>5.5871297163456735E-3</v>
      </c>
      <c r="J1530" s="5">
        <f>prices!J1531/prices!J1530-1</f>
        <v>1.6740649056334878E-3</v>
      </c>
      <c r="K1530" s="8">
        <f>SUMPRODUCT(B1530:I1530,weights!$B$5:$I$5)</f>
        <v>4.9601163102042933E-3</v>
      </c>
      <c r="L1530" s="4">
        <f t="shared" si="46"/>
        <v>269.73281453123951</v>
      </c>
      <c r="M1530" s="4">
        <f>L1530/MAX(L$2:L1530)-1</f>
        <v>-0.134627990246864</v>
      </c>
      <c r="N1530" s="4">
        <f t="shared" si="47"/>
        <v>-5.7900631701812921E-2</v>
      </c>
    </row>
    <row r="1531" spans="1:14">
      <c r="A1531" s="3">
        <f>prices!A1532</f>
        <v>45728</v>
      </c>
      <c r="B1531" s="5">
        <f>prices!B1532/prices!B1531-1</f>
        <v>7.8197020911840998E-3</v>
      </c>
      <c r="C1531" s="5">
        <f>prices!C1532/prices!C1531-1</f>
        <v>-1.9327403982259073E-2</v>
      </c>
      <c r="D1531" s="5">
        <f>prices!D1532/prices!D1531-1</f>
        <v>1.5220421037189125E-2</v>
      </c>
      <c r="E1531" s="5">
        <f>prices!E1532/prices!E1531-1</f>
        <v>-4.2578782776040436E-2</v>
      </c>
      <c r="F1531" s="5">
        <f>prices!F1532/prices!F1531-1</f>
        <v>1.5277412569024484E-2</v>
      </c>
      <c r="G1531" s="5">
        <f>prices!G1532/prices!G1531-1</f>
        <v>-5.8820074563881164E-4</v>
      </c>
      <c r="H1531" s="5">
        <f>prices!H1532/prices!H1531-1</f>
        <v>1.3015768162746078E-2</v>
      </c>
      <c r="I1531" s="5">
        <f>prices!I1532/prices!I1531-1</f>
        <v>-5.645392785379455E-4</v>
      </c>
      <c r="J1531" s="5">
        <f>prices!J1532/prices!J1531-1</f>
        <v>-1.2178914476462799E-3</v>
      </c>
      <c r="K1531" s="8">
        <f>SUMPRODUCT(B1531:I1531,weights!$B$5:$I$5)</f>
        <v>-1.6367664045807044E-4</v>
      </c>
      <c r="L1531" s="4">
        <f t="shared" si="46"/>
        <v>269.68866557033573</v>
      </c>
      <c r="M1531" s="4">
        <f>L1531/MAX(L$2:L1531)-1</f>
        <v>-0.13476963143016685</v>
      </c>
      <c r="N1531" s="4">
        <f t="shared" si="47"/>
        <v>-4.1941358804746698E-2</v>
      </c>
    </row>
    <row r="1532" spans="1:14">
      <c r="A1532" s="3">
        <f>prices!A1533</f>
        <v>45729</v>
      </c>
      <c r="B1532" s="5">
        <f>prices!B1533/prices!B1532-1</f>
        <v>-7.277599916552302E-3</v>
      </c>
      <c r="C1532" s="5">
        <f>prices!C1533/prices!C1532-1</f>
        <v>1.3832506390016874E-3</v>
      </c>
      <c r="D1532" s="5">
        <f>prices!D1533/prices!D1532-1</f>
        <v>-2.6612718711991334E-3</v>
      </c>
      <c r="E1532" s="5">
        <f>prices!E1533/prices!E1532-1</f>
        <v>-6.9161597460989377E-3</v>
      </c>
      <c r="F1532" s="5">
        <f>prices!F1533/prices!F1532-1</f>
        <v>-8.5467871849997934E-4</v>
      </c>
      <c r="G1532" s="5">
        <f>prices!G1533/prices!G1532-1</f>
        <v>-1.0849963511844529E-2</v>
      </c>
      <c r="H1532" s="5">
        <f>prices!H1533/prices!H1532-1</f>
        <v>3.9366750793976557E-3</v>
      </c>
      <c r="I1532" s="5">
        <f>prices!I1533/prices!I1532-1</f>
        <v>-1.9881730827533417E-3</v>
      </c>
      <c r="J1532" s="5">
        <f>prices!J1533/prices!J1532-1</f>
        <v>-3.2620546939320372E-3</v>
      </c>
      <c r="K1532" s="8">
        <f>SUMPRODUCT(B1532:I1532,weights!$B$5:$I$5)</f>
        <v>-3.5673707149852484E-3</v>
      </c>
      <c r="L1532" s="4">
        <f t="shared" si="46"/>
        <v>268.72658612261665</v>
      </c>
      <c r="M1532" s="4">
        <f>L1532/MAX(L$2:L1532)-1</f>
        <v>-0.13785622890871885</v>
      </c>
      <c r="N1532" s="4">
        <f t="shared" si="47"/>
        <v>-4.3989280157280319E-2</v>
      </c>
    </row>
    <row r="1533" spans="1:14">
      <c r="A1533" s="3">
        <f>prices!A1534</f>
        <v>45733</v>
      </c>
      <c r="B1533" s="5">
        <f>prices!B1534/prices!B1533-1</f>
        <v>-7.2582079177511138E-3</v>
      </c>
      <c r="C1533" s="5">
        <f>prices!C1534/prices!C1533-1</f>
        <v>-3.8016876370078334E-3</v>
      </c>
      <c r="D1533" s="5">
        <f>prices!D1534/prices!D1533-1</f>
        <v>2.2337060201396142E-3</v>
      </c>
      <c r="E1533" s="5">
        <f>prices!E1534/prices!E1533-1</f>
        <v>6.4583139140046431E-3</v>
      </c>
      <c r="F1533" s="5">
        <f>prices!F1534/prices!F1533-1</f>
        <v>-9.9538597127896145E-3</v>
      </c>
      <c r="G1533" s="5">
        <f>prices!G1534/prices!G1533-1</f>
        <v>3.4653807751172661E-3</v>
      </c>
      <c r="H1533" s="5">
        <f>prices!H1534/prices!H1533-1</f>
        <v>1.2383174759733828E-2</v>
      </c>
      <c r="I1533" s="5">
        <f>prices!I1534/prices!I1533-1</f>
        <v>-4.3456016371951067E-3</v>
      </c>
      <c r="J1533" s="5">
        <f>prices!J1534/prices!J1533-1</f>
        <v>4.9805332809458314E-3</v>
      </c>
      <c r="K1533" s="8">
        <f>SUMPRODUCT(B1533:I1533,weights!$B$5:$I$5)</f>
        <v>3.089086432125275E-4</v>
      </c>
      <c r="L1533" s="4">
        <f t="shared" si="46"/>
        <v>268.80959808773088</v>
      </c>
      <c r="M1533" s="4">
        <f>L1533/MAX(L$2:L1533)-1</f>
        <v>-0.13758990524613701</v>
      </c>
      <c r="N1533" s="4">
        <f t="shared" si="47"/>
        <v>-4.4727159971388319E-2</v>
      </c>
    </row>
    <row r="1534" spans="1:14">
      <c r="A1534" s="3">
        <f>prices!A1535</f>
        <v>45734</v>
      </c>
      <c r="B1534" s="5">
        <f>prices!B1535/prices!B1534-1</f>
        <v>0</v>
      </c>
      <c r="C1534" s="5">
        <f>prices!C1535/prices!C1534-1</f>
        <v>0</v>
      </c>
      <c r="D1534" s="5">
        <f>prices!D1535/prices!D1534-1</f>
        <v>0</v>
      </c>
      <c r="E1534" s="5">
        <f>prices!E1535/prices!E1534-1</f>
        <v>0</v>
      </c>
      <c r="F1534" s="5">
        <f>prices!F1535/prices!F1534-1</f>
        <v>2.82766926742406E-3</v>
      </c>
      <c r="G1534" s="5">
        <f>prices!G1535/prices!G1534-1</f>
        <v>0</v>
      </c>
      <c r="H1534" s="5">
        <f>prices!H1535/prices!H1534-1</f>
        <v>0</v>
      </c>
      <c r="I1534" s="5">
        <f>prices!I1535/prices!I1534-1</f>
        <v>0</v>
      </c>
      <c r="J1534" s="5">
        <f>prices!J1535/prices!J1534-1</f>
        <v>1.4463264286110888E-2</v>
      </c>
      <c r="K1534" s="8">
        <f>SUMPRODUCT(B1534:I1534,weights!$B$5:$I$5)</f>
        <v>2.3643426271811424E-4</v>
      </c>
      <c r="L1534" s="4">
        <f t="shared" si="46"/>
        <v>268.87315388686631</v>
      </c>
      <c r="M1534" s="4">
        <f>L1534/MAX(L$2:L1534)-1</f>
        <v>-0.1373860019512233</v>
      </c>
      <c r="N1534" s="4">
        <f t="shared" si="47"/>
        <v>-4.0542110929678743E-2</v>
      </c>
    </row>
    <row r="1535" spans="1:14">
      <c r="A1535" s="3">
        <f>prices!A1536</f>
        <v>45735</v>
      </c>
      <c r="B1535" s="5">
        <f>prices!B1536/prices!B1535-1</f>
        <v>6.7006448251156758E-3</v>
      </c>
      <c r="C1535" s="5">
        <f>prices!C1536/prices!C1535-1</f>
        <v>-1.7181923410825028E-4</v>
      </c>
      <c r="D1535" s="5">
        <f>prices!D1536/prices!D1535-1</f>
        <v>1.9697133976652514E-2</v>
      </c>
      <c r="E1535" s="5">
        <f>prices!E1536/prices!E1535-1</f>
        <v>-2.2029054536795156E-3</v>
      </c>
      <c r="F1535" s="5">
        <f>prices!F1536/prices!F1535-1</f>
        <v>-1.4803404521956942E-2</v>
      </c>
      <c r="G1535" s="5">
        <f>prices!G1536/prices!G1535-1</f>
        <v>5.3533209500598034E-3</v>
      </c>
      <c r="H1535" s="5">
        <f>prices!H1536/prices!H1535-1</f>
        <v>1.6461418735482569E-2</v>
      </c>
      <c r="I1535" s="5">
        <f>prices!I1536/prices!I1535-1</f>
        <v>4.6038327268756563E-2</v>
      </c>
      <c r="J1535" s="5">
        <f>prices!J1536/prices!J1535-1</f>
        <v>3.2100830767747279E-3</v>
      </c>
      <c r="K1535" s="8">
        <f>SUMPRODUCT(B1535:I1535,weights!$B$5:$I$5)</f>
        <v>1.3470448253343996E-2</v>
      </c>
      <c r="L1535" s="4">
        <f t="shared" si="46"/>
        <v>272.49499579301278</v>
      </c>
      <c r="M1535" s="4">
        <f>L1535/MAX(L$2:L1535)-1</f>
        <v>-0.1257662047278969</v>
      </c>
      <c r="N1535" s="4">
        <f t="shared" si="47"/>
        <v>-2.9220653721341305E-2</v>
      </c>
    </row>
    <row r="1536" spans="1:14">
      <c r="A1536" s="3">
        <f>prices!A1537</f>
        <v>45736</v>
      </c>
      <c r="B1536" s="5">
        <f>prices!B1537/prices!B1536-1</f>
        <v>1.7638923710239673E-2</v>
      </c>
      <c r="C1536" s="5">
        <f>prices!C1537/prices!C1536-1</f>
        <v>1.8888289260658331E-2</v>
      </c>
      <c r="D1536" s="5">
        <f>prices!D1537/prices!D1536-1</f>
        <v>1.4130100895536568E-2</v>
      </c>
      <c r="E1536" s="5">
        <f>prices!E1537/prices!E1536-1</f>
        <v>1.8278735803647805E-2</v>
      </c>
      <c r="F1536" s="5">
        <f>prices!F1537/prices!F1536-1</f>
        <v>2.2525506823902752E-3</v>
      </c>
      <c r="G1536" s="5">
        <f>prices!G1537/prices!G1536-1</f>
        <v>9.8699823853907187E-3</v>
      </c>
      <c r="H1536" s="5">
        <f>prices!H1537/prices!H1536-1</f>
        <v>1.0332896951561699E-2</v>
      </c>
      <c r="I1536" s="5">
        <f>prices!I1537/prices!I1536-1</f>
        <v>9.4901536968923228E-3</v>
      </c>
      <c r="J1536" s="5">
        <f>prices!J1537/prices!J1536-1</f>
        <v>1.2356161273987754E-2</v>
      </c>
      <c r="K1536" s="8">
        <f>SUMPRODUCT(B1536:I1536,weights!$B$5:$I$5)</f>
        <v>1.2038088522566966E-2</v>
      </c>
      <c r="L1536" s="4">
        <f t="shared" si="46"/>
        <v>275.77531467432561</v>
      </c>
      <c r="M1536" s="4">
        <f>L1536/MAX(L$2:L1536)-1</f>
        <v>-0.11524210091099152</v>
      </c>
      <c r="N1536" s="4">
        <f t="shared" si="47"/>
        <v>-1.6053355585052387E-2</v>
      </c>
    </row>
    <row r="1537" spans="1:14">
      <c r="A1537" s="3">
        <f>prices!A1538</f>
        <v>45737</v>
      </c>
      <c r="B1537" s="5">
        <f>prices!B1538/prices!B1537-1</f>
        <v>5.6744126903391923E-3</v>
      </c>
      <c r="C1537" s="5">
        <f>prices!C1538/prices!C1537-1</f>
        <v>4.1958621342674807E-3</v>
      </c>
      <c r="D1537" s="5">
        <f>prices!D1538/prices!D1537-1</f>
        <v>9.0868845965652589E-4</v>
      </c>
      <c r="E1537" s="5">
        <f>prices!E1538/prices!E1537-1</f>
        <v>-1.4239393702633052E-2</v>
      </c>
      <c r="F1537" s="5">
        <f>prices!F1538/prices!F1537-1</f>
        <v>3.9397144368058523E-3</v>
      </c>
      <c r="G1537" s="5">
        <f>prices!G1538/prices!G1537-1</f>
        <v>2.2194737497183148E-4</v>
      </c>
      <c r="H1537" s="5">
        <f>prices!H1538/prices!H1537-1</f>
        <v>1.956939238280353E-2</v>
      </c>
      <c r="I1537" s="5">
        <f>prices!I1538/prices!I1537-1</f>
        <v>1.9367573305109298E-2</v>
      </c>
      <c r="J1537" s="5">
        <f>prices!J1538/prices!J1537-1</f>
        <v>6.8885520673203082E-3</v>
      </c>
      <c r="K1537" s="8">
        <f>SUMPRODUCT(B1537:I1537,weights!$B$5:$I$5)</f>
        <v>7.090685748599215E-3</v>
      </c>
      <c r="L1537" s="4">
        <f t="shared" si="46"/>
        <v>277.73075076790235</v>
      </c>
      <c r="M1537" s="4">
        <f>L1537/MAX(L$2:L1537)-1</f>
        <v>-0.10896856068496041</v>
      </c>
      <c r="N1537" s="4">
        <f t="shared" si="47"/>
        <v>-5.4971050991116099E-3</v>
      </c>
    </row>
    <row r="1538" spans="1:14">
      <c r="A1538" s="3">
        <f>prices!A1539</f>
        <v>45740</v>
      </c>
      <c r="B1538" s="5">
        <f>prices!B1539/prices!B1538-1</f>
        <v>2.0175119723095936E-2</v>
      </c>
      <c r="C1538" s="5">
        <f>prices!C1539/prices!C1538-1</f>
        <v>1.4211627427291651E-2</v>
      </c>
      <c r="D1538" s="5">
        <f>prices!D1539/prices!D1538-1</f>
        <v>1.6748917547371844E-2</v>
      </c>
      <c r="E1538" s="5">
        <f>prices!E1539/prices!E1538-1</f>
        <v>1.2549454759214207E-4</v>
      </c>
      <c r="F1538" s="5">
        <f>prices!F1539/prices!F1538-1</f>
        <v>1.3194974847902108E-2</v>
      </c>
      <c r="G1538" s="5">
        <f>prices!G1539/prices!G1538-1</f>
        <v>1.6147222009509354E-2</v>
      </c>
      <c r="H1538" s="5">
        <f>prices!H1539/prices!H1538-1</f>
        <v>1.6453433945140539E-4</v>
      </c>
      <c r="I1538" s="5">
        <f>prices!I1539/prices!I1538-1</f>
        <v>1.9291990512135815E-2</v>
      </c>
      <c r="J1538" s="5">
        <f>prices!J1539/prices!J1538-1</f>
        <v>1.3188210908592346E-2</v>
      </c>
      <c r="K1538" s="8">
        <f>SUMPRODUCT(B1538:I1538,weights!$B$5:$I$5)</f>
        <v>1.3138682453770374E-2</v>
      </c>
      <c r="L1538" s="4">
        <f t="shared" si="46"/>
        <v>281.3797669098891</v>
      </c>
      <c r="M1538" s="4">
        <f>L1538/MAX(L$2:L1538)-1</f>
        <v>-9.7261581547473996E-2</v>
      </c>
      <c r="N1538" s="4">
        <f t="shared" si="47"/>
        <v>1.3556478621662649E-2</v>
      </c>
    </row>
    <row r="1539" spans="1:14">
      <c r="A1539" s="3">
        <f>prices!A1540</f>
        <v>45741</v>
      </c>
      <c r="B1539" s="5">
        <f>prices!B1540/prices!B1539-1</f>
        <v>-1.2789031333514056E-2</v>
      </c>
      <c r="C1539" s="5">
        <f>prices!C1540/prices!C1539-1</f>
        <v>7.9345018637799747E-3</v>
      </c>
      <c r="D1539" s="5">
        <f>prices!D1540/prices!D1539-1</f>
        <v>1.1916890847690542E-2</v>
      </c>
      <c r="E1539" s="5">
        <f>prices!E1540/prices!E1539-1</f>
        <v>2.241447629111093E-2</v>
      </c>
      <c r="F1539" s="5">
        <f>prices!F1540/prices!F1539-1</f>
        <v>-2.6774109695866244E-3</v>
      </c>
      <c r="G1539" s="5">
        <f>prices!G1540/prices!G1539-1</f>
        <v>-4.4753419448982923E-3</v>
      </c>
      <c r="H1539" s="5">
        <f>prices!H1540/prices!H1539-1</f>
        <v>-1.123187583671803E-2</v>
      </c>
      <c r="I1539" s="5">
        <f>prices!I1540/prices!I1539-1</f>
        <v>-3.5184160687993238E-3</v>
      </c>
      <c r="J1539" s="5">
        <f>prices!J1540/prices!J1539-1</f>
        <v>4.353642582852757E-4</v>
      </c>
      <c r="K1539" s="8">
        <f>SUMPRODUCT(B1539:I1539,weights!$B$5:$I$5)</f>
        <v>-1.6264278540025414E-3</v>
      </c>
      <c r="L1539" s="4">
        <f t="shared" si="46"/>
        <v>280.92212301943408</v>
      </c>
      <c r="M1539" s="4">
        <f>L1539/MAX(L$2:L1539)-1</f>
        <v>-9.872982045612344E-2</v>
      </c>
      <c r="N1539" s="4">
        <f t="shared" si="47"/>
        <v>1.4542523607493196E-2</v>
      </c>
    </row>
    <row r="1540" spans="1:14">
      <c r="A1540" s="3">
        <f>prices!A1541</f>
        <v>45742</v>
      </c>
      <c r="B1540" s="5">
        <f>prices!B1541/prices!B1540-1</f>
        <v>-9.6434512413294815E-3</v>
      </c>
      <c r="C1540" s="5">
        <f>prices!C1541/prices!C1540-1</f>
        <v>-5.9984319332188063E-3</v>
      </c>
      <c r="D1540" s="5">
        <f>prices!D1541/prices!D1540-1</f>
        <v>-8.1791031268383385E-3</v>
      </c>
      <c r="E1540" s="5">
        <f>prices!E1541/prices!E1540-1</f>
        <v>-1.7808466934515099E-2</v>
      </c>
      <c r="F1540" s="5">
        <f>prices!F1541/prices!F1540-1</f>
        <v>-5.9686709933015614E-3</v>
      </c>
      <c r="G1540" s="5">
        <f>prices!G1541/prices!G1540-1</f>
        <v>-1.1340156523923284E-2</v>
      </c>
      <c r="H1540" s="5">
        <f>prices!H1541/prices!H1540-1</f>
        <v>-3.2873600146869908E-3</v>
      </c>
      <c r="I1540" s="5">
        <f>prices!I1541/prices!I1540-1</f>
        <v>-7.1468646913159795E-3</v>
      </c>
      <c r="J1540" s="5">
        <f>prices!J1541/prices!J1540-1</f>
        <v>-7.6810464475161044E-3</v>
      </c>
      <c r="K1540" s="8">
        <f>SUMPRODUCT(B1540:I1540,weights!$B$5:$I$5)</f>
        <v>-8.4787260427827936E-3</v>
      </c>
      <c r="L1540" s="4">
        <f t="shared" ref="L1540:L1603" si="48">L1539*(1+K1540)</f>
        <v>278.5402612989954</v>
      </c>
      <c r="M1540" s="4">
        <f>L1540/MAX(L$2:L1540)-1</f>
        <v>-0.10637144339900562</v>
      </c>
      <c r="N1540" s="4">
        <f t="shared" si="47"/>
        <v>1.6380599015603181E-2</v>
      </c>
    </row>
    <row r="1541" spans="1:14">
      <c r="A1541" s="3">
        <f>prices!A1542</f>
        <v>45743</v>
      </c>
      <c r="B1541" s="5">
        <f>prices!B1542/prices!B1541-1</f>
        <v>4.0486471497047649E-3</v>
      </c>
      <c r="C1541" s="5">
        <f>prices!C1542/prices!C1541-1</f>
        <v>4.2338107486596943E-3</v>
      </c>
      <c r="D1541" s="5">
        <f>prices!D1542/prices!D1541-1</f>
        <v>1.0402290328835662E-2</v>
      </c>
      <c r="E1541" s="5">
        <f>prices!E1542/prices!E1541-1</f>
        <v>2.5648276633105649E-3</v>
      </c>
      <c r="F1541" s="5">
        <f>prices!F1542/prices!F1541-1</f>
        <v>5.1654517803765287E-3</v>
      </c>
      <c r="G1541" s="5">
        <f>prices!G1542/prices!G1541-1</f>
        <v>-1.0527936881102873E-3</v>
      </c>
      <c r="H1541" s="5">
        <f>prices!H1542/prices!H1541-1</f>
        <v>-1.5633364224001411E-2</v>
      </c>
      <c r="I1541" s="5">
        <f>prices!I1542/prices!I1541-1</f>
        <v>1.6488360809003622E-2</v>
      </c>
      <c r="J1541" s="5">
        <f>prices!J1542/prices!J1541-1</f>
        <v>4.4748444342259663E-3</v>
      </c>
      <c r="K1541" s="8">
        <f>SUMPRODUCT(B1541:I1541,weights!$B$5:$I$5)</f>
        <v>2.9951753177918706E-3</v>
      </c>
      <c r="L1541" s="4">
        <f t="shared" si="48"/>
        <v>279.37453821464948</v>
      </c>
      <c r="M1541" s="4">
        <f>L1541/MAX(L$2:L1541)-1</f>
        <v>-0.1036948692030002</v>
      </c>
      <c r="N1541" s="4">
        <f t="shared" si="47"/>
        <v>2.2930198288243941E-2</v>
      </c>
    </row>
    <row r="1542" spans="1:14">
      <c r="A1542" s="3">
        <f>prices!A1543</f>
        <v>45744</v>
      </c>
      <c r="B1542" s="5">
        <f>prices!B1543/prices!B1542-1</f>
        <v>-2.4304404778813238E-3</v>
      </c>
      <c r="C1542" s="5">
        <f>prices!C1543/prices!C1542-1</f>
        <v>-1.2338905524930444E-2</v>
      </c>
      <c r="D1542" s="5">
        <f>prices!D1543/prices!D1542-1</f>
        <v>1.5578258170119152E-3</v>
      </c>
      <c r="E1542" s="5">
        <f>prices!E1543/prices!E1542-1</f>
        <v>-2.0518606466509604E-2</v>
      </c>
      <c r="F1542" s="5">
        <f>prices!F1543/prices!F1542-1</f>
        <v>7.3040302595539508E-4</v>
      </c>
      <c r="G1542" s="5">
        <f>prices!G1543/prices!G1542-1</f>
        <v>-1.7044489523243667E-2</v>
      </c>
      <c r="H1542" s="5">
        <f>prices!H1543/prices!H1542-1</f>
        <v>1.8770283308480185E-3</v>
      </c>
      <c r="I1542" s="5">
        <f>prices!I1543/prices!I1542-1</f>
        <v>-2.6573992414915537E-3</v>
      </c>
      <c r="J1542" s="5">
        <f>prices!J1543/prices!J1542-1</f>
        <v>-3.0773208658039231E-3</v>
      </c>
      <c r="K1542" s="8">
        <f>SUMPRODUCT(B1542:I1542,weights!$B$5:$I$5)</f>
        <v>-6.5083012037291665E-3</v>
      </c>
      <c r="L1542" s="4">
        <f t="shared" si="48"/>
        <v>277.55628457129581</v>
      </c>
      <c r="M1542" s="4">
        <f>L1542/MAX(L$2:L1542)-1</f>
        <v>-0.10952829296467492</v>
      </c>
      <c r="N1542" s="4">
        <f t="shared" si="47"/>
        <v>1.5694437016329221E-2</v>
      </c>
    </row>
    <row r="1543" spans="1:14">
      <c r="A1543" s="3">
        <f>prices!A1544</f>
        <v>45748</v>
      </c>
      <c r="B1543" s="5">
        <f>prices!B1544/prices!B1543-1</f>
        <v>-1.7639893053204458E-2</v>
      </c>
      <c r="C1543" s="5">
        <f>prices!C1544/prices!C1543-1</f>
        <v>-1.5346607022775793E-2</v>
      </c>
      <c r="D1543" s="5">
        <f>prices!D1544/prices!D1543-1</f>
        <v>-3.3001589215874039E-2</v>
      </c>
      <c r="E1543" s="5">
        <f>prices!E1544/prices!E1543-1</f>
        <v>-2.8107608542784268E-2</v>
      </c>
      <c r="F1543" s="5">
        <f>prices!F1544/prices!F1543-1</f>
        <v>-7.5854338816045974E-3</v>
      </c>
      <c r="G1543" s="5">
        <f>prices!G1544/prices!G1543-1</f>
        <v>-3.5629979867866091E-3</v>
      </c>
      <c r="H1543" s="5">
        <f>prices!H1544/prices!H1543-1</f>
        <v>-2.0952981276555982E-2</v>
      </c>
      <c r="I1543" s="5">
        <f>prices!I1544/prices!I1543-1</f>
        <v>-1.5890572469181907E-2</v>
      </c>
      <c r="J1543" s="5">
        <f>prices!J1544/prices!J1543-1</f>
        <v>-1.5036555006834651E-2</v>
      </c>
      <c r="K1543" s="8">
        <f>SUMPRODUCT(B1543:I1543,weights!$B$5:$I$5)</f>
        <v>-1.6046139972868412E-2</v>
      </c>
      <c r="L1543" s="4">
        <f t="shared" si="48"/>
        <v>273.10257757871551</v>
      </c>
      <c r="M1543" s="4">
        <f>L1543/MAX(L$2:L1543)-1</f>
        <v>-0.12381692661764276</v>
      </c>
      <c r="N1543" s="4">
        <f t="shared" si="47"/>
        <v>2.2027597563497592E-2</v>
      </c>
    </row>
    <row r="1544" spans="1:14">
      <c r="A1544" s="3">
        <f>prices!A1545</f>
        <v>45749</v>
      </c>
      <c r="B1544" s="5">
        <f>prices!B1545/prices!B1544-1</f>
        <v>-1.1595323219635301E-3</v>
      </c>
      <c r="C1544" s="5">
        <f>prices!C1545/prices!C1544-1</f>
        <v>-1.9300376208871706E-3</v>
      </c>
      <c r="D1544" s="5">
        <f>prices!D1545/prices!D1544-1</f>
        <v>1.6422868465528095E-2</v>
      </c>
      <c r="E1544" s="5">
        <f>prices!E1545/prices!E1544-1</f>
        <v>1.5490414961204957E-2</v>
      </c>
      <c r="F1544" s="5">
        <f>prices!F1545/prices!F1544-1</f>
        <v>5.9098550115570525E-3</v>
      </c>
      <c r="G1544" s="5">
        <f>prices!G1545/prices!G1544-1</f>
        <v>2.0468234086808312E-2</v>
      </c>
      <c r="H1544" s="5">
        <f>prices!H1545/prices!H1544-1</f>
        <v>9.0076663526998946E-3</v>
      </c>
      <c r="I1544" s="5">
        <f>prices!I1545/prices!I1544-1</f>
        <v>-4.9197683349594401E-3</v>
      </c>
      <c r="J1544" s="5">
        <f>prices!J1545/prices!J1544-1</f>
        <v>7.1938253538634811E-3</v>
      </c>
      <c r="K1544" s="8">
        <f>SUMPRODUCT(B1544:I1544,weights!$B$5:$I$5)</f>
        <v>7.0792478291857378E-3</v>
      </c>
      <c r="L1544" s="4">
        <f t="shared" si="48"/>
        <v>275.03593840818462</v>
      </c>
      <c r="M1544" s="4">
        <f>L1544/MAX(L$2:L1544)-1</f>
        <v>-0.11761420949743162</v>
      </c>
      <c r="N1544" s="4">
        <f t="shared" si="47"/>
        <v>3.3425058526265428E-2</v>
      </c>
    </row>
    <row r="1545" spans="1:14">
      <c r="A1545" s="3">
        <f>prices!A1546</f>
        <v>45750</v>
      </c>
      <c r="B1545" s="5">
        <f>prices!B1546/prices!B1545-1</f>
        <v>-1.9589822966045167E-3</v>
      </c>
      <c r="C1545" s="5">
        <f>prices!C1546/prices!C1545-1</f>
        <v>-3.9728558210935572E-2</v>
      </c>
      <c r="D1545" s="5">
        <f>prices!D1546/prices!D1545-1</f>
        <v>-1.1352690243566776E-3</v>
      </c>
      <c r="E1545" s="5">
        <f>prices!E1546/prices!E1545-1</f>
        <v>-3.4606772070299274E-2</v>
      </c>
      <c r="F1545" s="5">
        <f>prices!F1546/prices!F1545-1</f>
        <v>8.6168629396543572E-4</v>
      </c>
      <c r="G1545" s="5">
        <f>prices!G1546/prices!G1545-1</f>
        <v>-2.3894591909650043E-3</v>
      </c>
      <c r="H1545" s="5">
        <f>prices!H1546/prices!H1545-1</f>
        <v>3.2878994664917949E-2</v>
      </c>
      <c r="I1545" s="5">
        <f>prices!I1546/prices!I1545-1</f>
        <v>7.4504100705752307E-5</v>
      </c>
      <c r="J1545" s="5">
        <f>prices!J1546/prices!J1545-1</f>
        <v>-3.5251485598322141E-3</v>
      </c>
      <c r="K1545" s="8">
        <f>SUMPRODUCT(B1545:I1545,weights!$B$5:$I$5)</f>
        <v>-2.1732360753928203E-3</v>
      </c>
      <c r="L1545" s="4">
        <f t="shared" si="48"/>
        <v>274.43822038480647</v>
      </c>
      <c r="M1545" s="4">
        <f>L1545/MAX(L$2:L1545)-1</f>
        <v>-0.11953184212976564</v>
      </c>
      <c r="N1545" s="4">
        <f t="shared" si="47"/>
        <v>3.5999905006004473E-2</v>
      </c>
    </row>
    <row r="1546" spans="1:14">
      <c r="A1546" s="3">
        <f>prices!A1547</f>
        <v>45751</v>
      </c>
      <c r="B1546" s="5">
        <f>prices!B1547/prices!B1546-1</f>
        <v>-3.5233964184457234E-2</v>
      </c>
      <c r="C1546" s="5">
        <f>prices!C1547/prices!C1546-1</f>
        <v>-3.0488541624713039E-2</v>
      </c>
      <c r="D1546" s="5">
        <f>prices!D1547/prices!D1546-1</f>
        <v>1.2502152574479286E-2</v>
      </c>
      <c r="E1546" s="5">
        <f>prices!E1547/prices!E1546-1</f>
        <v>-2.9971181556196047E-2</v>
      </c>
      <c r="F1546" s="5">
        <f>prices!F1547/prices!F1546-1</f>
        <v>7.3049830420024442E-4</v>
      </c>
      <c r="G1546" s="5">
        <f>prices!G1547/prices!G1546-1</f>
        <v>-1.76336786053084E-2</v>
      </c>
      <c r="H1546" s="5">
        <f>prices!H1547/prices!H1546-1</f>
        <v>-3.4263422223747675E-2</v>
      </c>
      <c r="I1546" s="5">
        <f>prices!I1547/prices!I1546-1</f>
        <v>-4.6782109620146728E-2</v>
      </c>
      <c r="J1546" s="5">
        <f>prices!J1547/prices!J1546-1</f>
        <v>-1.4866602724289302E-2</v>
      </c>
      <c r="K1546" s="8">
        <f>SUMPRODUCT(B1546:I1546,weights!$B$5:$I$5)</f>
        <v>-2.6522338699252496E-2</v>
      </c>
      <c r="L1546" s="4">
        <f t="shared" si="48"/>
        <v>267.15947695174054</v>
      </c>
      <c r="M1546" s="4">
        <f>L1546/MAX(L$2:L1546)-1</f>
        <v>-0.14288391682670687</v>
      </c>
      <c r="N1546" s="4">
        <f t="shared" si="47"/>
        <v>9.9799628379093619E-4</v>
      </c>
    </row>
    <row r="1547" spans="1:14">
      <c r="A1547" s="3">
        <f>prices!A1548</f>
        <v>45754</v>
      </c>
      <c r="B1547" s="5">
        <f>prices!B1548/prices!B1547-1</f>
        <v>-3.2376359480571715E-2</v>
      </c>
      <c r="C1547" s="5">
        <f>prices!C1548/prices!C1547-1</f>
        <v>-7.6820819592504641E-3</v>
      </c>
      <c r="D1547" s="5">
        <f>prices!D1548/prices!D1547-1</f>
        <v>-3.2791346350091954E-2</v>
      </c>
      <c r="E1547" s="5">
        <f>prices!E1548/prices!E1547-1</f>
        <v>-3.7817196353781779E-2</v>
      </c>
      <c r="F1547" s="5">
        <f>prices!F1548/prices!F1547-1</f>
        <v>-8.9160018770528815E-3</v>
      </c>
      <c r="G1547" s="5">
        <f>prices!G1548/prices!G1547-1</f>
        <v>-1.3259696019334744E-2</v>
      </c>
      <c r="H1547" s="5">
        <f>prices!H1548/prices!H1547-1</f>
        <v>-2.5155183851402585E-2</v>
      </c>
      <c r="I1547" s="5">
        <f>prices!I1548/prices!I1547-1</f>
        <v>-5.8784911747603918E-2</v>
      </c>
      <c r="J1547" s="5">
        <f>prices!J1548/prices!J1547-1</f>
        <v>-3.2432562231356932E-2</v>
      </c>
      <c r="K1547" s="8">
        <f>SUMPRODUCT(B1547:I1547,weights!$B$5:$I$5)</f>
        <v>-2.9136211936739223E-2</v>
      </c>
      <c r="L1547" s="4">
        <f t="shared" si="48"/>
        <v>259.37546181036623</v>
      </c>
      <c r="M1547" s="4">
        <f>L1547/MAX(L$2:L1547)-1</f>
        <v>-0.16785703268043173</v>
      </c>
      <c r="N1547" s="4">
        <f t="shared" si="47"/>
        <v>-3.8256556760114635E-2</v>
      </c>
    </row>
    <row r="1548" spans="1:14">
      <c r="A1548" s="3">
        <f>prices!A1549</f>
        <v>45755</v>
      </c>
      <c r="B1548" s="5">
        <f>prices!B1549/prices!B1548-1</f>
        <v>1.4155677845844927E-2</v>
      </c>
      <c r="C1548" s="5">
        <f>prices!C1549/prices!C1548-1</f>
        <v>5.7707418237089581E-3</v>
      </c>
      <c r="D1548" s="5">
        <f>prices!D1549/prices!D1548-1</f>
        <v>6.5180183348574339E-3</v>
      </c>
      <c r="E1548" s="5">
        <f>prices!E1549/prices!E1548-1</f>
        <v>2.2946523379547612E-2</v>
      </c>
      <c r="F1548" s="5">
        <f>prices!F1549/prices!F1548-1</f>
        <v>1.6019570707070718E-2</v>
      </c>
      <c r="G1548" s="5">
        <f>prices!G1549/prices!G1548-1</f>
        <v>1.1399487608801939E-2</v>
      </c>
      <c r="H1548" s="5">
        <f>prices!H1549/prices!H1548-1</f>
        <v>1.3202904274387084E-2</v>
      </c>
      <c r="I1548" s="5">
        <f>prices!I1549/prices!I1548-1</f>
        <v>3.0178627181357554E-2</v>
      </c>
      <c r="J1548" s="5">
        <f>prices!J1549/prices!J1548-1</f>
        <v>1.68873186051548E-2</v>
      </c>
      <c r="K1548" s="8">
        <f>SUMPRODUCT(B1548:I1548,weights!$B$5:$I$5)</f>
        <v>1.6229670303960192E-2</v>
      </c>
      <c r="L1548" s="4">
        <f t="shared" si="48"/>
        <v>263.58504004048586</v>
      </c>
      <c r="M1548" s="4">
        <f>L1548/MAX(L$2:L1548)-1</f>
        <v>-0.15435162667507618</v>
      </c>
      <c r="N1548" s="4">
        <f t="shared" si="47"/>
        <v>-2.3759407383094011E-2</v>
      </c>
    </row>
    <row r="1549" spans="1:14">
      <c r="A1549" s="3">
        <f>prices!A1550</f>
        <v>45756</v>
      </c>
      <c r="B1549" s="5">
        <f>prices!B1550/prices!B1549-1</f>
        <v>2.6619343389531203E-3</v>
      </c>
      <c r="C1549" s="5">
        <f>prices!C1550/prices!C1549-1</f>
        <v>-1.4075127111589092E-2</v>
      </c>
      <c r="D1549" s="5">
        <f>prices!D1550/prices!D1549-1</f>
        <v>-2.3527219362203811E-3</v>
      </c>
      <c r="E1549" s="5">
        <f>prices!E1550/prices!E1549-1</f>
        <v>-1.7565557960451672E-2</v>
      </c>
      <c r="F1549" s="5">
        <f>prices!F1550/prices!F1549-1</f>
        <v>9.0873786407765778E-3</v>
      </c>
      <c r="G1549" s="5">
        <f>prices!G1550/prices!G1549-1</f>
        <v>-1.3097530269101654E-4</v>
      </c>
      <c r="H1549" s="5">
        <f>prices!H1550/prices!H1549-1</f>
        <v>-2.1414264982789422E-2</v>
      </c>
      <c r="I1549" s="5">
        <f>prices!I1550/prices!I1549-1</f>
        <v>-3.3834150116069162E-2</v>
      </c>
      <c r="J1549" s="5">
        <f>prices!J1550/prices!J1549-1</f>
        <v>-6.0658905699140231E-3</v>
      </c>
      <c r="K1549" s="8">
        <f>SUMPRODUCT(B1549:I1549,weights!$B$5:$I$5)</f>
        <v>-1.172116189478715E-2</v>
      </c>
      <c r="L1549" s="4">
        <f t="shared" si="48"/>
        <v>260.49551711312739</v>
      </c>
      <c r="M1549" s="4">
        <f>L1549/MAX(L$2:L1549)-1</f>
        <v>-0.16426360816488095</v>
      </c>
      <c r="N1549" s="4">
        <f t="shared" si="47"/>
        <v>-2.9455850111347992E-2</v>
      </c>
    </row>
    <row r="1550" spans="1:14">
      <c r="A1550" s="3">
        <f>prices!A1551</f>
        <v>45758</v>
      </c>
      <c r="B1550" s="5">
        <f>prices!B1551/prices!B1550-1</f>
        <v>2.8344111640571823E-2</v>
      </c>
      <c r="C1550" s="5">
        <f>prices!C1551/prices!C1550-1</f>
        <v>-4.6504377646723327E-3</v>
      </c>
      <c r="D1550" s="5">
        <f>prices!D1551/prices!D1550-1</f>
        <v>2.3652750537031864E-2</v>
      </c>
      <c r="E1550" s="5">
        <f>prices!E1551/prices!E1550-1</f>
        <v>4.0914813260595206E-3</v>
      </c>
      <c r="F1550" s="5">
        <f>prices!F1551/prices!F1550-1</f>
        <v>1.2597495894909772E-2</v>
      </c>
      <c r="G1550" s="5">
        <f>prices!G1551/prices!G1550-1</f>
        <v>1.2363193079320878E-2</v>
      </c>
      <c r="H1550" s="5">
        <f>prices!H1551/prices!H1550-1</f>
        <v>2.1398763381887065E-2</v>
      </c>
      <c r="I1550" s="5">
        <f>prices!I1551/prices!I1550-1</f>
        <v>2.0235862593687814E-2</v>
      </c>
      <c r="J1550" s="5">
        <f>prices!J1551/prices!J1550-1</f>
        <v>1.91703703042303E-2</v>
      </c>
      <c r="K1550" s="8">
        <f>SUMPRODUCT(B1550:I1550,weights!$B$5:$I$5)</f>
        <v>1.5975365229202596E-2</v>
      </c>
      <c r="L1550" s="4">
        <f t="shared" si="48"/>
        <v>264.65702813957955</v>
      </c>
      <c r="M1550" s="4">
        <f>L1550/MAX(L$2:L1550)-1</f>
        <v>-0.15091241406997913</v>
      </c>
      <c r="N1550" s="4">
        <f t="shared" si="47"/>
        <v>-1.88178305278911E-2</v>
      </c>
    </row>
    <row r="1551" spans="1:14">
      <c r="A1551" s="3">
        <f>prices!A1552</f>
        <v>45762</v>
      </c>
      <c r="B1551" s="5">
        <f>prices!B1552/prices!B1551-1</f>
        <v>1.7351945784478406E-2</v>
      </c>
      <c r="C1551" s="5">
        <f>prices!C1552/prices!C1551-1</f>
        <v>5.1680935477136369E-3</v>
      </c>
      <c r="D1551" s="5">
        <f>prices!D1552/prices!D1551-1</f>
        <v>3.2195889692297142E-2</v>
      </c>
      <c r="E1551" s="5">
        <f>prices!E1552/prices!E1551-1</f>
        <v>1.1746794632595536E-2</v>
      </c>
      <c r="F1551" s="5">
        <f>prices!F1552/prices!F1551-1</f>
        <v>-2.7111257506270414E-3</v>
      </c>
      <c r="G1551" s="5">
        <f>prices!G1552/prices!G1551-1</f>
        <v>2.2066305423228849E-2</v>
      </c>
      <c r="H1551" s="5">
        <f>prices!H1552/prices!H1551-1</f>
        <v>1.0337235044606707E-2</v>
      </c>
      <c r="I1551" s="5">
        <f>prices!I1552/prices!I1551-1</f>
        <v>4.5458411016256139E-2</v>
      </c>
      <c r="J1551" s="5">
        <f>prices!J1552/prices!J1551-1</f>
        <v>2.1902398531663314E-2</v>
      </c>
      <c r="K1551" s="8">
        <f>SUMPRODUCT(B1551:I1551,weights!$B$5:$I$5)</f>
        <v>2.0628473900654962E-2</v>
      </c>
      <c r="L1551" s="4">
        <f t="shared" si="48"/>
        <v>270.11649873718181</v>
      </c>
      <c r="M1551" s="4">
        <f>L1551/MAX(L$2:L1551)-1</f>
        <v>-0.13339703296425143</v>
      </c>
      <c r="N1551" s="4">
        <f t="shared" si="47"/>
        <v>1.586396543367119E-3</v>
      </c>
    </row>
    <row r="1552" spans="1:14">
      <c r="A1552" s="3">
        <f>prices!A1553</f>
        <v>45763</v>
      </c>
      <c r="B1552" s="5">
        <f>prices!B1553/prices!B1552-1</f>
        <v>-6.4254806910235551E-4</v>
      </c>
      <c r="C1552" s="5">
        <f>prices!C1553/prices!C1552-1</f>
        <v>7.8810698519864442E-3</v>
      </c>
      <c r="D1552" s="5">
        <f>prices!D1553/prices!D1552-1</f>
        <v>7.0161869509972608E-3</v>
      </c>
      <c r="E1552" s="5">
        <f>prices!E1553/prices!E1552-1</f>
        <v>-9.0508084503717612E-3</v>
      </c>
      <c r="F1552" s="5">
        <f>prices!F1553/prices!F1552-1</f>
        <v>9.6290650406503087E-3</v>
      </c>
      <c r="G1552" s="5">
        <f>prices!G1553/prices!G1552-1</f>
        <v>-1.6111682864758503E-2</v>
      </c>
      <c r="H1552" s="5">
        <f>prices!H1553/prices!H1552-1</f>
        <v>-6.9773518129238044E-3</v>
      </c>
      <c r="I1552" s="5">
        <f>prices!I1553/prices!I1552-1</f>
        <v>-9.1794210770020923E-3</v>
      </c>
      <c r="J1552" s="5">
        <f>prices!J1553/prices!J1552-1</f>
        <v>4.6573833350123106E-3</v>
      </c>
      <c r="K1552" s="8">
        <f>SUMPRODUCT(B1552:I1552,weights!$B$5:$I$5)</f>
        <v>-4.8227838518985653E-3</v>
      </c>
      <c r="L1552" s="4">
        <f t="shared" si="48"/>
        <v>268.81378524894075</v>
      </c>
      <c r="M1552" s="4">
        <f>L1552/MAX(L$2:L1552)-1</f>
        <v>-0.1375764717596788</v>
      </c>
      <c r="N1552" s="4">
        <f t="shared" si="47"/>
        <v>3.2449013542823479E-4</v>
      </c>
    </row>
    <row r="1553" spans="1:14">
      <c r="A1553" s="3">
        <f>prices!A1554</f>
        <v>45764</v>
      </c>
      <c r="B1553" s="5">
        <f>prices!B1554/prices!B1553-1</f>
        <v>2.8404235405187439E-2</v>
      </c>
      <c r="C1553" s="5">
        <f>prices!C1554/prices!C1553-1</f>
        <v>7.6680794053616275E-3</v>
      </c>
      <c r="D1553" s="5">
        <f>prices!D1554/prices!D1553-1</f>
        <v>1.5284178187404018E-2</v>
      </c>
      <c r="E1553" s="5">
        <f>prices!E1554/prices!E1553-1</f>
        <v>4.5332400384097138E-3</v>
      </c>
      <c r="F1553" s="5">
        <f>prices!F1554/prices!F1553-1</f>
        <v>6.5930194519239205E-3</v>
      </c>
      <c r="G1553" s="5">
        <f>prices!G1554/prices!G1553-1</f>
        <v>2.6583522767555934E-3</v>
      </c>
      <c r="H1553" s="5">
        <f>prices!H1554/prices!H1553-1</f>
        <v>3.4492037769020545E-2</v>
      </c>
      <c r="I1553" s="5">
        <f>prices!I1554/prices!I1553-1</f>
        <v>6.0721074601981506E-3</v>
      </c>
      <c r="J1553" s="5">
        <f>prices!J1554/prices!J1553-1</f>
        <v>1.7683426347857356E-2</v>
      </c>
      <c r="K1553" s="8">
        <f>SUMPRODUCT(B1553:I1553,weights!$B$5:$I$5)</f>
        <v>1.3275858510300467E-2</v>
      </c>
      <c r="L1553" s="4">
        <f t="shared" si="48"/>
        <v>272.38251902752398</v>
      </c>
      <c r="M1553" s="4">
        <f>L1553/MAX(L$2:L1553)-1</f>
        <v>-0.12612705902280619</v>
      </c>
      <c r="N1553" s="4">
        <f t="shared" si="47"/>
        <v>1.3291641984550795E-2</v>
      </c>
    </row>
    <row r="1554" spans="1:14">
      <c r="A1554" s="3">
        <f>prices!A1555</f>
        <v>45768</v>
      </c>
      <c r="B1554" s="5">
        <f>prices!B1555/prices!B1554-1</f>
        <v>1.6476863539597542E-2</v>
      </c>
      <c r="C1554" s="5">
        <f>prices!C1555/prices!C1554-1</f>
        <v>6.8810344882690444E-3</v>
      </c>
      <c r="D1554" s="5">
        <f>prices!D1555/prices!D1554-1</f>
        <v>1.069888580290268E-2</v>
      </c>
      <c r="E1554" s="5">
        <f>prices!E1555/prices!E1554-1</f>
        <v>2.2185994812893739E-2</v>
      </c>
      <c r="F1554" s="5">
        <f>prices!F1555/prices!F1554-1</f>
        <v>-1.0299742506437393E-2</v>
      </c>
      <c r="G1554" s="5">
        <f>prices!G1555/prices!G1554-1</f>
        <v>4.2750861215530289E-3</v>
      </c>
      <c r="H1554" s="5">
        <f>prices!H1555/prices!H1554-1</f>
        <v>-3.7688950547704048E-3</v>
      </c>
      <c r="I1554" s="5">
        <f>prices!I1555/prices!I1554-1</f>
        <v>1.0225443086840924E-2</v>
      </c>
      <c r="J1554" s="5">
        <f>prices!J1555/prices!J1554-1</f>
        <v>1.1483482274811108E-2</v>
      </c>
      <c r="K1554" s="8">
        <f>SUMPRODUCT(B1554:I1554,weights!$B$5:$I$5)</f>
        <v>6.7929840817216331E-3</v>
      </c>
      <c r="L1554" s="4">
        <f t="shared" si="48"/>
        <v>274.23280914341717</v>
      </c>
      <c r="M1554" s="4">
        <f>L1554/MAX(L$2:L1554)-1</f>
        <v>-0.12019085404530094</v>
      </c>
      <c r="N1554" s="4">
        <f t="shared" si="47"/>
        <v>1.9933768690071796E-2</v>
      </c>
    </row>
    <row r="1555" spans="1:14">
      <c r="A1555" s="3">
        <f>prices!A1556</f>
        <v>45769</v>
      </c>
      <c r="B1555" s="5">
        <f>prices!B1556/prices!B1555-1</f>
        <v>-3.3244836150450041E-3</v>
      </c>
      <c r="C1555" s="5">
        <f>prices!C1556/prices!C1555-1</f>
        <v>-2.167964906266473E-3</v>
      </c>
      <c r="D1555" s="5">
        <f>prices!D1556/prices!D1555-1</f>
        <v>1.795280305379432E-2</v>
      </c>
      <c r="E1555" s="5">
        <f>prices!E1556/prices!E1555-1</f>
        <v>-1.9435423070231383E-2</v>
      </c>
      <c r="F1555" s="5">
        <f>prices!F1556/prices!F1555-1</f>
        <v>2.5436358584455254E-2</v>
      </c>
      <c r="G1555" s="5">
        <f>prices!G1556/prices!G1555-1</f>
        <v>-9.3708899129052448E-4</v>
      </c>
      <c r="H1555" s="5">
        <f>prices!H1556/prices!H1555-1</f>
        <v>1.433188467184543E-3</v>
      </c>
      <c r="I1555" s="5">
        <f>prices!I1556/prices!I1555-1</f>
        <v>-6.9188349514562875E-3</v>
      </c>
      <c r="J1555" s="5">
        <f>prices!J1556/prices!J1555-1</f>
        <v>1.7284580040661801E-3</v>
      </c>
      <c r="K1555" s="8">
        <f>SUMPRODUCT(B1555:I1555,weights!$B$5:$I$5)</f>
        <v>-1.2815873788390476E-4</v>
      </c>
      <c r="L1555" s="4">
        <f t="shared" si="48"/>
        <v>274.19766381271103</v>
      </c>
      <c r="M1555" s="4">
        <f>L1555/MAX(L$2:L1555)-1</f>
        <v>-0.12030360927502504</v>
      </c>
      <c r="N1555" s="4">
        <f t="shared" si="47"/>
        <v>6.2484377547673553E-3</v>
      </c>
    </row>
    <row r="1556" spans="1:14">
      <c r="A1556" s="3">
        <f>prices!A1557</f>
        <v>45770</v>
      </c>
      <c r="B1556" s="5">
        <f>prices!B1557/prices!B1556-1</f>
        <v>6.8195666099017949E-3</v>
      </c>
      <c r="C1556" s="5">
        <f>prices!C1557/prices!C1556-1</f>
        <v>2.974942661097657E-2</v>
      </c>
      <c r="D1556" s="5">
        <f>prices!D1557/prices!D1556-1</f>
        <v>-1.926430117014355E-2</v>
      </c>
      <c r="E1556" s="5">
        <f>prices!E1557/prices!E1556-1</f>
        <v>3.6617552471851056E-2</v>
      </c>
      <c r="F1556" s="5">
        <f>prices!F1557/prices!F1556-1</f>
        <v>-6.3553059414720448E-3</v>
      </c>
      <c r="G1556" s="5">
        <f>prices!G1557/prices!G1556-1</f>
        <v>1.4743846869336164E-2</v>
      </c>
      <c r="H1556" s="5">
        <f>prices!H1557/prices!H1556-1</f>
        <v>2.3691986789501129E-2</v>
      </c>
      <c r="I1556" s="5">
        <f>prices!I1557/prices!I1556-1</f>
        <v>1.3258334167584485E-2</v>
      </c>
      <c r="J1556" s="5">
        <f>prices!J1557/prices!J1556-1</f>
        <v>6.6908729789281196E-3</v>
      </c>
      <c r="K1556" s="8">
        <f>SUMPRODUCT(B1556:I1556,weights!$B$5:$I$5)</f>
        <v>1.3670808207841067E-2</v>
      </c>
      <c r="L1556" s="4">
        <f t="shared" si="48"/>
        <v>277.9461674857327</v>
      </c>
      <c r="M1556" s="4">
        <f>L1556/MAX(L$2:L1556)-1</f>
        <v>-0.10827744863629385</v>
      </c>
      <c r="N1556" s="4">
        <f t="shared" si="47"/>
        <v>7.8718170042548774E-3</v>
      </c>
    </row>
    <row r="1557" spans="1:14">
      <c r="A1557" s="3">
        <f>prices!A1558</f>
        <v>45771</v>
      </c>
      <c r="B1557" s="5">
        <f>prices!B1558/prices!B1557-1</f>
        <v>1.2336387688440809E-3</v>
      </c>
      <c r="C1557" s="5">
        <f>prices!C1558/prices!C1557-1</f>
        <v>-3.3393984140174249E-3</v>
      </c>
      <c r="D1557" s="5">
        <f>prices!D1558/prices!D1557-1</f>
        <v>-3.6950561220117084E-3</v>
      </c>
      <c r="E1557" s="5">
        <f>prices!E1558/prices!E1557-1</f>
        <v>-2.3677754321904665E-3</v>
      </c>
      <c r="F1557" s="5">
        <f>prices!F1558/prices!F1557-1</f>
        <v>-1.8592890078833468E-3</v>
      </c>
      <c r="G1557" s="5">
        <f>prices!G1558/prices!G1557-1</f>
        <v>-1.0915439215665179E-3</v>
      </c>
      <c r="H1557" s="5">
        <f>prices!H1558/prices!H1557-1</f>
        <v>8.4446934836626131E-3</v>
      </c>
      <c r="I1557" s="5">
        <f>prices!I1558/prices!I1557-1</f>
        <v>-1.2041273781526751E-4</v>
      </c>
      <c r="J1557" s="5">
        <f>prices!J1558/prices!J1557-1</f>
        <v>-3.380745983694311E-3</v>
      </c>
      <c r="K1557" s="8">
        <f>SUMPRODUCT(B1557:I1557,weights!$B$5:$I$5)</f>
        <v>2.7081086018457571E-4</v>
      </c>
      <c r="L1557" s="4">
        <f t="shared" si="48"/>
        <v>278.02143832643452</v>
      </c>
      <c r="M1557" s="4">
        <f>L1557/MAX(L$2:L1557)-1</f>
        <v>-0.1080359604851131</v>
      </c>
      <c r="N1557" s="4">
        <f t="shared" si="47"/>
        <v>1.0466524060748217E-3</v>
      </c>
    </row>
    <row r="1558" spans="1:14">
      <c r="A1558" s="3">
        <f>prices!A1559</f>
        <v>45772</v>
      </c>
      <c r="B1558" s="5">
        <f>prices!B1559/prices!B1558-1</f>
        <v>-9.2215179083432464E-4</v>
      </c>
      <c r="C1558" s="5">
        <f>prices!C1559/prices!C1558-1</f>
        <v>1.3637913399249912E-2</v>
      </c>
      <c r="D1558" s="5">
        <f>prices!D1559/prices!D1558-1</f>
        <v>-2.9240080410221081E-3</v>
      </c>
      <c r="E1558" s="5">
        <f>prices!E1559/prices!E1558-1</f>
        <v>5.9763804294987732E-3</v>
      </c>
      <c r="F1558" s="5">
        <f>prices!F1559/prices!F1558-1</f>
        <v>-5.2157067282617708E-3</v>
      </c>
      <c r="G1558" s="5">
        <f>prices!G1559/prices!G1558-1</f>
        <v>-1.6479465048306108E-2</v>
      </c>
      <c r="H1558" s="5">
        <f>prices!H1559/prices!H1558-1</f>
        <v>-9.1485146292045183E-3</v>
      </c>
      <c r="I1558" s="5">
        <f>prices!I1559/prices!I1558-1</f>
        <v>-8.6337066577734101E-3</v>
      </c>
      <c r="J1558" s="5">
        <f>prices!J1559/prices!J1558-1</f>
        <v>-8.5516791975815964E-3</v>
      </c>
      <c r="K1558" s="8">
        <f>SUMPRODUCT(B1558:I1558,weights!$B$5:$I$5)</f>
        <v>-5.351037233599895E-3</v>
      </c>
      <c r="L1558" s="4">
        <f t="shared" si="48"/>
        <v>276.53373525821075</v>
      </c>
      <c r="M1558" s="4">
        <f>L1558/MAX(L$2:L1558)-1</f>
        <v>-0.11280889327158949</v>
      </c>
      <c r="N1558" s="4">
        <f t="shared" si="47"/>
        <v>-1.7222388464165128E-2</v>
      </c>
    </row>
    <row r="1559" spans="1:14">
      <c r="A1559" s="3">
        <f>prices!A1560</f>
        <v>45775</v>
      </c>
      <c r="B1559" s="5">
        <f>prices!B1560/prices!B1559-1</f>
        <v>5.259565490548912E-2</v>
      </c>
      <c r="C1559" s="5">
        <f>prices!C1560/prices!C1559-1</f>
        <v>-1.3026327859829712E-3</v>
      </c>
      <c r="D1559" s="5">
        <f>prices!D1560/prices!D1559-1</f>
        <v>4.7115394982264469E-3</v>
      </c>
      <c r="E1559" s="5">
        <f>prices!E1560/prices!E1559-1</f>
        <v>1.2862421830586168E-3</v>
      </c>
      <c r="F1559" s="5">
        <f>prices!F1560/prices!F1559-1</f>
        <v>2.3219234514268994E-3</v>
      </c>
      <c r="G1559" s="5">
        <f>prices!G1560/prices!G1559-1</f>
        <v>1.2651786968903789E-2</v>
      </c>
      <c r="H1559" s="5">
        <f>prices!H1560/prices!H1559-1</f>
        <v>3.0321568360890616E-2</v>
      </c>
      <c r="I1559" s="5">
        <f>prices!I1560/prices!I1559-1</f>
        <v>1.6869593927444582E-2</v>
      </c>
      <c r="J1559" s="5">
        <f>prices!J1560/prices!J1559-1</f>
        <v>1.2028195437896683E-2</v>
      </c>
      <c r="K1559" s="8">
        <f>SUMPRODUCT(B1559:I1559,weights!$B$5:$I$5)</f>
        <v>1.7589710706161454E-2</v>
      </c>
      <c r="L1559" s="4">
        <f t="shared" si="48"/>
        <v>281.39788366189697</v>
      </c>
      <c r="M1559" s="4">
        <f>L1559/MAX(L$2:L1559)-1</f>
        <v>-9.7203458363157358E-2</v>
      </c>
      <c r="N1559" s="4">
        <f t="shared" ref="N1559:N1622" si="49">L1559/L1539-1</f>
        <v>1.6935677309757313E-3</v>
      </c>
    </row>
    <row r="1560" spans="1:14">
      <c r="A1560" s="3">
        <f>prices!A1561</f>
        <v>45776</v>
      </c>
      <c r="B1560" s="5">
        <f>prices!B1561/prices!B1560-1</f>
        <v>2.2577887817962106E-2</v>
      </c>
      <c r="C1560" s="5">
        <f>prices!C1561/prices!C1560-1</f>
        <v>8.4199826089086383E-3</v>
      </c>
      <c r="D1560" s="5">
        <f>prices!D1561/prices!D1560-1</f>
        <v>-5.9342404601450127E-3</v>
      </c>
      <c r="E1560" s="5">
        <f>prices!E1561/prices!E1560-1</f>
        <v>1.0390274022185952E-2</v>
      </c>
      <c r="F1560" s="5">
        <f>prices!F1561/prices!F1560-1</f>
        <v>-6.5261794450256483E-3</v>
      </c>
      <c r="G1560" s="5">
        <f>prices!G1561/prices!G1560-1</f>
        <v>-4.2145616985111989E-4</v>
      </c>
      <c r="H1560" s="5">
        <f>prices!H1561/prices!H1560-1</f>
        <v>-1.9599327080607409E-2</v>
      </c>
      <c r="I1560" s="5">
        <f>prices!I1561/prices!I1560-1</f>
        <v>-1.5039804941999746E-3</v>
      </c>
      <c r="J1560" s="5">
        <f>prices!J1561/prices!J1560-1</f>
        <v>3.0622520911682827E-4</v>
      </c>
      <c r="K1560" s="8">
        <f>SUMPRODUCT(B1560:I1560,weights!$B$5:$I$5)</f>
        <v>1.724602030901534E-4</v>
      </c>
      <c r="L1560" s="4">
        <f t="shared" si="48"/>
        <v>281.44641359806246</v>
      </c>
      <c r="M1560" s="4">
        <f>L1560/MAX(L$2:L1560)-1</f>
        <v>-9.7047761888237494E-2</v>
      </c>
      <c r="N1560" s="4">
        <f t="shared" si="49"/>
        <v>1.0433508913626932E-2</v>
      </c>
    </row>
    <row r="1561" spans="1:14">
      <c r="A1561" s="3">
        <f>prices!A1562</f>
        <v>45777</v>
      </c>
      <c r="B1561" s="5">
        <f>prices!B1562/prices!B1561-1</f>
        <v>3.7831839275934698E-3</v>
      </c>
      <c r="C1561" s="5">
        <f>prices!C1562/prices!C1561-1</f>
        <v>-5.4136278897477519E-3</v>
      </c>
      <c r="D1561" s="5">
        <f>prices!D1562/prices!D1561-1</f>
        <v>8.4849139094294035E-3</v>
      </c>
      <c r="E1561" s="5">
        <f>prices!E1562/prices!E1561-1</f>
        <v>1.7349769957502037E-3</v>
      </c>
      <c r="F1561" s="5">
        <f>prices!F1562/prices!F1561-1</f>
        <v>-4.7638150636841736E-4</v>
      </c>
      <c r="G1561" s="5">
        <f>prices!G1562/prices!G1561-1</f>
        <v>3.5131844652492639E-2</v>
      </c>
      <c r="H1561" s="5">
        <f>prices!H1562/prices!H1561-1</f>
        <v>1.4843351333770682E-2</v>
      </c>
      <c r="I1561" s="5">
        <f>prices!I1562/prices!I1561-1</f>
        <v>5.6292487790512435E-3</v>
      </c>
      <c r="J1561" s="5">
        <f>prices!J1562/prices!J1561-1</f>
        <v>-7.1910075423398112E-5</v>
      </c>
      <c r="K1561" s="8">
        <f>SUMPRODUCT(B1561:I1561,weights!$B$5:$I$5)</f>
        <v>1.0921054959332301E-2</v>
      </c>
      <c r="L1561" s="4">
        <f t="shared" si="48"/>
        <v>284.5201053490739</v>
      </c>
      <c r="M1561" s="4">
        <f>L1561/MAX(L$2:L1561)-1</f>
        <v>-8.7186570870166791E-2</v>
      </c>
      <c r="N1561" s="4">
        <f t="shared" si="49"/>
        <v>1.8418167837725319E-2</v>
      </c>
    </row>
    <row r="1562" spans="1:14">
      <c r="A1562" s="3">
        <f>prices!A1563</f>
        <v>45779</v>
      </c>
      <c r="B1562" s="5">
        <f>prices!B1563/prices!B1562-1</f>
        <v>1.053145437446612E-2</v>
      </c>
      <c r="C1562" s="5">
        <f>prices!C1563/prices!C1562-1</f>
        <v>-6.5726208974543621E-3</v>
      </c>
      <c r="D1562" s="5">
        <f>prices!D1563/prices!D1562-1</f>
        <v>-1.6056347073998278E-3</v>
      </c>
      <c r="E1562" s="5">
        <f>prices!E1563/prices!E1562-1</f>
        <v>4.5367851232716028E-3</v>
      </c>
      <c r="F1562" s="5">
        <f>prices!F1563/prices!F1562-1</f>
        <v>8.7043772732975366E-3</v>
      </c>
      <c r="G1562" s="5">
        <f>prices!G1563/prices!G1562-1</f>
        <v>1.2074777658662494E-2</v>
      </c>
      <c r="H1562" s="5">
        <f>prices!H1563/prices!H1562-1</f>
        <v>-4.2049774555741326E-3</v>
      </c>
      <c r="I1562" s="5">
        <f>prices!I1563/prices!I1562-1</f>
        <v>-1.8272724222189174E-3</v>
      </c>
      <c r="J1562" s="5">
        <f>prices!J1563/prices!J1562-1</f>
        <v>5.1368033467302787E-4</v>
      </c>
      <c r="K1562" s="8">
        <f>SUMPRODUCT(B1562:I1562,weights!$B$5:$I$5)</f>
        <v>3.1094207242993721E-3</v>
      </c>
      <c r="L1562" s="4">
        <f t="shared" si="48"/>
        <v>285.40479806112614</v>
      </c>
      <c r="M1562" s="4">
        <f>L1562/MAX(L$2:L1562)-1</f>
        <v>-8.4348249876211701E-2</v>
      </c>
      <c r="N1562" s="4">
        <f t="shared" si="49"/>
        <v>2.8277196107999725E-2</v>
      </c>
    </row>
    <row r="1563" spans="1:14">
      <c r="A1563" s="3">
        <f>prices!A1564</f>
        <v>45782</v>
      </c>
      <c r="B1563" s="5">
        <f>prices!B1564/prices!B1563-1</f>
        <v>8.1057656787246746E-3</v>
      </c>
      <c r="C1563" s="5">
        <f>prices!C1564/prices!C1563-1</f>
        <v>6.7912653879012019E-3</v>
      </c>
      <c r="D1563" s="5">
        <f>prices!D1564/prices!D1563-1</f>
        <v>7.7516055365547398E-3</v>
      </c>
      <c r="E1563" s="5">
        <f>prices!E1564/prices!E1563-1</f>
        <v>1.1238386419003543E-3</v>
      </c>
      <c r="F1563" s="5">
        <f>prices!F1564/prices!F1563-1</f>
        <v>1.7333134387744975E-2</v>
      </c>
      <c r="G1563" s="5">
        <f>prices!G1564/prices!G1563-1</f>
        <v>4.2723752381657043E-3</v>
      </c>
      <c r="H1563" s="5">
        <f>prices!H1564/prices!H1563-1</f>
        <v>6.5810282162972467E-3</v>
      </c>
      <c r="I1563" s="5">
        <f>prices!I1564/prices!I1563-1</f>
        <v>-1.4088725352370268E-3</v>
      </c>
      <c r="J1563" s="5">
        <f>prices!J1564/prices!J1563-1</f>
        <v>4.7008424139616256E-3</v>
      </c>
      <c r="K1563" s="8">
        <f>SUMPRODUCT(B1563:I1563,weights!$B$5:$I$5)</f>
        <v>5.2943635972014296E-3</v>
      </c>
      <c r="L1563" s="4">
        <f t="shared" si="48"/>
        <v>286.91583483444759</v>
      </c>
      <c r="M1563" s="4">
        <f>L1563/MAX(L$2:L1563)-1</f>
        <v>-7.9500456582642487E-2</v>
      </c>
      <c r="N1563" s="4">
        <f t="shared" si="49"/>
        <v>5.0579007266054576E-2</v>
      </c>
    </row>
    <row r="1564" spans="1:14">
      <c r="A1564" s="3">
        <f>prices!A1565</f>
        <v>45783</v>
      </c>
      <c r="B1564" s="5">
        <f>prices!B1565/prices!B1564-1</f>
        <v>-7.2724710193439179E-3</v>
      </c>
      <c r="C1564" s="5">
        <f>prices!C1565/prices!C1564-1</f>
        <v>1.6512630178129317E-3</v>
      </c>
      <c r="D1564" s="5">
        <f>prices!D1565/prices!D1564-1</f>
        <v>-2.6384662850820195E-3</v>
      </c>
      <c r="E1564" s="5">
        <f>prices!E1565/prices!E1564-1</f>
        <v>1.9244177938919638E-3</v>
      </c>
      <c r="F1564" s="5">
        <f>prices!F1565/prices!F1564-1</f>
        <v>-3.202229338287399E-3</v>
      </c>
      <c r="G1564" s="5">
        <f>prices!G1565/prices!G1564-1</f>
        <v>9.8729230965919346E-3</v>
      </c>
      <c r="H1564" s="5">
        <f>prices!H1565/prices!H1564-1</f>
        <v>-9.5313697278405218E-3</v>
      </c>
      <c r="I1564" s="5">
        <f>prices!I1565/prices!I1564-1</f>
        <v>1.1415420304756729E-3</v>
      </c>
      <c r="J1564" s="5">
        <f>prices!J1565/prices!J1564-1</f>
        <v>-3.3338579747886898E-3</v>
      </c>
      <c r="K1564" s="8">
        <f>SUMPRODUCT(B1564:I1564,weights!$B$5:$I$5)</f>
        <v>-3.7519259018043994E-4</v>
      </c>
      <c r="L1564" s="4">
        <f t="shared" si="48"/>
        <v>286.80818613921224</v>
      </c>
      <c r="M1564" s="4">
        <f>L1564/MAX(L$2:L1564)-1</f>
        <v>-7.9845821190597355E-2</v>
      </c>
      <c r="N1564" s="4">
        <f t="shared" si="49"/>
        <v>4.2802579907053051E-2</v>
      </c>
    </row>
    <row r="1565" spans="1:14">
      <c r="A1565" s="3">
        <f>prices!A1566</f>
        <v>45784</v>
      </c>
      <c r="B1565" s="5">
        <f>prices!B1566/prices!B1565-1</f>
        <v>-1.0484620899675612E-2</v>
      </c>
      <c r="C1565" s="5">
        <f>prices!C1566/prices!C1565-1</f>
        <v>-4.3087555497319796E-3</v>
      </c>
      <c r="D1565" s="5">
        <f>prices!D1566/prices!D1565-1</f>
        <v>7.200307213107715E-3</v>
      </c>
      <c r="E1565" s="5">
        <f>prices!E1566/prices!E1565-1</f>
        <v>-2.1155773299187386E-3</v>
      </c>
      <c r="F1565" s="5">
        <f>prices!F1566/prices!F1565-1</f>
        <v>-1.0103487174456638E-2</v>
      </c>
      <c r="G1565" s="5">
        <f>prices!G1566/prices!G1565-1</f>
        <v>4.1330798139667113E-3</v>
      </c>
      <c r="H1565" s="5">
        <f>prices!H1566/prices!H1565-1</f>
        <v>-2.0776748742152296E-2</v>
      </c>
      <c r="I1565" s="5">
        <f>prices!I1566/prices!I1565-1</f>
        <v>-3.7783837321626601E-3</v>
      </c>
      <c r="J1565" s="5">
        <f>prices!J1566/prices!J1565-1</f>
        <v>1.4274229273656402E-3</v>
      </c>
      <c r="K1565" s="8">
        <f>SUMPRODUCT(B1565:I1565,weights!$B$5:$I$5)</f>
        <v>-5.2762600657305396E-3</v>
      </c>
      <c r="L1565" s="4">
        <f t="shared" si="48"/>
        <v>285.29491156016127</v>
      </c>
      <c r="M1565" s="4">
        <f>L1565/MAX(L$2:L1565)-1</f>
        <v>-8.4700793938564556E-2</v>
      </c>
      <c r="N1565" s="4">
        <f t="shared" si="49"/>
        <v>3.9559690921082247E-2</v>
      </c>
    </row>
    <row r="1566" spans="1:14">
      <c r="A1566" s="3">
        <f>prices!A1567</f>
        <v>45785</v>
      </c>
      <c r="B1566" s="5">
        <f>prices!B1567/prices!B1566-1</f>
        <v>7.1020689259371217E-4</v>
      </c>
      <c r="C1566" s="5">
        <f>prices!C1567/prices!C1566-1</f>
        <v>1.1048032929870111E-3</v>
      </c>
      <c r="D1566" s="5">
        <f>prices!D1567/prices!D1566-1</f>
        <v>-8.7904173859629786E-3</v>
      </c>
      <c r="E1566" s="5">
        <f>prices!E1567/prices!E1566-1</f>
        <v>2.0503235884845594E-3</v>
      </c>
      <c r="F1566" s="5">
        <f>prices!F1567/prices!F1566-1</f>
        <v>-1.2634395283159794E-3</v>
      </c>
      <c r="G1566" s="5">
        <f>prices!G1567/prices!G1566-1</f>
        <v>-1.907631333515436E-2</v>
      </c>
      <c r="H1566" s="5">
        <f>prices!H1567/prices!H1566-1</f>
        <v>-7.9175168666413276E-3</v>
      </c>
      <c r="I1566" s="5">
        <f>prices!I1567/prices!I1566-1</f>
        <v>7.5179202670860867E-4</v>
      </c>
      <c r="J1566" s="5">
        <f>prices!J1567/prices!J1566-1</f>
        <v>-5.758896389016388E-3</v>
      </c>
      <c r="K1566" s="8">
        <f>SUMPRODUCT(B1566:I1566,weights!$B$5:$I$5)</f>
        <v>-5.1521840810228297E-3</v>
      </c>
      <c r="L1566" s="4">
        <f t="shared" si="48"/>
        <v>283.8250196584242</v>
      </c>
      <c r="M1566" s="4">
        <f>L1566/MAX(L$2:L1566)-1</f>
        <v>-8.9416583937407035E-2</v>
      </c>
      <c r="N1566" s="4">
        <f t="shared" si="49"/>
        <v>6.2380503573504553E-2</v>
      </c>
    </row>
    <row r="1567" spans="1:14">
      <c r="A1567" s="3">
        <f>prices!A1568</f>
        <v>45786</v>
      </c>
      <c r="B1567" s="5">
        <f>prices!B1568/prices!B1567-1</f>
        <v>-2.117638625040319E-2</v>
      </c>
      <c r="C1567" s="5">
        <f>prices!C1568/prices!C1567-1</f>
        <v>-2.4945279350444549E-3</v>
      </c>
      <c r="D1567" s="5">
        <f>prices!D1568/prices!D1567-1</f>
        <v>-2.0119455930591501E-2</v>
      </c>
      <c r="E1567" s="5">
        <f>prices!E1568/prices!E1567-1</f>
        <v>-2.5124229222053263E-3</v>
      </c>
      <c r="F1567" s="5">
        <f>prices!F1568/prices!F1567-1</f>
        <v>-1.6371077762619257E-2</v>
      </c>
      <c r="G1567" s="5">
        <f>prices!G1568/prices!G1567-1</f>
        <v>-1.1459601793461838E-2</v>
      </c>
      <c r="H1567" s="5">
        <f>prices!H1568/prices!H1567-1</f>
        <v>-1.2672877063925947E-2</v>
      </c>
      <c r="I1567" s="5">
        <f>prices!I1568/prices!I1567-1</f>
        <v>3.6101835754124956E-2</v>
      </c>
      <c r="J1567" s="5">
        <f>prices!J1568/prices!J1567-1</f>
        <v>-1.0950077861727414E-2</v>
      </c>
      <c r="K1567" s="8">
        <f>SUMPRODUCT(B1567:I1567,weights!$B$5:$I$5)</f>
        <v>-3.0193525793427052E-3</v>
      </c>
      <c r="L1567" s="4">
        <f t="shared" si="48"/>
        <v>282.96805185323655</v>
      </c>
      <c r="M1567" s="4">
        <f>L1567/MAX(L$2:L1567)-1</f>
        <v>-9.2165956323402298E-2</v>
      </c>
      <c r="N1567" s="4">
        <f t="shared" si="49"/>
        <v>9.0959221347311825E-2</v>
      </c>
    </row>
    <row r="1568" spans="1:14">
      <c r="A1568" s="3">
        <f>prices!A1569</f>
        <v>45789</v>
      </c>
      <c r="B1568" s="5">
        <f>prices!B1569/prices!B1568-1</f>
        <v>4.3056664298635638E-2</v>
      </c>
      <c r="C1568" s="5">
        <f>prices!C1569/prices!C1568-1</f>
        <v>5.2350597609561733E-2</v>
      </c>
      <c r="D1568" s="5">
        <f>prices!D1569/prices!D1568-1</f>
        <v>3.5722074410084126E-2</v>
      </c>
      <c r="E1568" s="5">
        <f>prices!E1569/prices!E1568-1</f>
        <v>7.9134833420547723E-2</v>
      </c>
      <c r="F1568" s="5">
        <f>prices!F1569/prices!F1568-1</f>
        <v>2.8218383558189286E-2</v>
      </c>
      <c r="G1568" s="5">
        <f>prices!G1569/prices!G1568-1</f>
        <v>2.9877491284203694E-2</v>
      </c>
      <c r="H1568" s="5">
        <f>prices!H1569/prices!H1568-1</f>
        <v>-3.358594357468625E-2</v>
      </c>
      <c r="I1568" s="5">
        <f>prices!I1569/prices!I1568-1</f>
        <v>4.1612041182928827E-2</v>
      </c>
      <c r="J1568" s="5">
        <f>prices!J1569/prices!J1568-1</f>
        <v>3.8183105631456105E-2</v>
      </c>
      <c r="K1568" s="8">
        <f>SUMPRODUCT(B1568:I1568,weights!$B$5:$I$5)</f>
        <v>3.0738204152660653E-2</v>
      </c>
      <c r="L1568" s="4">
        <f t="shared" si="48"/>
        <v>291.66598159978201</v>
      </c>
      <c r="M1568" s="4">
        <f>L1568/MAX(L$2:L1568)-1</f>
        <v>-6.426076815213555E-2</v>
      </c>
      <c r="N1568" s="4">
        <f t="shared" si="49"/>
        <v>0.10653465596902989</v>
      </c>
    </row>
    <row r="1569" spans="1:14">
      <c r="A1569" s="3">
        <f>prices!A1570</f>
        <v>45790</v>
      </c>
      <c r="B1569" s="5">
        <f>prices!B1570/prices!B1569-1</f>
        <v>-1.4478303609043786E-2</v>
      </c>
      <c r="C1569" s="5">
        <f>prices!C1570/prices!C1569-1</f>
        <v>-2.9113348981600784E-2</v>
      </c>
      <c r="D1569" s="5">
        <f>prices!D1570/prices!D1569-1</f>
        <v>-1.7676661332435062E-2</v>
      </c>
      <c r="E1569" s="5">
        <f>prices!E1570/prices!E1569-1</f>
        <v>-3.5838284831282707E-2</v>
      </c>
      <c r="F1569" s="5">
        <f>prices!F1570/prices!F1569-1</f>
        <v>-1.7462108206209859E-2</v>
      </c>
      <c r="G1569" s="5">
        <f>prices!G1570/prices!G1569-1</f>
        <v>-1.0620864122698359E-2</v>
      </c>
      <c r="H1569" s="5">
        <f>prices!H1570/prices!H1569-1</f>
        <v>8.183925161816985E-3</v>
      </c>
      <c r="I1569" s="5">
        <f>prices!I1570/prices!I1569-1</f>
        <v>-5.631193744885854E-3</v>
      </c>
      <c r="J1569" s="5">
        <f>prices!J1570/prices!J1569-1</f>
        <v>-1.3895854313191403E-2</v>
      </c>
      <c r="K1569" s="8">
        <f>SUMPRODUCT(B1569:I1569,weights!$B$5:$I$5)</f>
        <v>-1.2150068132300103E-2</v>
      </c>
      <c r="L1569" s="4">
        <f t="shared" si="48"/>
        <v>288.12222005147049</v>
      </c>
      <c r="M1569" s="4">
        <f>L1569/MAX(L$2:L1569)-1</f>
        <v>-7.5630063573153272E-2</v>
      </c>
      <c r="N1569" s="4">
        <f t="shared" si="49"/>
        <v>0.10605442751763539</v>
      </c>
    </row>
    <row r="1570" spans="1:14">
      <c r="A1570" s="3">
        <f>prices!A1571</f>
        <v>45791</v>
      </c>
      <c r="B1570" s="5">
        <f>prices!B1571/prices!B1570-1</f>
        <v>6.1414383220053104E-3</v>
      </c>
      <c r="C1570" s="5">
        <f>prices!C1571/prices!C1570-1</f>
        <v>9.5865140903159674E-3</v>
      </c>
      <c r="D1570" s="5">
        <f>prices!D1571/prices!D1570-1</f>
        <v>-6.2483253844916042E-3</v>
      </c>
      <c r="E1570" s="5">
        <f>prices!E1571/prices!E1570-1</f>
        <v>1.5175290362382965E-2</v>
      </c>
      <c r="F1570" s="5">
        <f>prices!F1571/prices!F1570-1</f>
        <v>2.7956667165893734E-3</v>
      </c>
      <c r="G1570" s="5">
        <f>prices!G1571/prices!G1570-1</f>
        <v>1.5061874415671417E-2</v>
      </c>
      <c r="H1570" s="5">
        <f>prices!H1571/prices!H1570-1</f>
        <v>4.8240415939586612E-3</v>
      </c>
      <c r="I1570" s="5">
        <f>prices!I1571/prices!I1570-1</f>
        <v>1.7086397741623571E-3</v>
      </c>
      <c r="J1570" s="5">
        <f>prices!J1571/prices!J1570-1</f>
        <v>3.602764221357635E-3</v>
      </c>
      <c r="K1570" s="8">
        <f>SUMPRODUCT(B1570:I1570,weights!$B$5:$I$5)</f>
        <v>6.670673588058576E-3</v>
      </c>
      <c r="L1570" s="4">
        <f t="shared" si="48"/>
        <v>290.04418933490064</v>
      </c>
      <c r="M1570" s="4">
        <f>L1570/MAX(L$2:L1570)-1</f>
        <v>-6.9463893452635261E-2</v>
      </c>
      <c r="N1570" s="4">
        <f t="shared" si="49"/>
        <v>9.59247573124411E-2</v>
      </c>
    </row>
    <row r="1571" spans="1:14">
      <c r="A1571" s="3">
        <f>prices!A1572</f>
        <v>45792</v>
      </c>
      <c r="B1571" s="5">
        <f>prices!B1572/prices!B1571-1</f>
        <v>2.0924798187225591E-2</v>
      </c>
      <c r="C1571" s="5">
        <f>prices!C1572/prices!C1571-1</f>
        <v>8.794316969763516E-3</v>
      </c>
      <c r="D1571" s="5">
        <f>prices!D1572/prices!D1571-1</f>
        <v>1.2143827786285977E-2</v>
      </c>
      <c r="E1571" s="5">
        <f>prices!E1572/prices!E1571-1</f>
        <v>1.2933739356748131E-2</v>
      </c>
      <c r="F1571" s="5">
        <f>prices!F1572/prices!F1571-1</f>
        <v>8.2889430975257028E-3</v>
      </c>
      <c r="G1571" s="5">
        <f>prices!G1572/prices!G1571-1</f>
        <v>2.2256765065420625E-2</v>
      </c>
      <c r="H1571" s="5">
        <f>prices!H1572/prices!H1571-1</f>
        <v>1.8670096432529926E-2</v>
      </c>
      <c r="I1571" s="5">
        <f>prices!I1572/prices!I1571-1</f>
        <v>1.2621796773383931E-2</v>
      </c>
      <c r="J1571" s="5">
        <f>prices!J1572/prices!J1571-1</f>
        <v>1.6021470067175025E-2</v>
      </c>
      <c r="K1571" s="8">
        <f>SUMPRODUCT(B1571:I1571,weights!$B$5:$I$5)</f>
        <v>1.5756390658251539E-2</v>
      </c>
      <c r="L1571" s="4">
        <f t="shared" si="48"/>
        <v>294.61423889021722</v>
      </c>
      <c r="M1571" s="4">
        <f>L1571/MAX(L$2:L1571)-1</f>
        <v>-5.4802003036266589E-2</v>
      </c>
      <c r="N1571" s="4">
        <f t="shared" si="49"/>
        <v>9.0693238908265528E-2</v>
      </c>
    </row>
    <row r="1572" spans="1:14">
      <c r="A1572" s="3">
        <f>prices!A1573</f>
        <v>45793</v>
      </c>
      <c r="B1572" s="5">
        <f>prices!B1573/prices!B1572-1</f>
        <v>1.5120513265129976E-3</v>
      </c>
      <c r="C1572" s="5">
        <f>prices!C1573/prices!C1572-1</f>
        <v>-5.1952488801058072E-3</v>
      </c>
      <c r="D1572" s="5">
        <f>prices!D1573/prices!D1572-1</f>
        <v>4.688432358705974E-4</v>
      </c>
      <c r="E1572" s="5">
        <f>prices!E1573/prices!E1572-1</f>
        <v>-1.4320649515797701E-2</v>
      </c>
      <c r="F1572" s="5">
        <f>prices!F1573/prices!F1572-1</f>
        <v>7.0358209692151785E-3</v>
      </c>
      <c r="G1572" s="5">
        <f>prices!G1573/prices!G1572-1</f>
        <v>3.3202190461700809E-3</v>
      </c>
      <c r="H1572" s="5">
        <f>prices!H1573/prices!H1572-1</f>
        <v>-2.9848314704804535E-3</v>
      </c>
      <c r="I1572" s="5">
        <f>prices!I1573/prices!I1572-1</f>
        <v>-3.72948291451769E-3</v>
      </c>
      <c r="J1572" s="5">
        <f>prices!J1573/prices!J1572-1</f>
        <v>-1.6878074862042292E-3</v>
      </c>
      <c r="K1572" s="8">
        <f>SUMPRODUCT(B1572:I1572,weights!$B$5:$I$5)</f>
        <v>-1.3937867017188555E-3</v>
      </c>
      <c r="L1572" s="4">
        <f t="shared" si="48"/>
        <v>294.20360948191501</v>
      </c>
      <c r="M1572" s="4">
        <f>L1572/MAX(L$2:L1572)-1</f>
        <v>-5.6119407434925939E-2</v>
      </c>
      <c r="N1572" s="4">
        <f t="shared" si="49"/>
        <v>9.4451347461446122E-2</v>
      </c>
    </row>
    <row r="1573" spans="1:14">
      <c r="A1573" s="3">
        <f>prices!A1574</f>
        <v>45796</v>
      </c>
      <c r="B1573" s="5">
        <f>prices!B1574/prices!B1573-1</f>
        <v>-1.0713815766692281E-2</v>
      </c>
      <c r="C1573" s="5">
        <f>prices!C1574/prices!C1573-1</f>
        <v>-1.1933909058343239E-2</v>
      </c>
      <c r="D1573" s="5">
        <f>prices!D1574/prices!D1573-1</f>
        <v>2.0662037234269182E-3</v>
      </c>
      <c r="E1573" s="5">
        <f>prices!E1574/prices!E1573-1</f>
        <v>-1.892834223183737E-2</v>
      </c>
      <c r="F1573" s="5">
        <f>prices!F1574/prices!F1573-1</f>
        <v>-8.0898215336355772E-4</v>
      </c>
      <c r="G1573" s="5">
        <f>prices!G1574/prices!G1573-1</f>
        <v>-4.6197251263557781E-4</v>
      </c>
      <c r="H1573" s="5">
        <f>prices!H1574/prices!H1573-1</f>
        <v>-2.7136487779826357E-3</v>
      </c>
      <c r="I1573" s="5">
        <f>prices!I1574/prices!I1573-1</f>
        <v>-1.2496995914443865E-3</v>
      </c>
      <c r="J1573" s="5">
        <f>prices!J1574/prices!J1573-1</f>
        <v>-2.9716464560067823E-3</v>
      </c>
      <c r="K1573" s="8">
        <f>SUMPRODUCT(B1573:I1573,weights!$B$5:$I$5)</f>
        <v>-4.6750449762589363E-3</v>
      </c>
      <c r="L1573" s="4">
        <f t="shared" si="48"/>
        <v>292.82819437540934</v>
      </c>
      <c r="M1573" s="4">
        <f>L1573/MAX(L$2:L1573)-1</f>
        <v>-6.05320916573856E-2</v>
      </c>
      <c r="N1573" s="4">
        <f t="shared" si="49"/>
        <v>7.5062362375095448E-2</v>
      </c>
    </row>
    <row r="1574" spans="1:14">
      <c r="A1574" s="3">
        <f>prices!A1575</f>
        <v>45797</v>
      </c>
      <c r="B1574" s="5">
        <f>prices!B1575/prices!B1574-1</f>
        <v>-1.1242876944401625E-2</v>
      </c>
      <c r="C1574" s="5">
        <f>prices!C1575/prices!C1574-1</f>
        <v>-5.827785201919955E-3</v>
      </c>
      <c r="D1574" s="5">
        <f>prices!D1575/prices!D1574-1</f>
        <v>-1.2276002805943542E-2</v>
      </c>
      <c r="E1574" s="5">
        <f>prices!E1575/prices!E1574-1</f>
        <v>5.125161847217008E-4</v>
      </c>
      <c r="F1574" s="5">
        <f>prices!F1575/prices!F1574-1</f>
        <v>-1.0304472631810224E-3</v>
      </c>
      <c r="G1574" s="5">
        <f>prices!G1575/prices!G1574-1</f>
        <v>-2.7022948165207894E-2</v>
      </c>
      <c r="H1574" s="5">
        <f>prices!H1575/prices!H1574-1</f>
        <v>-1.2943923319542971E-2</v>
      </c>
      <c r="I1574" s="5">
        <f>prices!I1575/prices!I1574-1</f>
        <v>-8.9994706193753382E-3</v>
      </c>
      <c r="J1574" s="5">
        <f>prices!J1575/prices!J1574-1</f>
        <v>-1.0484878003804265E-2</v>
      </c>
      <c r="K1574" s="8">
        <f>SUMPRODUCT(B1574:I1574,weights!$B$5:$I$5)</f>
        <v>-1.1875969829979457E-2</v>
      </c>
      <c r="L1574" s="4">
        <f t="shared" si="48"/>
        <v>289.35057557363962</v>
      </c>
      <c r="M1574" s="4">
        <f>L1574/MAX(L$2:L1574)-1</f>
        <v>-7.1689184193096445E-2</v>
      </c>
      <c r="N1574" s="4">
        <f t="shared" si="49"/>
        <v>5.5127489950760111E-2</v>
      </c>
    </row>
    <row r="1575" spans="1:14">
      <c r="A1575" s="3">
        <f>prices!A1576</f>
        <v>45798</v>
      </c>
      <c r="B1575" s="5">
        <f>prices!B1576/prices!B1575-1</f>
        <v>3.2285471537807364E-3</v>
      </c>
      <c r="C1575" s="5">
        <f>prices!C1576/prices!C1575-1</f>
        <v>7.8601330315459794E-3</v>
      </c>
      <c r="D1575" s="5">
        <f>prices!D1576/prices!D1575-1</f>
        <v>6.2196683560922228E-3</v>
      </c>
      <c r="E1575" s="5">
        <f>prices!E1576/prices!E1575-1</f>
        <v>5.0618748483459708E-3</v>
      </c>
      <c r="F1575" s="5">
        <f>prices!F1576/prices!F1575-1</f>
        <v>-4.3716383820027183E-3</v>
      </c>
      <c r="G1575" s="5">
        <f>prices!G1576/prices!G1575-1</f>
        <v>-1.8201118726551835E-3</v>
      </c>
      <c r="H1575" s="5">
        <f>prices!H1576/prices!H1575-1</f>
        <v>1.4050356001636288E-2</v>
      </c>
      <c r="I1575" s="5">
        <f>prices!I1576/prices!I1575-1</f>
        <v>5.9417706476529997E-3</v>
      </c>
      <c r="J1575" s="5">
        <f>prices!J1576/prices!J1575-1</f>
        <v>5.2483602672186436E-3</v>
      </c>
      <c r="K1575" s="8">
        <f>SUMPRODUCT(B1575:I1575,weights!$B$5:$I$5)</f>
        <v>4.5628112514414215E-3</v>
      </c>
      <c r="L1575" s="4">
        <f t="shared" si="48"/>
        <v>290.67082763547802</v>
      </c>
      <c r="M1575" s="4">
        <f>L1575/MAX(L$2:L1575)-1</f>
        <v>-6.7453477157898067E-2</v>
      </c>
      <c r="N1575" s="4">
        <f t="shared" si="49"/>
        <v>6.00776957531588E-2</v>
      </c>
    </row>
    <row r="1576" spans="1:14">
      <c r="A1576" s="3">
        <f>prices!A1577</f>
        <v>45799</v>
      </c>
      <c r="B1576" s="5">
        <f>prices!B1577/prices!B1576-1</f>
        <v>-1.3853602077687488E-2</v>
      </c>
      <c r="C1576" s="5">
        <f>prices!C1577/prices!C1576-1</f>
        <v>-1.3839340448373205E-2</v>
      </c>
      <c r="D1576" s="5">
        <f>prices!D1577/prices!D1576-1</f>
        <v>-3.5825428568373452E-3</v>
      </c>
      <c r="E1576" s="5">
        <f>prices!E1577/prices!E1576-1</f>
        <v>-1.3392348187640457E-2</v>
      </c>
      <c r="F1576" s="5">
        <f>prices!F1577/prices!F1576-1</f>
        <v>-1.593527220701052E-2</v>
      </c>
      <c r="G1576" s="5">
        <f>prices!G1577/prices!G1576-1</f>
        <v>-1.3475420105326763E-2</v>
      </c>
      <c r="H1576" s="5">
        <f>prices!H1577/prices!H1576-1</f>
        <v>-7.5592374115019956E-3</v>
      </c>
      <c r="I1576" s="5">
        <f>prices!I1577/prices!I1576-1</f>
        <v>-1.0475828070334869E-2</v>
      </c>
      <c r="J1576" s="5">
        <f>prices!J1577/prices!J1576-1</f>
        <v>-8.2112725155107924E-3</v>
      </c>
      <c r="K1576" s="8">
        <f>SUMPRODUCT(B1576:I1576,weights!$B$5:$I$5)</f>
        <v>-1.153537069147645E-2</v>
      </c>
      <c r="L1576" s="4">
        <f t="shared" si="48"/>
        <v>287.31783188950453</v>
      </c>
      <c r="M1576" s="4">
        <f>L1576/MAX(L$2:L1576)-1</f>
        <v>-7.8210746985929114E-2</v>
      </c>
      <c r="N1576" s="4">
        <f t="shared" si="49"/>
        <v>3.371755217402983E-2</v>
      </c>
    </row>
    <row r="1577" spans="1:14">
      <c r="A1577" s="3">
        <f>prices!A1578</f>
        <v>45800</v>
      </c>
      <c r="B1577" s="5">
        <f>prices!B1578/prices!B1577-1</f>
        <v>1.2344972196975723E-2</v>
      </c>
      <c r="C1577" s="5">
        <f>prices!C1578/prices!C1577-1</f>
        <v>1.0813236663118841E-2</v>
      </c>
      <c r="D1577" s="5">
        <f>prices!D1578/prices!D1577-1</f>
        <v>7.1371841930152335E-3</v>
      </c>
      <c r="E1577" s="5">
        <f>prices!E1578/prices!E1577-1</f>
        <v>1.1181500564173108E-2</v>
      </c>
      <c r="F1577" s="5">
        <f>prices!F1578/prices!F1577-1</f>
        <v>2.3939036923771084E-2</v>
      </c>
      <c r="G1577" s="5">
        <f>prices!G1578/prices!G1577-1</f>
        <v>6.4236508487347521E-4</v>
      </c>
      <c r="H1577" s="5">
        <f>prices!H1578/prices!H1577-1</f>
        <v>-2.042343127783397E-2</v>
      </c>
      <c r="I1577" s="5">
        <f>prices!I1578/prices!I1577-1</f>
        <v>1.3657430658191139E-2</v>
      </c>
      <c r="J1577" s="5">
        <f>prices!J1578/prices!J1577-1</f>
        <v>9.8924407855438545E-3</v>
      </c>
      <c r="K1577" s="8">
        <f>SUMPRODUCT(B1577:I1577,weights!$B$5:$I$5)</f>
        <v>5.7354584274738156E-3</v>
      </c>
      <c r="L1577" s="4">
        <f t="shared" si="48"/>
        <v>288.96573136977867</v>
      </c>
      <c r="M1577" s="4">
        <f>L1577/MAX(L$2:L1577)-1</f>
        <v>-7.2923863046374882E-2</v>
      </c>
      <c r="N1577" s="4">
        <f t="shared" si="49"/>
        <v>3.9364924910913146E-2</v>
      </c>
    </row>
    <row r="1578" spans="1:14">
      <c r="A1578" s="3">
        <f>prices!A1579</f>
        <v>45803</v>
      </c>
      <c r="B1578" s="5">
        <f>prices!B1579/prices!B1578-1</f>
        <v>5.612973462087778E-3</v>
      </c>
      <c r="C1578" s="5">
        <f>prices!C1579/prices!C1578-1</f>
        <v>6.4587351918572455E-3</v>
      </c>
      <c r="D1578" s="5">
        <f>prices!D1579/prices!D1578-1</f>
        <v>3.4100960155158955E-3</v>
      </c>
      <c r="E1578" s="5">
        <f>prices!E1579/prices!E1578-1</f>
        <v>1.0036097685580225E-2</v>
      </c>
      <c r="F1578" s="5">
        <f>prices!F1579/prices!F1578-1</f>
        <v>1.5129259694477204E-2</v>
      </c>
      <c r="G1578" s="5">
        <f>prices!G1579/prices!G1578-1</f>
        <v>-2.5694505934168443E-3</v>
      </c>
      <c r="H1578" s="5">
        <f>prices!H1579/prices!H1578-1</f>
        <v>-4.4560975169735118E-3</v>
      </c>
      <c r="I1578" s="5">
        <f>prices!I1579/prices!I1578-1</f>
        <v>1.3555521581817276E-2</v>
      </c>
      <c r="J1578" s="5">
        <f>prices!J1579/prices!J1578-1</f>
        <v>5.954979549875894E-3</v>
      </c>
      <c r="K1578" s="8">
        <f>SUMPRODUCT(B1578:I1578,weights!$B$5:$I$5)</f>
        <v>5.1494511385587393E-3</v>
      </c>
      <c r="L1578" s="4">
        <f t="shared" si="48"/>
        <v>290.45374628418523</v>
      </c>
      <c r="M1578" s="4">
        <f>L1578/MAX(L$2:L1578)-1</f>
        <v>-6.8149929777408413E-2</v>
      </c>
      <c r="N1578" s="4">
        <f t="shared" si="49"/>
        <v>5.0337478763583077E-2</v>
      </c>
    </row>
    <row r="1579" spans="1:14">
      <c r="A1579" s="3">
        <f>prices!A1580</f>
        <v>45804</v>
      </c>
      <c r="B1579" s="5">
        <f>prices!B1580/prices!B1579-1</f>
        <v>-8.8575204566543331E-3</v>
      </c>
      <c r="C1579" s="5">
        <f>prices!C1580/prices!C1579-1</f>
        <v>-1.0912071535022383E-2</v>
      </c>
      <c r="D1579" s="5">
        <f>prices!D1580/prices!D1579-1</f>
        <v>-7.1687252413470404E-3</v>
      </c>
      <c r="E1579" s="5">
        <f>prices!E1580/prices!E1579-1</f>
        <v>-6.58209988286651E-3</v>
      </c>
      <c r="F1579" s="5">
        <f>prices!F1580/prices!F1579-1</f>
        <v>-2.0305792697631886E-2</v>
      </c>
      <c r="G1579" s="5">
        <f>prices!G1580/prices!G1579-1</f>
        <v>-5.6387485594888709E-4</v>
      </c>
      <c r="H1579" s="5">
        <f>prices!H1580/prices!H1579-1</f>
        <v>4.35523231932744E-3</v>
      </c>
      <c r="I1579" s="5">
        <f>prices!I1580/prices!I1579-1</f>
        <v>-2.3854615337344232E-3</v>
      </c>
      <c r="J1579" s="5">
        <f>prices!J1580/prices!J1579-1</f>
        <v>-6.9976781068070704E-3</v>
      </c>
      <c r="K1579" s="8">
        <f>SUMPRODUCT(B1579:I1579,weights!$B$5:$I$5)</f>
        <v>-4.7967476348158957E-3</v>
      </c>
      <c r="L1579" s="4">
        <f t="shared" si="48"/>
        <v>289.06051296367315</v>
      </c>
      <c r="M1579" s="4">
        <f>L1579/MAX(L$2:L1579)-1</f>
        <v>-7.261977939775166E-2</v>
      </c>
      <c r="N1579" s="4">
        <f t="shared" si="49"/>
        <v>2.7230586108397681E-2</v>
      </c>
    </row>
    <row r="1580" spans="1:14">
      <c r="A1580" s="3">
        <f>prices!A1581</f>
        <v>45805</v>
      </c>
      <c r="B1580" s="5">
        <f>prices!B1581/prices!B1580-1</f>
        <v>-6.4684521107581938E-3</v>
      </c>
      <c r="C1580" s="5">
        <f>prices!C1581/prices!C1580-1</f>
        <v>-2.8628340852032697E-4</v>
      </c>
      <c r="D1580" s="5">
        <f>prices!D1581/prices!D1580-1</f>
        <v>-1.4547944033204141E-3</v>
      </c>
      <c r="E1580" s="5">
        <f>prices!E1581/prices!E1580-1</f>
        <v>1.0853035165172553E-3</v>
      </c>
      <c r="F1580" s="5">
        <f>prices!F1581/prices!F1580-1</f>
        <v>-1.3735722725482402E-2</v>
      </c>
      <c r="G1580" s="5">
        <f>prices!G1581/prices!G1580-1</f>
        <v>-6.685604689874669E-3</v>
      </c>
      <c r="H1580" s="5">
        <f>prices!H1581/prices!H1580-1</f>
        <v>-1.0098094052409023E-2</v>
      </c>
      <c r="I1580" s="5">
        <f>prices!I1581/prices!I1580-1</f>
        <v>1.7303750825987674E-3</v>
      </c>
      <c r="J1580" s="5">
        <f>prices!J1581/prices!J1580-1</f>
        <v>-2.9706519725128944E-3</v>
      </c>
      <c r="K1580" s="8">
        <f>SUMPRODUCT(B1580:I1580,weights!$B$5:$I$5)</f>
        <v>-4.4949314880392468E-3</v>
      </c>
      <c r="L1580" s="4">
        <f t="shared" si="48"/>
        <v>287.76120576200395</v>
      </c>
      <c r="M1580" s="4">
        <f>L1580/MAX(L$2:L1580)-1</f>
        <v>-7.6788289952721467E-2</v>
      </c>
      <c r="N1580" s="4">
        <f t="shared" si="49"/>
        <v>2.2436925321634105E-2</v>
      </c>
    </row>
    <row r="1581" spans="1:14">
      <c r="A1581" s="3">
        <f>prices!A1582</f>
        <v>45806</v>
      </c>
      <c r="B1581" s="5">
        <f>prices!B1582/prices!B1581-1</f>
        <v>3.4694460308395403E-3</v>
      </c>
      <c r="C1581" s="5">
        <f>prices!C1582/prices!C1581-1</f>
        <v>1.1454615607209284E-4</v>
      </c>
      <c r="D1581" s="5">
        <f>prices!D1582/prices!D1581-1</f>
        <v>2.0889574495435159E-3</v>
      </c>
      <c r="E1581" s="5">
        <f>prices!E1582/prices!E1581-1</f>
        <v>8.7733973994339465E-3</v>
      </c>
      <c r="F1581" s="5">
        <f>prices!F1582/prices!F1581-1</f>
        <v>-3.4443168771528532E-3</v>
      </c>
      <c r="G1581" s="5">
        <f>prices!G1582/prices!G1581-1</f>
        <v>4.9471462624828266E-3</v>
      </c>
      <c r="H1581" s="5">
        <f>prices!H1582/prices!H1581-1</f>
        <v>2.0043745063491158E-2</v>
      </c>
      <c r="I1581" s="5">
        <f>prices!I1582/prices!I1581-1</f>
        <v>2.4680936701642064E-3</v>
      </c>
      <c r="J1581" s="5">
        <f>prices!J1582/prices!J1581-1</f>
        <v>3.2784633440325894E-3</v>
      </c>
      <c r="K1581" s="8">
        <f>SUMPRODUCT(B1581:I1581,weights!$B$5:$I$5)</f>
        <v>5.5336613088822909E-3</v>
      </c>
      <c r="L1581" s="4">
        <f t="shared" si="48"/>
        <v>289.35357881252651</v>
      </c>
      <c r="M1581" s="4">
        <f>L1581/MAX(L$2:L1581)-1</f>
        <v>-7.1679549032925616E-2</v>
      </c>
      <c r="N1581" s="4">
        <f t="shared" si="49"/>
        <v>1.6988161372717414E-2</v>
      </c>
    </row>
    <row r="1582" spans="1:14">
      <c r="A1582" s="3">
        <f>prices!A1583</f>
        <v>45807</v>
      </c>
      <c r="B1582" s="5">
        <f>prices!B1583/prices!B1582-1</f>
        <v>2.1840274319535613E-3</v>
      </c>
      <c r="C1582" s="5">
        <f>prices!C1583/prices!C1582-1</f>
        <v>-9.9191637882707351E-3</v>
      </c>
      <c r="D1582" s="5">
        <f>prices!D1583/prices!D1582-1</f>
        <v>9.0225885421677532E-3</v>
      </c>
      <c r="E1582" s="5">
        <f>prices!E1583/prices!E1582-1</f>
        <v>-5.7051877404812323E-4</v>
      </c>
      <c r="F1582" s="5">
        <f>prices!F1583/prices!F1582-1</f>
        <v>-1.6780204367861096E-3</v>
      </c>
      <c r="G1582" s="5">
        <f>prices!G1583/prices!G1582-1</f>
        <v>-5.8908730191424841E-3</v>
      </c>
      <c r="H1582" s="5">
        <f>prices!H1583/prices!H1582-1</f>
        <v>-1.3062201811911534E-2</v>
      </c>
      <c r="I1582" s="5">
        <f>prices!I1583/prices!I1582-1</f>
        <v>5.4175530950875128E-3</v>
      </c>
      <c r="J1582" s="5">
        <f>prices!J1583/prices!J1582-1</f>
        <v>-3.3382191869080202E-3</v>
      </c>
      <c r="K1582" s="8">
        <f>SUMPRODUCT(B1582:I1582,weights!$B$5:$I$5)</f>
        <v>-2.1586056230951051E-3</v>
      </c>
      <c r="L1582" s="4">
        <f t="shared" si="48"/>
        <v>288.72897855023911</v>
      </c>
      <c r="M1582" s="4">
        <f>L1582/MAX(L$2:L1582)-1</f>
        <v>-7.3683426778417327E-2</v>
      </c>
      <c r="N1582" s="4">
        <f t="shared" si="49"/>
        <v>1.1647248090065343E-2</v>
      </c>
    </row>
    <row r="1583" spans="1:14">
      <c r="A1583" s="3">
        <f>prices!A1584</f>
        <v>45810</v>
      </c>
      <c r="B1583" s="5">
        <f>prices!B1584/prices!B1583-1</f>
        <v>-5.0612963449349069E-3</v>
      </c>
      <c r="C1583" s="5">
        <f>prices!C1584/prices!C1583-1</f>
        <v>-3.9270482296317466E-3</v>
      </c>
      <c r="D1583" s="5">
        <f>prices!D1584/prices!D1583-1</f>
        <v>-6.5792958776103028E-3</v>
      </c>
      <c r="E1583" s="5">
        <f>prices!E1584/prices!E1583-1</f>
        <v>-5.6951690628858076E-3</v>
      </c>
      <c r="F1583" s="5">
        <f>prices!F1584/prices!F1583-1</f>
        <v>2.9853741752590146E-3</v>
      </c>
      <c r="G1583" s="5">
        <f>prices!G1584/prices!G1583-1</f>
        <v>-2.3545655863788095E-3</v>
      </c>
      <c r="H1583" s="5">
        <f>prices!H1584/prices!H1583-1</f>
        <v>-1.7864040169950357E-3</v>
      </c>
      <c r="I1583" s="5">
        <f>prices!I1584/prices!I1583-1</f>
        <v>1.2257620801348068E-3</v>
      </c>
      <c r="J1583" s="5">
        <f>prices!J1584/prices!J1583-1</f>
        <v>-1.3777388114276645E-3</v>
      </c>
      <c r="K1583" s="8">
        <f>SUMPRODUCT(B1583:I1583,weights!$B$5:$I$5)</f>
        <v>-2.1969138614854763E-3</v>
      </c>
      <c r="L1583" s="4">
        <f t="shared" si="48"/>
        <v>288.09466585504953</v>
      </c>
      <c r="M1583" s="4">
        <f>L1583/MAX(L$2:L1583)-1</f>
        <v>-7.5718464498251592E-2</v>
      </c>
      <c r="N1583" s="4">
        <f t="shared" si="49"/>
        <v>4.1086300492341188E-3</v>
      </c>
    </row>
    <row r="1584" spans="1:14">
      <c r="A1584" s="3">
        <f>prices!A1585</f>
        <v>45811</v>
      </c>
      <c r="B1584" s="5">
        <f>prices!B1585/prices!B1584-1</f>
        <v>-5.8005136986301054E-3</v>
      </c>
      <c r="C1584" s="5">
        <f>prices!C1585/prices!C1584-1</f>
        <v>-1.2927833350142581E-2</v>
      </c>
      <c r="D1584" s="5">
        <f>prices!D1585/prices!D1584-1</f>
        <v>-3.8820041379604708E-3</v>
      </c>
      <c r="E1584" s="5">
        <f>prices!E1585/prices!E1584-1</f>
        <v>-6.9494512537050523E-3</v>
      </c>
      <c r="F1584" s="5">
        <f>prices!F1585/prices!F1584-1</f>
        <v>-5.6028014007003524E-3</v>
      </c>
      <c r="G1584" s="5">
        <f>prices!G1585/prices!G1584-1</f>
        <v>-1.3181297461019814E-2</v>
      </c>
      <c r="H1584" s="5">
        <f>prices!H1585/prices!H1584-1</f>
        <v>-4.2382103990326048E-3</v>
      </c>
      <c r="I1584" s="5">
        <f>prices!I1585/prices!I1584-1</f>
        <v>-2.2158577862474438E-4</v>
      </c>
      <c r="J1584" s="5">
        <f>prices!J1585/prices!J1584-1</f>
        <v>-7.0438490730925229E-3</v>
      </c>
      <c r="K1584" s="8">
        <f>SUMPRODUCT(B1584:I1584,weights!$B$5:$I$5)</f>
        <v>-6.46441931646122E-3</v>
      </c>
      <c r="L1584" s="4">
        <f t="shared" si="48"/>
        <v>286.23230113212668</v>
      </c>
      <c r="M1584" s="4">
        <f>L1584/MAX(L$2:L1584)-1</f>
        <v>-8.1693407910197635E-2</v>
      </c>
      <c r="N1584" s="4">
        <f t="shared" si="49"/>
        <v>-2.0079099374312737E-3</v>
      </c>
    </row>
    <row r="1585" spans="1:14">
      <c r="A1585" s="3">
        <f>prices!A1586</f>
        <v>45812</v>
      </c>
      <c r="B1585" s="5">
        <f>prices!B1586/prices!B1585-1</f>
        <v>1.2802571996526568E-2</v>
      </c>
      <c r="C1585" s="5">
        <f>prices!C1586/prices!C1585-1</f>
        <v>1.6874580070656009E-3</v>
      </c>
      <c r="D1585" s="5">
        <f>prices!D1586/prices!D1585-1</f>
        <v>8.6186591293548886E-3</v>
      </c>
      <c r="E1585" s="5">
        <f>prices!E1586/prices!E1585-1</f>
        <v>5.3107458572820843E-3</v>
      </c>
      <c r="F1585" s="5">
        <f>prices!F1586/prices!F1585-1</f>
        <v>1.2576717979673191E-4</v>
      </c>
      <c r="G1585" s="5">
        <f>prices!G1586/prices!G1585-1</f>
        <v>2.8858036643308882E-3</v>
      </c>
      <c r="H1585" s="5">
        <f>prices!H1586/prices!H1585-1</f>
        <v>-1.5604223462194478E-3</v>
      </c>
      <c r="I1585" s="5">
        <f>prices!I1586/prices!I1585-1</f>
        <v>-5.0200302531624441E-3</v>
      </c>
      <c r="J1585" s="5">
        <f>prices!J1586/prices!J1585-1</f>
        <v>3.1659366405216716E-3</v>
      </c>
      <c r="K1585" s="8">
        <f>SUMPRODUCT(B1585:I1585,weights!$B$5:$I$5)</f>
        <v>2.2158762022379099E-3</v>
      </c>
      <c r="L1585" s="4">
        <f t="shared" si="48"/>
        <v>286.86655647651719</v>
      </c>
      <c r="M1585" s="4">
        <f>L1585/MAX(L$2:L1585)-1</f>
        <v>-7.9658554186427533E-2</v>
      </c>
      <c r="N1585" s="4">
        <f t="shared" si="49"/>
        <v>5.5088431397574134E-3</v>
      </c>
    </row>
    <row r="1586" spans="1:14">
      <c r="A1586" s="3">
        <f>prices!A1587</f>
        <v>45813</v>
      </c>
      <c r="B1586" s="5">
        <f>prices!B1587/prices!B1586-1</f>
        <v>1.3278443431988807E-2</v>
      </c>
      <c r="C1586" s="5">
        <f>prices!C1587/prices!C1586-1</f>
        <v>-2.896301883059893E-3</v>
      </c>
      <c r="D1586" s="5">
        <f>prices!D1587/prices!D1586-1</f>
        <v>4.3308883628603301E-3</v>
      </c>
      <c r="E1586" s="5">
        <f>prices!E1587/prices!E1586-1</f>
        <v>1.9993981744625966E-3</v>
      </c>
      <c r="F1586" s="5">
        <f>prices!F1587/prices!F1586-1</f>
        <v>5.03005457609218E-3</v>
      </c>
      <c r="G1586" s="5">
        <f>prices!G1587/prices!G1586-1</f>
        <v>-3.0420242556107313E-3</v>
      </c>
      <c r="H1586" s="5">
        <f>prices!H1587/prices!H1586-1</f>
        <v>1.0927865143941284E-2</v>
      </c>
      <c r="I1586" s="5">
        <f>prices!I1587/prices!I1586-1</f>
        <v>4.4411402732067451E-3</v>
      </c>
      <c r="J1586" s="5">
        <f>prices!J1587/prices!J1586-1</f>
        <v>5.3086489955402882E-3</v>
      </c>
      <c r="K1586" s="8">
        <f>SUMPRODUCT(B1586:I1586,weights!$B$5:$I$5)</f>
        <v>4.2798012612021482E-3</v>
      </c>
      <c r="L1586" s="4">
        <f t="shared" si="48"/>
        <v>288.09428832672211</v>
      </c>
      <c r="M1586" s="4">
        <f>L1586/MAX(L$2:L1586)-1</f>
        <v>-7.5719675705897993E-2</v>
      </c>
      <c r="N1586" s="4">
        <f t="shared" si="49"/>
        <v>1.5041903893588504E-2</v>
      </c>
    </row>
    <row r="1587" spans="1:14">
      <c r="A1587" s="3">
        <f>prices!A1588</f>
        <v>45814</v>
      </c>
      <c r="B1587" s="5">
        <f>prices!B1588/prices!B1587-1</f>
        <v>7.622111114997665E-4</v>
      </c>
      <c r="C1587" s="5">
        <f>prices!C1588/prices!C1587-1</f>
        <v>3.8843198100311227E-3</v>
      </c>
      <c r="D1587" s="5">
        <f>prices!D1588/prices!D1587-1</f>
        <v>1.4923637900967179E-2</v>
      </c>
      <c r="E1587" s="5">
        <f>prices!E1588/prices!E1587-1</f>
        <v>6.1130242118467848E-3</v>
      </c>
      <c r="F1587" s="5">
        <f>prices!F1588/prices!F1587-1</f>
        <v>4.6545381747202796E-3</v>
      </c>
      <c r="G1587" s="5">
        <f>prices!G1588/prices!G1587-1</f>
        <v>2.7709297391234067E-2</v>
      </c>
      <c r="H1587" s="5">
        <f>prices!H1588/prices!H1587-1</f>
        <v>-2.3159427089913809E-3</v>
      </c>
      <c r="I1587" s="5">
        <f>prices!I1588/prices!I1587-1</f>
        <v>3.7589712172578782E-3</v>
      </c>
      <c r="J1587" s="5">
        <f>prices!J1588/prices!J1587-1</f>
        <v>1.0187508333030282E-2</v>
      </c>
      <c r="K1587" s="8">
        <f>SUMPRODUCT(B1587:I1587,weights!$B$5:$I$5)</f>
        <v>8.2322094919283113E-3</v>
      </c>
      <c r="L1587" s="4">
        <f t="shared" si="48"/>
        <v>290.46594086165567</v>
      </c>
      <c r="M1587" s="4">
        <f>L1587/MAX(L$2:L1587)-1</f>
        <v>-6.8110806447041483E-2</v>
      </c>
      <c r="N1587" s="4">
        <f t="shared" si="49"/>
        <v>2.6497298756214205E-2</v>
      </c>
    </row>
    <row r="1588" spans="1:14">
      <c r="A1588" s="3">
        <f>prices!A1589</f>
        <v>45817</v>
      </c>
      <c r="B1588" s="5">
        <f>prices!B1589/prices!B1588-1</f>
        <v>3.6753916458207581E-3</v>
      </c>
      <c r="C1588" s="5">
        <f>prices!C1589/prices!C1588-1</f>
        <v>1.1141579584475814E-2</v>
      </c>
      <c r="D1588" s="5">
        <f>prices!D1589/prices!D1588-1</f>
        <v>1.0413737802905665E-4</v>
      </c>
      <c r="E1588" s="5">
        <f>prices!E1589/prices!E1588-1</f>
        <v>5.8171928893606673E-3</v>
      </c>
      <c r="F1588" s="5">
        <f>prices!F1589/prices!F1588-1</f>
        <v>4.7575161282287226E-3</v>
      </c>
      <c r="G1588" s="5">
        <f>prices!G1589/prices!G1588-1</f>
        <v>1.4042297300175699E-2</v>
      </c>
      <c r="H1588" s="5">
        <f>prices!H1589/prices!H1588-1</f>
        <v>9.0501284262061166E-3</v>
      </c>
      <c r="I1588" s="5">
        <f>prices!I1589/prices!I1588-1</f>
        <v>6.1807325742282426E-3</v>
      </c>
      <c r="J1588" s="5">
        <f>prices!J1589/prices!J1588-1</f>
        <v>4.0055113276180609E-3</v>
      </c>
      <c r="K1588" s="8">
        <f>SUMPRODUCT(B1588:I1588,weights!$B$5:$I$5)</f>
        <v>7.6566257924662673E-3</v>
      </c>
      <c r="L1588" s="4">
        <f t="shared" si="48"/>
        <v>292.68992987628997</v>
      </c>
      <c r="M1588" s="4">
        <f>L1588/MAX(L$2:L1588)-1</f>
        <v>-6.0975679611963485E-2</v>
      </c>
      <c r="N1588" s="4">
        <f t="shared" si="49"/>
        <v>3.5106880510769045E-3</v>
      </c>
    </row>
    <row r="1589" spans="1:14">
      <c r="A1589" s="3">
        <f>prices!A1590</f>
        <v>45818</v>
      </c>
      <c r="B1589" s="5">
        <f>prices!B1590/prices!B1589-1</f>
        <v>-7.1150097465887407E-3</v>
      </c>
      <c r="C1589" s="5">
        <f>prices!C1590/prices!C1589-1</f>
        <v>1.1980820913755297E-2</v>
      </c>
      <c r="D1589" s="5">
        <f>prices!D1590/prices!D1589-1</f>
        <v>-6.872351281277056E-3</v>
      </c>
      <c r="E1589" s="5">
        <f>prices!E1590/prices!E1589-1</f>
        <v>1.4686389205800898E-2</v>
      </c>
      <c r="F1589" s="5">
        <f>prices!F1590/prices!F1589-1</f>
        <v>9.3212355595220231E-3</v>
      </c>
      <c r="G1589" s="5">
        <f>prices!G1590/prices!G1589-1</f>
        <v>-9.2580174479574007E-3</v>
      </c>
      <c r="H1589" s="5">
        <f>prices!H1590/prices!H1589-1</f>
        <v>-3.3043530220190354E-3</v>
      </c>
      <c r="I1589" s="5">
        <f>prices!I1590/prices!I1589-1</f>
        <v>2.4702811454413443E-4</v>
      </c>
      <c r="J1589" s="5">
        <f>prices!J1590/prices!J1589-1</f>
        <v>4.1827336753952338E-5</v>
      </c>
      <c r="K1589" s="8">
        <f>SUMPRODUCT(B1589:I1589,weights!$B$5:$I$5)</f>
        <v>-5.8994604208267626E-4</v>
      </c>
      <c r="L1589" s="4">
        <f t="shared" si="48"/>
        <v>292.51725861060203</v>
      </c>
      <c r="M1589" s="4">
        <f>L1589/MAX(L$2:L1589)-1</f>
        <v>-6.1529653293195707E-2</v>
      </c>
      <c r="N1589" s="4">
        <f t="shared" si="49"/>
        <v>1.5254077100844254E-2</v>
      </c>
    </row>
    <row r="1590" spans="1:14">
      <c r="A1590" s="3">
        <f>prices!A1591</f>
        <v>45819</v>
      </c>
      <c r="B1590" s="5">
        <f>prices!B1591/prices!B1590-1</f>
        <v>7.229101515937586E-3</v>
      </c>
      <c r="C1590" s="5">
        <f>prices!C1591/prices!C1590-1</f>
        <v>2.5983588994544782E-3</v>
      </c>
      <c r="D1590" s="5">
        <f>prices!D1591/prices!D1590-1</f>
        <v>-7.5804439225389819E-3</v>
      </c>
      <c r="E1590" s="5">
        <f>prices!E1591/prices!E1590-1</f>
        <v>2.1993448759943801E-2</v>
      </c>
      <c r="F1590" s="5">
        <f>prices!F1591/prices!F1590-1</f>
        <v>-1.9894876455273103E-3</v>
      </c>
      <c r="G1590" s="5">
        <f>prices!G1591/prices!G1590-1</f>
        <v>-5.4318796945883596E-3</v>
      </c>
      <c r="H1590" s="5">
        <f>prices!H1591/prices!H1590-1</f>
        <v>1.0671334876080074E-3</v>
      </c>
      <c r="I1590" s="5">
        <f>prices!I1591/prices!I1590-1</f>
        <v>1.358319086989912E-3</v>
      </c>
      <c r="J1590" s="5">
        <f>prices!J1591/prices!J1590-1</f>
        <v>1.4798291126005836E-3</v>
      </c>
      <c r="K1590" s="8">
        <f>SUMPRODUCT(B1590:I1590,weights!$B$5:$I$5)</f>
        <v>1.6552068433425249E-3</v>
      </c>
      <c r="L1590" s="4">
        <f t="shared" si="48"/>
        <v>293.00143517885004</v>
      </c>
      <c r="M1590" s="4">
        <f>L1590/MAX(L$2:L1590)-1</f>
        <v>-5.9976290753052663E-2</v>
      </c>
      <c r="N1590" s="4">
        <f t="shared" si="49"/>
        <v>1.0195845849319207E-2</v>
      </c>
    </row>
    <row r="1591" spans="1:14">
      <c r="A1591" s="3">
        <f>prices!A1592</f>
        <v>45820</v>
      </c>
      <c r="B1591" s="5">
        <f>prices!B1592/prices!B1591-1</f>
        <v>-5.0331015182841776E-3</v>
      </c>
      <c r="C1591" s="5">
        <f>prices!C1592/prices!C1591-1</f>
        <v>-1.0857132537083314E-2</v>
      </c>
      <c r="D1591" s="5">
        <f>prices!D1592/prices!D1591-1</f>
        <v>-3.5920299194962535E-3</v>
      </c>
      <c r="E1591" s="5">
        <f>prices!E1592/prices!E1591-1</f>
        <v>-1.3793498168498175E-2</v>
      </c>
      <c r="F1591" s="5">
        <f>prices!F1592/prices!F1591-1</f>
        <v>-1.2083774272143244E-2</v>
      </c>
      <c r="G1591" s="5">
        <f>prices!G1592/prices!G1591-1</f>
        <v>-4.9786080559651724E-3</v>
      </c>
      <c r="H1591" s="5">
        <f>prices!H1592/prices!H1591-1</f>
        <v>-1.8924422086477044E-3</v>
      </c>
      <c r="I1591" s="5">
        <f>prices!I1592/prices!I1591-1</f>
        <v>-2.1955737758826643E-2</v>
      </c>
      <c r="J1591" s="5">
        <f>prices!J1592/prices!J1591-1</f>
        <v>-1.0071038207896121E-2</v>
      </c>
      <c r="K1591" s="8">
        <f>SUMPRODUCT(B1591:I1591,weights!$B$5:$I$5)</f>
        <v>-9.6186313390630215E-3</v>
      </c>
      <c r="L1591" s="4">
        <f t="shared" si="48"/>
        <v>290.1831623920483</v>
      </c>
      <c r="M1591" s="4">
        <f>L1591/MAX(L$2:L1591)-1</f>
        <v>-6.9018032262277651E-2</v>
      </c>
      <c r="N1591" s="4">
        <f t="shared" si="49"/>
        <v>-1.5040265924893381E-2</v>
      </c>
    </row>
    <row r="1592" spans="1:14">
      <c r="A1592" s="3">
        <f>prices!A1593</f>
        <v>45821</v>
      </c>
      <c r="B1592" s="5">
        <f>prices!B1593/prices!B1592-1</f>
        <v>-9.5084169430333931E-3</v>
      </c>
      <c r="C1592" s="5">
        <f>prices!C1593/prices!C1592-1</f>
        <v>3.3473618224255652E-3</v>
      </c>
      <c r="D1592" s="5">
        <f>prices!D1593/prices!D1592-1</f>
        <v>-1.3274805437156756E-2</v>
      </c>
      <c r="E1592" s="5">
        <f>prices!E1593/prices!E1592-1</f>
        <v>-4.1075838766047035E-3</v>
      </c>
      <c r="F1592" s="5">
        <f>prices!F1593/prices!F1592-1</f>
        <v>-1.6865128792785677E-2</v>
      </c>
      <c r="G1592" s="5">
        <f>prices!G1593/prices!G1592-1</f>
        <v>1.4527673446247391E-3</v>
      </c>
      <c r="H1592" s="5">
        <f>prices!H1593/prices!H1592-1</f>
        <v>2.4000384006139797E-4</v>
      </c>
      <c r="I1592" s="5">
        <f>prices!I1593/prices!I1592-1</f>
        <v>-4.5782619415866144E-3</v>
      </c>
      <c r="J1592" s="5">
        <f>prices!J1593/prices!J1592-1</f>
        <v>-6.8144743292002374E-3</v>
      </c>
      <c r="K1592" s="8">
        <f>SUMPRODUCT(B1592:I1592,weights!$B$5:$I$5)</f>
        <v>-4.2450687349334121E-3</v>
      </c>
      <c r="L1592" s="4">
        <f t="shared" si="48"/>
        <v>288.95131492197368</v>
      </c>
      <c r="M1592" s="4">
        <f>L1592/MAX(L$2:L1592)-1</f>
        <v>-7.2970114706307987E-2</v>
      </c>
      <c r="N1592" s="4">
        <f t="shared" si="49"/>
        <v>-1.7852583689202506E-2</v>
      </c>
    </row>
    <row r="1593" spans="1:14">
      <c r="A1593" s="3">
        <f>prices!A1594</f>
        <v>45824</v>
      </c>
      <c r="B1593" s="5">
        <f>prices!B1594/prices!B1593-1</f>
        <v>6.9366448395458136E-3</v>
      </c>
      <c r="C1593" s="5">
        <f>prices!C1594/prices!C1593-1</f>
        <v>1.4685321048050426E-2</v>
      </c>
      <c r="D1593" s="5">
        <f>prices!D1594/prices!D1593-1</f>
        <v>9.284133158539376E-3</v>
      </c>
      <c r="E1593" s="5">
        <f>prices!E1594/prices!E1593-1</f>
        <v>1.3610287357066042E-2</v>
      </c>
      <c r="F1593" s="5">
        <f>prices!F1594/prices!F1593-1</f>
        <v>1.0388952236158655E-2</v>
      </c>
      <c r="G1593" s="5">
        <f>prices!G1594/prices!G1593-1</f>
        <v>9.8320674001426411E-3</v>
      </c>
      <c r="H1593" s="5">
        <f>prices!H1594/prices!H1593-1</f>
        <v>-1.4816681063442028E-3</v>
      </c>
      <c r="I1593" s="5">
        <f>prices!I1594/prices!I1593-1</f>
        <v>1.151237087285728E-2</v>
      </c>
      <c r="J1593" s="5">
        <f>prices!J1594/prices!J1593-1</f>
        <v>9.2197778191323021E-3</v>
      </c>
      <c r="K1593" s="8">
        <f>SUMPRODUCT(B1593:I1593,weights!$B$5:$I$5)</f>
        <v>8.8401850053316938E-3</v>
      </c>
      <c r="L1593" s="4">
        <f t="shared" si="48"/>
        <v>291.50569800341776</v>
      </c>
      <c r="M1593" s="4">
        <f>L1593/MAX(L$2:L1593)-1</f>
        <v>-6.4774999014840406E-2</v>
      </c>
      <c r="N1593" s="4">
        <f t="shared" si="49"/>
        <v>-4.5162876983632083E-3</v>
      </c>
    </row>
    <row r="1594" spans="1:14">
      <c r="A1594" s="3">
        <f>prices!A1595</f>
        <v>45825</v>
      </c>
      <c r="B1594" s="5">
        <f>prices!B1595/prices!B1594-1</f>
        <v>-4.5878960918701583E-3</v>
      </c>
      <c r="C1594" s="5">
        <f>prices!C1595/prices!C1594-1</f>
        <v>5.4340191117261405E-3</v>
      </c>
      <c r="D1594" s="5">
        <f>prices!D1595/prices!D1594-1</f>
        <v>-3.0023635628046996E-3</v>
      </c>
      <c r="E1594" s="5">
        <f>prices!E1595/prices!E1594-1</f>
        <v>9.9141455437448123E-3</v>
      </c>
      <c r="F1594" s="5">
        <f>prices!F1595/prices!F1594-1</f>
        <v>-1.9059561128526026E-3</v>
      </c>
      <c r="G1594" s="5">
        <f>prices!G1595/prices!G1594-1</f>
        <v>5.187988181784009E-3</v>
      </c>
      <c r="H1594" s="5">
        <f>prices!H1595/prices!H1594-1</f>
        <v>-2.0828201877962416E-2</v>
      </c>
      <c r="I1594" s="5">
        <f>prices!I1595/prices!I1594-1</f>
        <v>-1.7642475512020805E-3</v>
      </c>
      <c r="J1594" s="5">
        <f>prices!J1595/prices!J1594-1</f>
        <v>-3.7319864510051426E-3</v>
      </c>
      <c r="K1594" s="8">
        <f>SUMPRODUCT(B1594:I1594,weights!$B$5:$I$5)</f>
        <v>-2.1298328736921324E-3</v>
      </c>
      <c r="L1594" s="4">
        <f t="shared" si="48"/>
        <v>290.88483958494152</v>
      </c>
      <c r="M1594" s="4">
        <f>L1594/MAX(L$2:L1594)-1</f>
        <v>-6.6766871966237318E-2</v>
      </c>
      <c r="N1594" s="4">
        <f t="shared" si="49"/>
        <v>5.3024398111536364E-3</v>
      </c>
    </row>
    <row r="1595" spans="1:14">
      <c r="A1595" s="3">
        <f>prices!A1596</f>
        <v>45826</v>
      </c>
      <c r="B1595" s="5">
        <f>prices!B1596/prices!B1595-1</f>
        <v>-7.6817364952963541E-4</v>
      </c>
      <c r="C1595" s="5">
        <f>prices!C1596/prices!C1595-1</f>
        <v>-1.8179007482675758E-2</v>
      </c>
      <c r="D1595" s="5">
        <f>prices!D1596/prices!D1595-1</f>
        <v>2.2318568194437116E-3</v>
      </c>
      <c r="E1595" s="5">
        <f>prices!E1596/prices!E1595-1</f>
        <v>-4.2695577370711613E-3</v>
      </c>
      <c r="F1595" s="5">
        <f>prices!F1596/prices!F1595-1</f>
        <v>-3.5930551018870105E-3</v>
      </c>
      <c r="G1595" s="5">
        <f>prices!G1596/prices!G1595-1</f>
        <v>1.2147127368527633E-2</v>
      </c>
      <c r="H1595" s="5">
        <f>prices!H1596/prices!H1595-1</f>
        <v>-1.3313700227007841E-3</v>
      </c>
      <c r="I1595" s="5">
        <f>prices!I1596/prices!I1595-1</f>
        <v>-5.7425444489667132E-3</v>
      </c>
      <c r="J1595" s="5">
        <f>prices!J1596/prices!J1595-1</f>
        <v>-1.6637562667483063E-3</v>
      </c>
      <c r="K1595" s="8">
        <f>SUMPRODUCT(B1595:I1595,weights!$B$5:$I$5)</f>
        <v>-1.1608932093612983E-3</v>
      </c>
      <c r="L1595" s="4">
        <f t="shared" si="48"/>
        <v>290.54715334996121</v>
      </c>
      <c r="M1595" s="4">
        <f>L1595/MAX(L$2:L1595)-1</f>
        <v>-6.7850255967322748E-2</v>
      </c>
      <c r="N1595" s="4">
        <f t="shared" si="49"/>
        <v>-4.2547883639676431E-4</v>
      </c>
    </row>
    <row r="1596" spans="1:14">
      <c r="A1596" s="3">
        <f>prices!A1597</f>
        <v>45827</v>
      </c>
      <c r="B1596" s="5">
        <f>prices!B1597/prices!B1596-1</f>
        <v>2.2357637566474686E-3</v>
      </c>
      <c r="C1596" s="5">
        <f>prices!C1597/prices!C1596-1</f>
        <v>-7.9361234413889425E-3</v>
      </c>
      <c r="D1596" s="5">
        <f>prices!D1597/prices!D1596-1</f>
        <v>7.2453730834398655E-4</v>
      </c>
      <c r="E1596" s="5">
        <f>prices!E1597/prices!E1596-1</f>
        <v>-8.8742925022710084E-3</v>
      </c>
      <c r="F1596" s="5">
        <f>prices!F1597/prices!F1596-1</f>
        <v>2.269517853539238E-4</v>
      </c>
      <c r="G1596" s="5">
        <f>prices!G1597/prices!G1596-1</f>
        <v>4.5498594437014539E-3</v>
      </c>
      <c r="H1596" s="5">
        <f>prices!H1597/prices!H1596-1</f>
        <v>-2.4574100127172649E-4</v>
      </c>
      <c r="I1596" s="5">
        <f>prices!I1597/prices!I1596-1</f>
        <v>5.4420662468528391E-3</v>
      </c>
      <c r="J1596" s="5">
        <f>prices!J1597/prices!J1596-1</f>
        <v>-7.5769636124378703E-4</v>
      </c>
      <c r="K1596" s="8">
        <f>SUMPRODUCT(B1596:I1596,weights!$B$5:$I$5)</f>
        <v>8.2793881036165957E-4</v>
      </c>
      <c r="L1596" s="4">
        <f t="shared" si="48"/>
        <v>290.78770861445975</v>
      </c>
      <c r="M1596" s="4">
        <f>L1596/MAX(L$2:L1596)-1</f>
        <v>-6.7078493017169394E-2</v>
      </c>
      <c r="N1596" s="4">
        <f t="shared" si="49"/>
        <v>1.2076788628593071E-2</v>
      </c>
    </row>
    <row r="1597" spans="1:14">
      <c r="A1597" s="3">
        <f>prices!A1598</f>
        <v>45828</v>
      </c>
      <c r="B1597" s="5">
        <f>prices!B1598/prices!B1597-1</f>
        <v>2.2955180397317587E-2</v>
      </c>
      <c r="C1597" s="5">
        <f>prices!C1598/prices!C1597-1</f>
        <v>3.4153234790517129E-3</v>
      </c>
      <c r="D1597" s="5">
        <f>prices!D1598/prices!D1597-1</f>
        <v>1.519362017014303E-2</v>
      </c>
      <c r="E1597" s="5">
        <f>prices!E1598/prices!E1597-1</f>
        <v>2.7752140696302163E-3</v>
      </c>
      <c r="F1597" s="5">
        <f>prices!F1598/prices!F1597-1</f>
        <v>6.151518971385439E-3</v>
      </c>
      <c r="G1597" s="5">
        <f>prices!G1598/prices!G1597-1</f>
        <v>-1.1711795747557652E-3</v>
      </c>
      <c r="H1597" s="5">
        <f>prices!H1598/prices!H1597-1</f>
        <v>1.0624765720536056E-2</v>
      </c>
      <c r="I1597" s="5">
        <f>prices!I1598/prices!I1597-1</f>
        <v>1.1296488914047886E-2</v>
      </c>
      <c r="J1597" s="5">
        <f>prices!J1598/prices!J1597-1</f>
        <v>1.2872455204541611E-2</v>
      </c>
      <c r="K1597" s="8">
        <f>SUMPRODUCT(B1597:I1597,weights!$B$5:$I$5)</f>
        <v>8.7011512216182939E-3</v>
      </c>
      <c r="L1597" s="4">
        <f t="shared" si="48"/>
        <v>293.31789644050201</v>
      </c>
      <c r="M1597" s="4">
        <f>L1597/MAX(L$2:L1597)-1</f>
        <v>-5.8961001907011812E-2</v>
      </c>
      <c r="N1597" s="4">
        <f t="shared" si="49"/>
        <v>1.5061180611600111E-2</v>
      </c>
    </row>
    <row r="1598" spans="1:14">
      <c r="A1598" s="3">
        <f>prices!A1599</f>
        <v>45831</v>
      </c>
      <c r="B1598" s="5">
        <f>prices!B1599/prices!B1598-1</f>
        <v>-6.4114470470885143E-3</v>
      </c>
      <c r="C1598" s="5">
        <f>prices!C1599/prices!C1598-1</f>
        <v>-1.2252098795473843E-2</v>
      </c>
      <c r="D1598" s="5">
        <f>prices!D1599/prices!D1598-1</f>
        <v>-8.2959265008180072E-3</v>
      </c>
      <c r="E1598" s="5">
        <f>prices!E1599/prices!E1598-1</f>
        <v>-2.3968246866551191E-2</v>
      </c>
      <c r="F1598" s="5">
        <f>prices!F1599/prices!F1598-1</f>
        <v>-1.1125310080432937E-2</v>
      </c>
      <c r="G1598" s="5">
        <f>prices!G1599/prices!G1598-1</f>
        <v>-7.1925620718664707E-3</v>
      </c>
      <c r="H1598" s="5">
        <f>prices!H1599/prices!H1598-1</f>
        <v>-1.5626710121486864E-3</v>
      </c>
      <c r="I1598" s="5">
        <f>prices!I1599/prices!I1598-1</f>
        <v>-2.1381025649509944E-2</v>
      </c>
      <c r="J1598" s="5">
        <f>prices!J1599/prices!J1598-1</f>
        <v>-5.594845574297902E-3</v>
      </c>
      <c r="K1598" s="8">
        <f>SUMPRODUCT(B1598:I1598,weights!$B$5:$I$5)</f>
        <v>-1.1315953362070225E-2</v>
      </c>
      <c r="L1598" s="4">
        <f t="shared" si="48"/>
        <v>289.99872480412074</v>
      </c>
      <c r="M1598" s="4">
        <f>L1598/MAX(L$2:L1598)-1</f>
        <v>-6.9609755321321409E-2</v>
      </c>
      <c r="N1598" s="4">
        <f t="shared" si="49"/>
        <v>-1.5665884358030402E-3</v>
      </c>
    </row>
    <row r="1599" spans="1:14">
      <c r="A1599" s="3">
        <f>prices!A1600</f>
        <v>45832</v>
      </c>
      <c r="B1599" s="5">
        <f>prices!B1600/prices!B1599-1</f>
        <v>-4.1195571649137452E-3</v>
      </c>
      <c r="C1599" s="5">
        <f>prices!C1600/prices!C1599-1</f>
        <v>-9.4539497185375243E-4</v>
      </c>
      <c r="D1599" s="5">
        <f>prices!D1600/prices!D1599-1</f>
        <v>6.4088327675368983E-3</v>
      </c>
      <c r="E1599" s="5">
        <f>prices!E1600/prices!E1599-1</f>
        <v>-1.5127007930219039E-3</v>
      </c>
      <c r="F1599" s="5">
        <f>prices!F1600/prices!F1599-1</f>
        <v>1.0895730394020475E-3</v>
      </c>
      <c r="G1599" s="5">
        <f>prices!G1600/prices!G1599-1</f>
        <v>-6.9295093868763091E-3</v>
      </c>
      <c r="H1599" s="5">
        <f>prices!H1600/prices!H1599-1</f>
        <v>-4.8110593465477969E-4</v>
      </c>
      <c r="I1599" s="5">
        <f>prices!I1600/prices!I1599-1</f>
        <v>5.8860987760069872E-3</v>
      </c>
      <c r="J1599" s="5">
        <f>prices!J1600/prices!J1599-1</f>
        <v>2.9012610173835274E-3</v>
      </c>
      <c r="K1599" s="8">
        <f>SUMPRODUCT(B1599:I1599,weights!$B$5:$I$5)</f>
        <v>-4.2798021314046308E-4</v>
      </c>
      <c r="L1599" s="4">
        <f t="shared" si="48"/>
        <v>289.8746110880686</v>
      </c>
      <c r="M1599" s="4">
        <f>L1599/MAX(L$2:L1599)-1</f>
        <v>-7.0007943936542749E-2</v>
      </c>
      <c r="N1599" s="4">
        <f t="shared" si="49"/>
        <v>2.8163588172203102E-3</v>
      </c>
    </row>
    <row r="1600" spans="1:14">
      <c r="A1600" s="3">
        <f>prices!A1601</f>
        <v>45833</v>
      </c>
      <c r="B1600" s="5">
        <f>prices!B1601/prices!B1600-1</f>
        <v>1.1373906756211749E-2</v>
      </c>
      <c r="C1600" s="5">
        <f>prices!C1601/prices!C1600-1</f>
        <v>1.6046852122986843E-2</v>
      </c>
      <c r="D1600" s="5">
        <f>prices!D1601/prices!D1600-1</f>
        <v>9.8462637789897833E-3</v>
      </c>
      <c r="E1600" s="5">
        <f>prices!E1601/prices!E1600-1</f>
        <v>2.1052493507174752E-2</v>
      </c>
      <c r="F1600" s="5">
        <f>prices!F1601/prices!F1600-1</f>
        <v>4.8344639060444727E-3</v>
      </c>
      <c r="G1600" s="5">
        <f>prices!G1601/prices!G1600-1</f>
        <v>1.2369736850627255E-2</v>
      </c>
      <c r="H1600" s="5">
        <f>prices!H1601/prices!H1600-1</f>
        <v>4.7524462912640342E-3</v>
      </c>
      <c r="I1600" s="5">
        <f>prices!I1601/prices!I1600-1</f>
        <v>4.1625466045553949E-3</v>
      </c>
      <c r="J1600" s="5">
        <f>prices!J1601/prices!J1600-1</f>
        <v>8.001804798287937E-3</v>
      </c>
      <c r="K1600" s="8">
        <f>SUMPRODUCT(B1600:I1600,weights!$B$5:$I$5)</f>
        <v>9.7183933340340527E-3</v>
      </c>
      <c r="L1600" s="4">
        <f t="shared" si="48"/>
        <v>292.69172657617264</v>
      </c>
      <c r="M1600" s="4">
        <f>L1600/MAX(L$2:L1600)-1</f>
        <v>-6.0969915338190961E-2</v>
      </c>
      <c r="N1600" s="4">
        <f t="shared" si="49"/>
        <v>1.7134070595487216E-2</v>
      </c>
    </row>
    <row r="1601" spans="1:14">
      <c r="A1601" s="3">
        <f>prices!A1602</f>
        <v>45834</v>
      </c>
      <c r="B1601" s="5">
        <f>prices!B1602/prices!B1601-1</f>
        <v>1.9082447722617024E-2</v>
      </c>
      <c r="C1601" s="5">
        <f>prices!C1602/prices!C1601-1</f>
        <v>-8.7067053766176628E-4</v>
      </c>
      <c r="D1601" s="5">
        <f>prices!D1602/prices!D1601-1</f>
        <v>2.1009365244536893E-2</v>
      </c>
      <c r="E1601" s="5">
        <f>prices!E1602/prices!E1601-1</f>
        <v>6.8085762367853242E-4</v>
      </c>
      <c r="F1601" s="5">
        <f>prices!F1602/prices!F1601-1</f>
        <v>9.4712713166578144E-3</v>
      </c>
      <c r="G1601" s="5">
        <f>prices!G1602/prices!G1601-1</f>
        <v>-4.0728653443381502E-3</v>
      </c>
      <c r="H1601" s="5">
        <f>prices!H1602/prices!H1601-1</f>
        <v>1.212812147526332E-4</v>
      </c>
      <c r="I1601" s="5">
        <f>prices!I1602/prices!I1601-1</f>
        <v>1.0993670480000217E-2</v>
      </c>
      <c r="J1601" s="5">
        <f>prices!J1602/prices!J1601-1</f>
        <v>1.2052010814129765E-2</v>
      </c>
      <c r="K1601" s="8">
        <f>SUMPRODUCT(B1601:I1601,weights!$B$5:$I$5)</f>
        <v>6.1564950684631949E-3</v>
      </c>
      <c r="L1601" s="4">
        <f t="shared" si="48"/>
        <v>294.4936817474188</v>
      </c>
      <c r="M1601" s="4">
        <f>L1601/MAX(L$2:L1601)-1</f>
        <v>-5.5188781252831998E-2</v>
      </c>
      <c r="N1601" s="4">
        <f t="shared" si="49"/>
        <v>1.7764089720219367E-2</v>
      </c>
    </row>
    <row r="1602" spans="1:14">
      <c r="A1602" s="3">
        <f>prices!A1603</f>
        <v>45835</v>
      </c>
      <c r="B1602" s="5">
        <f>prices!B1603/prices!B1602-1</f>
        <v>1.3443507588532855E-2</v>
      </c>
      <c r="C1602" s="5">
        <f>prices!C1603/prices!C1602-1</f>
        <v>-2.0343470656825069E-4</v>
      </c>
      <c r="D1602" s="5">
        <f>prices!D1603/prices!D1602-1</f>
        <v>7.5520541383422568E-3</v>
      </c>
      <c r="E1602" s="5">
        <f>prices!E1603/prices!E1602-1</f>
        <v>-4.9489062339529433E-3</v>
      </c>
      <c r="F1602" s="5">
        <f>prices!F1603/prices!F1602-1</f>
        <v>-3.9176543980037337E-3</v>
      </c>
      <c r="G1602" s="5">
        <f>prices!G1603/prices!G1602-1</f>
        <v>-5.7412287674907247E-3</v>
      </c>
      <c r="H1602" s="5">
        <f>prices!H1603/prices!H1602-1</f>
        <v>1.0659326000751701E-2</v>
      </c>
      <c r="I1602" s="5">
        <f>prices!I1603/prices!I1602-1</f>
        <v>5.355664698416307E-3</v>
      </c>
      <c r="J1602" s="5">
        <f>prices!J1603/prices!J1602-1</f>
        <v>3.4756741946846414E-3</v>
      </c>
      <c r="K1602" s="8">
        <f>SUMPRODUCT(B1602:I1602,weights!$B$5:$I$5)</f>
        <v>3.0545669604279744E-3</v>
      </c>
      <c r="L1602" s="4">
        <f t="shared" si="48"/>
        <v>295.39323241773928</v>
      </c>
      <c r="M1602" s="4">
        <f>L1602/MAX(L$2:L1602)-1</f>
        <v>-5.2302792120205166E-2</v>
      </c>
      <c r="N1602" s="4">
        <f t="shared" si="49"/>
        <v>2.3081347431638477E-2</v>
      </c>
    </row>
    <row r="1603" spans="1:14">
      <c r="A1603" s="3">
        <f>prices!A1604</f>
        <v>45838</v>
      </c>
      <c r="B1603" s="5">
        <f>prices!B1604/prices!B1603-1</f>
        <v>-9.7708379092537045E-3</v>
      </c>
      <c r="C1603" s="5">
        <f>prices!C1604/prices!C1603-1</f>
        <v>6.073913452807167E-3</v>
      </c>
      <c r="D1603" s="5">
        <f>prices!D1604/prices!D1603-1</f>
        <v>-6.6558769977747012E-3</v>
      </c>
      <c r="E1603" s="5">
        <f>prices!E1604/prices!E1603-1</f>
        <v>-3.8575418814225104E-3</v>
      </c>
      <c r="F1603" s="5">
        <f>prices!F1604/prices!F1603-1</f>
        <v>-5.2607846084473664E-3</v>
      </c>
      <c r="G1603" s="5">
        <f>prices!G1604/prices!G1603-1</f>
        <v>-1.914267808513459E-2</v>
      </c>
      <c r="H1603" s="5">
        <f>prices!H1604/prices!H1603-1</f>
        <v>-7.0552662523097887E-3</v>
      </c>
      <c r="I1603" s="5">
        <f>prices!I1604/prices!I1603-1</f>
        <v>-2.5551582084800684E-3</v>
      </c>
      <c r="J1603" s="5">
        <f>prices!J1604/prices!J1603-1</f>
        <v>-4.7098424981862896E-3</v>
      </c>
      <c r="K1603" s="8">
        <f>SUMPRODUCT(B1603:I1603,weights!$B$5:$I$5)</f>
        <v>-7.2606623884592554E-3</v>
      </c>
      <c r="L1603" s="4">
        <f t="shared" si="48"/>
        <v>293.24848188531843</v>
      </c>
      <c r="M1603" s="4">
        <f>L1603/MAX(L$2:L1603)-1</f>
        <v>-5.9183701593105709E-2</v>
      </c>
      <c r="N1603" s="4">
        <f t="shared" si="49"/>
        <v>1.7889314316086535E-2</v>
      </c>
    </row>
    <row r="1604" spans="1:14">
      <c r="A1604" s="3">
        <f>prices!A1605</f>
        <v>45839</v>
      </c>
      <c r="B1604" s="5">
        <f>prices!B1605/prices!B1604-1</f>
        <v>1.8524617711308977E-2</v>
      </c>
      <c r="C1604" s="5">
        <f>prices!C1605/prices!C1604-1</f>
        <v>-9.3305602260344012E-3</v>
      </c>
      <c r="D1604" s="5">
        <f>prices!D1605/prices!D1604-1</f>
        <v>5.2952078369077338E-3</v>
      </c>
      <c r="E1604" s="5">
        <f>prices!E1605/prices!E1604-1</f>
        <v>3.1212966980307399E-3</v>
      </c>
      <c r="F1604" s="5">
        <f>prices!F1605/prices!F1604-1</f>
        <v>-3.2235317820086262E-3</v>
      </c>
      <c r="G1604" s="5">
        <f>prices!G1605/prices!G1604-1</f>
        <v>3.3873324962432338E-3</v>
      </c>
      <c r="H1604" s="5">
        <f>prices!H1605/prices!H1604-1</f>
        <v>-5.0692413659761959E-3</v>
      </c>
      <c r="I1604" s="5">
        <f>prices!I1605/prices!I1604-1</f>
        <v>-8.4472938392543551E-4</v>
      </c>
      <c r="J1604" s="5">
        <f>prices!J1605/prices!J1604-1</f>
        <v>9.6993970698022736E-4</v>
      </c>
      <c r="K1604" s="8">
        <f>SUMPRODUCT(B1604:I1604,weights!$B$5:$I$5)</f>
        <v>1.6550319546065292E-3</v>
      </c>
      <c r="L1604" s="4">
        <f t="shared" ref="L1604:L1667" si="50">L1603*(1+K1604)</f>
        <v>293.73381749347845</v>
      </c>
      <c r="M1604" s="4">
        <f>L1604/MAX(L$2:L1604)-1</f>
        <v>-5.762662055582779E-2</v>
      </c>
      <c r="N1604" s="4">
        <f t="shared" si="49"/>
        <v>2.6207791125184787E-2</v>
      </c>
    </row>
    <row r="1605" spans="1:14">
      <c r="A1605" s="3">
        <f>prices!A1606</f>
        <v>45840</v>
      </c>
      <c r="B1605" s="5">
        <f>prices!B1606/prices!B1605-1</f>
        <v>-6.2759435363061167E-3</v>
      </c>
      <c r="C1605" s="5">
        <f>prices!C1606/prices!C1605-1</f>
        <v>-1.8647961826526727E-3</v>
      </c>
      <c r="D1605" s="5">
        <f>prices!D1606/prices!D1605-1</f>
        <v>-1.296570166730826E-2</v>
      </c>
      <c r="E1605" s="5">
        <f>prices!E1606/prices!E1605-1</f>
        <v>2.3046383267162351E-3</v>
      </c>
      <c r="F1605" s="5">
        <f>prices!F1606/prices!F1605-1</f>
        <v>-5.1793835270338429E-3</v>
      </c>
      <c r="G1605" s="5">
        <f>prices!G1606/prices!G1605-1</f>
        <v>1.4466958631719651E-2</v>
      </c>
      <c r="H1605" s="5">
        <f>prices!H1606/prices!H1605-1</f>
        <v>6.1760258457874695E-3</v>
      </c>
      <c r="I1605" s="5">
        <f>prices!I1606/prices!I1605-1</f>
        <v>-1.9062411359236364E-2</v>
      </c>
      <c r="J1605" s="5">
        <f>prices!J1606/prices!J1605-1</f>
        <v>-3.4609933520737268E-3</v>
      </c>
      <c r="K1605" s="8">
        <f>SUMPRODUCT(B1605:I1605,weights!$B$5:$I$5)</f>
        <v>-2.1758092564624592E-3</v>
      </c>
      <c r="L1605" s="4">
        <f t="shared" si="50"/>
        <v>293.09470873444008</v>
      </c>
      <c r="M1605" s="4">
        <f>L1605/MAX(L$2:L1605)-1</f>
        <v>-5.9677045277866214E-2</v>
      </c>
      <c r="N1605" s="4">
        <f t="shared" si="49"/>
        <v>2.1710973682053103E-2</v>
      </c>
    </row>
    <row r="1606" spans="1:14">
      <c r="A1606" s="3">
        <f>prices!A1607</f>
        <v>45841</v>
      </c>
      <c r="B1606" s="5">
        <f>prices!B1607/prices!B1606-1</f>
        <v>-6.6409881790407965E-4</v>
      </c>
      <c r="C1606" s="5">
        <f>prices!C1607/prices!C1606-1</f>
        <v>-6.572560703840935E-3</v>
      </c>
      <c r="D1606" s="5">
        <f>prices!D1607/prices!D1606-1</f>
        <v>5.5417581740946353E-4</v>
      </c>
      <c r="E1606" s="5">
        <f>prices!E1607/prices!E1606-1</f>
        <v>5.0881735389214366E-3</v>
      </c>
      <c r="F1606" s="5">
        <f>prices!F1607/prices!F1606-1</f>
        <v>9.6507936507927994E-4</v>
      </c>
      <c r="G1606" s="5">
        <f>prices!G1607/prices!G1606-1</f>
        <v>1.0299538369076711E-2</v>
      </c>
      <c r="H1606" s="5">
        <f>prices!H1607/prices!H1606-1</f>
        <v>1.3157418248976871E-3</v>
      </c>
      <c r="I1606" s="5">
        <f>prices!I1607/prices!I1606-1</f>
        <v>-3.8657948742424342E-3</v>
      </c>
      <c r="J1606" s="5">
        <f>prices!J1607/prices!J1606-1</f>
        <v>-1.8897278948981633E-3</v>
      </c>
      <c r="K1606" s="8">
        <f>SUMPRODUCT(B1606:I1606,weights!$B$5:$I$5)</f>
        <v>1.3306241481406728E-3</v>
      </c>
      <c r="L1606" s="4">
        <f t="shared" si="50"/>
        <v>293.48470763157439</v>
      </c>
      <c r="M1606" s="4">
        <f>L1606/MAX(L$2:L1606)-1</f>
        <v>-5.8425828847261996E-2</v>
      </c>
      <c r="N1606" s="4">
        <f t="shared" si="49"/>
        <v>1.8710608031003773E-2</v>
      </c>
    </row>
    <row r="1607" spans="1:14">
      <c r="A1607" s="3">
        <f>prices!A1608</f>
        <v>45842</v>
      </c>
      <c r="B1607" s="5">
        <f>prices!B1608/prices!B1607-1</f>
        <v>6.2599681020734099E-3</v>
      </c>
      <c r="C1607" s="5">
        <f>prices!C1608/prices!C1607-1</f>
        <v>5.5866093460470445E-3</v>
      </c>
      <c r="D1607" s="5">
        <f>prices!D1608/prices!D1607-1</f>
        <v>1.1077377533437183E-3</v>
      </c>
      <c r="E1607" s="5">
        <f>prices!E1608/prices!E1607-1</f>
        <v>1.3591623305052147E-2</v>
      </c>
      <c r="F1607" s="5">
        <f>prices!F1608/prices!F1607-1</f>
        <v>-1.953670108847283E-3</v>
      </c>
      <c r="G1607" s="5">
        <f>prices!G1608/prices!G1607-1</f>
        <v>-8.3122364896133227E-3</v>
      </c>
      <c r="H1607" s="5">
        <f>prices!H1608/prices!H1607-1</f>
        <v>-2.0252676246503842E-3</v>
      </c>
      <c r="I1607" s="5">
        <f>prices!I1608/prices!I1607-1</f>
        <v>3.2664081347373308E-3</v>
      </c>
      <c r="J1607" s="5">
        <f>prices!J1608/prices!J1607-1</f>
        <v>2.1924559048702719E-3</v>
      </c>
      <c r="K1607" s="8">
        <f>SUMPRODUCT(B1607:I1607,weights!$B$5:$I$5)</f>
        <v>1.0805459144027883E-3</v>
      </c>
      <c r="L1607" s="4">
        <f t="shared" si="50"/>
        <v>293.80183133334538</v>
      </c>
      <c r="M1607" s="4">
        <f>L1607/MAX(L$2:L1607)-1</f>
        <v>-5.7408414723515766E-2</v>
      </c>
      <c r="N1607" s="4">
        <f t="shared" si="49"/>
        <v>1.1484618340428909E-2</v>
      </c>
    </row>
    <row r="1608" spans="1:14">
      <c r="A1608" s="3">
        <f>prices!A1609</f>
        <v>45845</v>
      </c>
      <c r="B1608" s="5">
        <f>prices!B1609/prices!B1608-1</f>
        <v>9.2985167280843495E-3</v>
      </c>
      <c r="C1608" s="5">
        <f>prices!C1609/prices!C1608-1</f>
        <v>-2.3682996219888119E-3</v>
      </c>
      <c r="D1608" s="5">
        <f>prices!D1609/prices!D1608-1</f>
        <v>-9.5282980205724233E-4</v>
      </c>
      <c r="E1608" s="5">
        <f>prices!E1609/prices!E1608-1</f>
        <v>-8.3452928123004533E-3</v>
      </c>
      <c r="F1608" s="5">
        <f>prices!F1609/prices!F1608-1</f>
        <v>8.7451698189953131E-3</v>
      </c>
      <c r="G1608" s="5">
        <f>prices!G1609/prices!G1608-1</f>
        <v>-9.9635077747816103E-3</v>
      </c>
      <c r="H1608" s="5">
        <f>prices!H1609/prices!H1608-1</f>
        <v>5.4479126401236755E-3</v>
      </c>
      <c r="I1608" s="5">
        <f>prices!I1609/prices!I1608-1</f>
        <v>-3.6715236401737572E-3</v>
      </c>
      <c r="J1608" s="5">
        <f>prices!J1609/prices!J1608-1</f>
        <v>1.1782726522913123E-5</v>
      </c>
      <c r="K1608" s="8">
        <f>SUMPRODUCT(B1608:I1608,weights!$B$5:$I$5)</f>
        <v>-9.0955416656062404E-4</v>
      </c>
      <c r="L1608" s="4">
        <f t="shared" si="50"/>
        <v>293.53460265351299</v>
      </c>
      <c r="M1608" s="4">
        <f>L1608/MAX(L$2:L1608)-1</f>
        <v>-5.8265752827268869E-2</v>
      </c>
      <c r="N1608" s="4">
        <f t="shared" si="49"/>
        <v>2.8858962711153513E-3</v>
      </c>
    </row>
    <row r="1609" spans="1:14">
      <c r="A1609" s="3">
        <f>prices!A1610</f>
        <v>45846</v>
      </c>
      <c r="B1609" s="5">
        <f>prices!B1610/prices!B1609-1</f>
        <v>-2.5322253484262314E-3</v>
      </c>
      <c r="C1609" s="5">
        <f>prices!C1610/prices!C1609-1</f>
        <v>-1.6142668104293101E-3</v>
      </c>
      <c r="D1609" s="5">
        <f>prices!D1610/prices!D1609-1</f>
        <v>7.0351037318867604E-3</v>
      </c>
      <c r="E1609" s="5">
        <f>prices!E1610/prices!E1609-1</f>
        <v>7.1914467686304828E-3</v>
      </c>
      <c r="F1609" s="5">
        <f>prices!F1610/prices!F1609-1</f>
        <v>2.520161290322509E-3</v>
      </c>
      <c r="G1609" s="5">
        <f>prices!G1610/prices!G1609-1</f>
        <v>-8.4670780466763462E-3</v>
      </c>
      <c r="H1609" s="5">
        <f>prices!H1610/prices!H1609-1</f>
        <v>-4.4092028593741839E-3</v>
      </c>
      <c r="I1609" s="5">
        <f>prices!I1610/prices!I1609-1</f>
        <v>6.9810192964845363E-3</v>
      </c>
      <c r="J1609" s="5">
        <f>prices!J1610/prices!J1609-1</f>
        <v>2.403647889149374E-3</v>
      </c>
      <c r="K1609" s="8">
        <f>SUMPRODUCT(B1609:I1609,weights!$B$5:$I$5)</f>
        <v>-5.6343768248139515E-5</v>
      </c>
      <c r="L1609" s="4">
        <f t="shared" si="50"/>
        <v>293.51806380788827</v>
      </c>
      <c r="M1609" s="4">
        <f>L1609/MAX(L$2:L1609)-1</f>
        <v>-5.8318813683442938E-2</v>
      </c>
      <c r="N1609" s="4">
        <f t="shared" si="49"/>
        <v>3.421354357140638E-3</v>
      </c>
    </row>
    <row r="1610" spans="1:14">
      <c r="A1610" s="3">
        <f>prices!A1611</f>
        <v>45847</v>
      </c>
      <c r="B1610" s="5">
        <f>prices!B1611/prices!B1610-1</f>
        <v>-1.2096324527856361E-2</v>
      </c>
      <c r="C1610" s="5">
        <f>prices!C1611/prices!C1610-1</f>
        <v>-6.5748902395247333E-3</v>
      </c>
      <c r="D1610" s="5">
        <f>prices!D1611/prices!D1610-1</f>
        <v>4.8983166491847197E-3</v>
      </c>
      <c r="E1610" s="5">
        <f>prices!E1611/prices!E1610-1</f>
        <v>-3.0509998037738795E-3</v>
      </c>
      <c r="F1610" s="5">
        <f>prices!F1611/prices!F1610-1</f>
        <v>5.3795877325288899E-3</v>
      </c>
      <c r="G1610" s="5">
        <f>prices!G1611/prices!G1610-1</f>
        <v>4.5110766052360862E-3</v>
      </c>
      <c r="H1610" s="5">
        <f>prices!H1611/prices!H1610-1</f>
        <v>-1.8523434860259202E-3</v>
      </c>
      <c r="I1610" s="5">
        <f>prices!I1611/prices!I1610-1</f>
        <v>-7.4058104112534329E-3</v>
      </c>
      <c r="J1610" s="5">
        <f>prices!J1611/prices!J1610-1</f>
        <v>-1.8180037222059742E-3</v>
      </c>
      <c r="K1610" s="8">
        <f>SUMPRODUCT(B1610:I1610,weights!$B$5:$I$5)</f>
        <v>-2.4229009279114339E-3</v>
      </c>
      <c r="L1610" s="4">
        <f t="shared" si="50"/>
        <v>292.80689861872935</v>
      </c>
      <c r="M1610" s="4">
        <f>L1610/MAX(L$2:L1610)-1</f>
        <v>-6.0600413903566186E-2</v>
      </c>
      <c r="N1610" s="4">
        <f t="shared" si="49"/>
        <v>-6.6394405202130358E-4</v>
      </c>
    </row>
    <row r="1611" spans="1:14">
      <c r="A1611" s="3">
        <f>prices!A1612</f>
        <v>45848</v>
      </c>
      <c r="B1611" s="5">
        <f>prices!B1612/prices!B1611-1</f>
        <v>-1.1819467592746324E-3</v>
      </c>
      <c r="C1611" s="5">
        <f>prices!C1612/prices!C1611-1</f>
        <v>-5.3120193703415364E-4</v>
      </c>
      <c r="D1611" s="5">
        <f>prices!D1612/prices!D1611-1</f>
        <v>-2.4828229189889361E-3</v>
      </c>
      <c r="E1611" s="5">
        <f>prices!E1612/prices!E1611-1</f>
        <v>-1.0958799738411074E-2</v>
      </c>
      <c r="F1611" s="5">
        <f>prices!F1612/prices!F1611-1</f>
        <v>-6.2009301395209437E-3</v>
      </c>
      <c r="G1611" s="5">
        <f>prices!G1612/prices!G1611-1</f>
        <v>1.4435299059016193E-2</v>
      </c>
      <c r="H1611" s="5">
        <f>prices!H1612/prices!H1611-1</f>
        <v>-4.1347043142374584E-3</v>
      </c>
      <c r="I1611" s="5">
        <f>prices!I1612/prices!I1611-1</f>
        <v>-1.3963052915739738E-3</v>
      </c>
      <c r="J1611" s="5">
        <f>prices!J1612/prices!J1611-1</f>
        <v>-4.7436617064621212E-3</v>
      </c>
      <c r="K1611" s="8">
        <f>SUMPRODUCT(B1611:I1611,weights!$B$5:$I$5)</f>
        <v>7.8173176508035955E-5</v>
      </c>
      <c r="L1611" s="4">
        <f t="shared" si="50"/>
        <v>292.82978826409783</v>
      </c>
      <c r="M1611" s="4">
        <f>L1611/MAX(L$2:L1611)-1</f>
        <v>-6.0526978053910718E-2</v>
      </c>
      <c r="N1611" s="4">
        <f t="shared" si="49"/>
        <v>9.1205356307815233E-3</v>
      </c>
    </row>
    <row r="1612" spans="1:14">
      <c r="A1612" s="3">
        <f>prices!A1613</f>
        <v>45849</v>
      </c>
      <c r="B1612" s="5">
        <f>prices!B1613/prices!B1612-1</f>
        <v>-1.4499305283171893E-2</v>
      </c>
      <c r="C1612" s="5">
        <f>prices!C1613/prices!C1612-1</f>
        <v>-3.4299275080186153E-2</v>
      </c>
      <c r="D1612" s="5">
        <f>prices!D1613/prices!D1612-1</f>
        <v>-1.1215750815275483E-2</v>
      </c>
      <c r="E1612" s="5">
        <f>prices!E1613/prices!E1612-1</f>
        <v>-1.2935489462230332E-2</v>
      </c>
      <c r="F1612" s="5">
        <f>prices!F1613/prices!F1612-1</f>
        <v>-1.0063905801827033E-4</v>
      </c>
      <c r="G1612" s="5">
        <f>prices!G1613/prices!G1612-1</f>
        <v>-6.0080128360339158E-3</v>
      </c>
      <c r="H1612" s="5">
        <f>prices!H1613/prices!H1612-1</f>
        <v>5.7179277064554057E-3</v>
      </c>
      <c r="I1612" s="5">
        <f>prices!I1613/prices!I1612-1</f>
        <v>-9.5392246590511043E-3</v>
      </c>
      <c r="J1612" s="5">
        <f>prices!J1613/prices!J1612-1</f>
        <v>-8.1008864041963724E-3</v>
      </c>
      <c r="K1612" s="8">
        <f>SUMPRODUCT(B1612:I1612,weights!$B$5:$I$5)</f>
        <v>-8.9798107182840169E-3</v>
      </c>
      <c r="L1612" s="4">
        <f t="shared" si="50"/>
        <v>290.20023219281103</v>
      </c>
      <c r="M1612" s="4">
        <f>L1612/MAX(L$2:L1612)-1</f>
        <v>-6.8963267965920894E-2</v>
      </c>
      <c r="N1612" s="4">
        <f t="shared" si="49"/>
        <v>4.3222411746925982E-3</v>
      </c>
    </row>
    <row r="1613" spans="1:14">
      <c r="A1613" s="3">
        <f>prices!A1614</f>
        <v>45852</v>
      </c>
      <c r="B1613" s="5">
        <f>prices!B1614/prices!B1613-1</f>
        <v>-7.6902320561252901E-3</v>
      </c>
      <c r="C1613" s="5">
        <f>prices!C1614/prices!C1613-1</f>
        <v>-1.3259866505397899E-2</v>
      </c>
      <c r="D1613" s="5">
        <f>prices!D1614/prices!D1613-1</f>
        <v>-3.4933062088371436E-4</v>
      </c>
      <c r="E1613" s="5">
        <f>prices!E1614/prices!E1613-1</f>
        <v>-1.5426839579078866E-2</v>
      </c>
      <c r="F1613" s="5">
        <f>prices!F1614/prices!F1613-1</f>
        <v>6.2402496099842608E-3</v>
      </c>
      <c r="G1613" s="5">
        <f>prices!G1614/prices!G1613-1</f>
        <v>-4.7719654943941814E-3</v>
      </c>
      <c r="H1613" s="5">
        <f>prices!H1614/prices!H1613-1</f>
        <v>6.33725035760202E-3</v>
      </c>
      <c r="I1613" s="5">
        <f>prices!I1614/prices!I1613-1</f>
        <v>-1.2625664865173136E-2</v>
      </c>
      <c r="J1613" s="5">
        <f>prices!J1614/prices!J1613-1</f>
        <v>-2.68590071113739E-3</v>
      </c>
      <c r="K1613" s="8">
        <f>SUMPRODUCT(B1613:I1613,weights!$B$5:$I$5)</f>
        <v>-5.4135639802525195E-3</v>
      </c>
      <c r="L1613" s="4">
        <f t="shared" si="50"/>
        <v>288.6292146687511</v>
      </c>
      <c r="M1613" s="4">
        <f>L1613/MAX(L$2:L1613)-1</f>
        <v>-7.4003494882752596E-2</v>
      </c>
      <c r="N1613" s="4">
        <f t="shared" si="49"/>
        <v>-9.8676744721227783E-3</v>
      </c>
    </row>
    <row r="1614" spans="1:14">
      <c r="A1614" s="3">
        <f>prices!A1615</f>
        <v>45853</v>
      </c>
      <c r="B1614" s="5">
        <f>prices!B1615/prices!B1614-1</f>
        <v>1.1420802175390321E-3</v>
      </c>
      <c r="C1614" s="5">
        <f>prices!C1615/prices!C1614-1</f>
        <v>9.1867772668607905E-3</v>
      </c>
      <c r="D1614" s="5">
        <f>prices!D1615/prices!D1614-1</f>
        <v>6.3004265378487911E-3</v>
      </c>
      <c r="E1614" s="5">
        <f>prices!E1615/prices!E1614-1</f>
        <v>9.7433051933468739E-3</v>
      </c>
      <c r="F1614" s="5">
        <f>prices!F1615/prices!F1614-1</f>
        <v>6.4266066516629472E-3</v>
      </c>
      <c r="G1614" s="5">
        <f>prices!G1615/prices!G1614-1</f>
        <v>1.7581919097062748E-3</v>
      </c>
      <c r="H1614" s="5">
        <f>prices!H1615/prices!H1614-1</f>
        <v>2.6682739883769013E-2</v>
      </c>
      <c r="I1614" s="5">
        <f>prices!I1615/prices!I1614-1</f>
        <v>-5.4302615768553331E-4</v>
      </c>
      <c r="J1614" s="5">
        <f>prices!J1615/prices!J1614-1</f>
        <v>4.5251033597397683E-3</v>
      </c>
      <c r="K1614" s="8">
        <f>SUMPRODUCT(B1614:I1614,weights!$B$5:$I$5)</f>
        <v>7.042830426031388E-3</v>
      </c>
      <c r="L1614" s="4">
        <f t="shared" si="50"/>
        <v>290.66198128366176</v>
      </c>
      <c r="M1614" s="4">
        <f>L1614/MAX(L$2:L1614)-1</f>
        <v>-6.748185852211408E-2</v>
      </c>
      <c r="N1614" s="4">
        <f t="shared" si="49"/>
        <v>-7.661392790279109E-4</v>
      </c>
    </row>
    <row r="1615" spans="1:14">
      <c r="A1615" s="3">
        <f>prices!A1616</f>
        <v>45854</v>
      </c>
      <c r="B1615" s="5">
        <f>prices!B1616/prices!B1615-1</f>
        <v>1.3580682836744629E-4</v>
      </c>
      <c r="C1615" s="5">
        <f>prices!C1616/prices!C1615-1</f>
        <v>-2.532044175816428E-3</v>
      </c>
      <c r="D1615" s="5">
        <f>prices!D1616/prices!D1615-1</f>
        <v>3.9833312906001339E-4</v>
      </c>
      <c r="E1615" s="5">
        <f>prices!E1616/prices!E1615-1</f>
        <v>1.406506564787624E-2</v>
      </c>
      <c r="F1615" s="5">
        <f>prices!F1616/prices!F1615-1</f>
        <v>5.9134842348498307E-3</v>
      </c>
      <c r="G1615" s="5">
        <f>prices!G1616/prices!G1615-1</f>
        <v>2.2331790794611894E-3</v>
      </c>
      <c r="H1615" s="5">
        <f>prices!H1616/prices!H1615-1</f>
        <v>-1.5340039489210588E-2</v>
      </c>
      <c r="I1615" s="5">
        <f>prices!I1616/prices!I1615-1</f>
        <v>2.8061961736316476E-3</v>
      </c>
      <c r="J1615" s="5">
        <f>prices!J1616/prices!J1615-1</f>
        <v>6.4494876130138934E-4</v>
      </c>
      <c r="K1615" s="8">
        <f>SUMPRODUCT(B1615:I1615,weights!$B$5:$I$5)</f>
        <v>1.8440789776724004E-4</v>
      </c>
      <c r="L1615" s="4">
        <f t="shared" si="50"/>
        <v>290.71558164859118</v>
      </c>
      <c r="M1615" s="4">
        <f>L1615/MAX(L$2:L1615)-1</f>
        <v>-6.7309894812014215E-2</v>
      </c>
      <c r="N1615" s="4">
        <f t="shared" si="49"/>
        <v>5.7969350822406618E-4</v>
      </c>
    </row>
    <row r="1616" spans="1:14">
      <c r="A1616" s="3">
        <f>prices!A1617</f>
        <v>45855</v>
      </c>
      <c r="B1616" s="5">
        <f>prices!B1617/prices!B1616-1</f>
        <v>-6.1919504643963563E-3</v>
      </c>
      <c r="C1616" s="5">
        <f>prices!C1617/prices!C1616-1</f>
        <v>-7.3899163399618883E-3</v>
      </c>
      <c r="D1616" s="5">
        <f>prices!D1617/prices!D1616-1</f>
        <v>-4.7066270534064092E-3</v>
      </c>
      <c r="E1616" s="5">
        <f>prices!E1617/prices!E1616-1</f>
        <v>-1.5173116746553417E-2</v>
      </c>
      <c r="F1616" s="5">
        <f>prices!F1617/prices!F1616-1</f>
        <v>-1.5314313943436408E-3</v>
      </c>
      <c r="G1616" s="5">
        <f>prices!G1617/prices!G1616-1</f>
        <v>-7.0039688344107898E-3</v>
      </c>
      <c r="H1616" s="5">
        <f>prices!H1617/prices!H1616-1</f>
        <v>1.4119601328903553E-3</v>
      </c>
      <c r="I1616" s="5">
        <f>prices!I1617/prices!I1616-1</f>
        <v>-8.5045433455045449E-3</v>
      </c>
      <c r="J1616" s="5">
        <f>prices!J1617/prices!J1616-1</f>
        <v>-3.9901555010400935E-3</v>
      </c>
      <c r="K1616" s="8">
        <f>SUMPRODUCT(B1616:I1616,weights!$B$5:$I$5)</f>
        <v>-6.024756990654084E-3</v>
      </c>
      <c r="L1616" s="4">
        <f t="shared" si="50"/>
        <v>288.96409091576174</v>
      </c>
      <c r="M1616" s="4">
        <f>L1616/MAX(L$2:L1616)-1</f>
        <v>-7.2929126043359438E-2</v>
      </c>
      <c r="N1616" s="4">
        <f t="shared" si="49"/>
        <v>-6.271302550534652E-3</v>
      </c>
    </row>
    <row r="1617" spans="1:14">
      <c r="A1617" s="3">
        <f>prices!A1618</f>
        <v>45856</v>
      </c>
      <c r="B1617" s="5">
        <f>prices!B1618/prices!B1617-1</f>
        <v>-2.7326884188672018E-4</v>
      </c>
      <c r="C1617" s="5">
        <f>prices!C1618/prices!C1617-1</f>
        <v>-6.0137150349365287E-3</v>
      </c>
      <c r="D1617" s="5">
        <f>prices!D1618/prices!D1617-1</f>
        <v>-1.4843156966128479E-2</v>
      </c>
      <c r="E1617" s="5">
        <f>prices!E1618/prices!E1617-1</f>
        <v>1.6441873718548994E-3</v>
      </c>
      <c r="F1617" s="5">
        <f>prices!F1618/prices!F1617-1</f>
        <v>-2.8201766321155342E-3</v>
      </c>
      <c r="G1617" s="5">
        <f>prices!G1618/prices!G1617-1</f>
        <v>-4.5688556747347508E-3</v>
      </c>
      <c r="H1617" s="5">
        <f>prices!H1618/prices!H1617-1</f>
        <v>-5.7524378250927155E-3</v>
      </c>
      <c r="I1617" s="5">
        <f>prices!I1618/prices!I1617-1</f>
        <v>-2.647947913033355E-3</v>
      </c>
      <c r="J1617" s="5">
        <f>prices!J1618/prices!J1617-1</f>
        <v>-5.6966045369741813E-3</v>
      </c>
      <c r="K1617" s="8">
        <f>SUMPRODUCT(B1617:I1617,weights!$B$5:$I$5)</f>
        <v>-4.0400854190689121E-3</v>
      </c>
      <c r="L1617" s="4">
        <f t="shared" si="50"/>
        <v>287.79665130541849</v>
      </c>
      <c r="M1617" s="4">
        <f>L1617/MAX(L$2:L1617)-1</f>
        <v>-7.6674571563675076E-2</v>
      </c>
      <c r="N1617" s="4">
        <f t="shared" si="49"/>
        <v>-1.8823417193718606E-2</v>
      </c>
    </row>
    <row r="1618" spans="1:14">
      <c r="A1618" s="3">
        <f>prices!A1619</f>
        <v>45859</v>
      </c>
      <c r="B1618" s="5">
        <f>prices!B1619/prices!B1618-1</f>
        <v>-3.2111032145200058E-2</v>
      </c>
      <c r="C1618" s="5">
        <f>prices!C1619/prices!C1618-1</f>
        <v>-9.9387480573077669E-3</v>
      </c>
      <c r="D1618" s="5">
        <f>prices!D1619/prices!D1618-1</f>
        <v>2.2011891002613471E-2</v>
      </c>
      <c r="E1618" s="5">
        <f>prices!E1619/prices!E1618-1</f>
        <v>-1.1379242691779146E-3</v>
      </c>
      <c r="F1618" s="5">
        <f>prices!F1619/prices!F1618-1</f>
        <v>-6.2765139298914807E-3</v>
      </c>
      <c r="G1618" s="5">
        <f>prices!G1619/prices!G1618-1</f>
        <v>-1.1271093222053885E-3</v>
      </c>
      <c r="H1618" s="5">
        <f>prices!H1619/prices!H1618-1</f>
        <v>-7.6864866797354825E-4</v>
      </c>
      <c r="I1618" s="5">
        <f>prices!I1619/prices!I1618-1</f>
        <v>1.0966720970830179E-2</v>
      </c>
      <c r="J1618" s="5">
        <f>prices!J1619/prices!J1618-1</f>
        <v>4.8981913138206323E-3</v>
      </c>
      <c r="K1618" s="8">
        <f>SUMPRODUCT(B1618:I1618,weights!$B$5:$I$5)</f>
        <v>-2.119127637059375E-3</v>
      </c>
      <c r="L1618" s="4">
        <f t="shared" si="50"/>
        <v>287.18677346778406</v>
      </c>
      <c r="M1618" s="4">
        <f>L1618/MAX(L$2:L1618)-1</f>
        <v>-7.8631215997074122E-2</v>
      </c>
      <c r="N1618" s="4">
        <f t="shared" si="49"/>
        <v>-9.6964265557926144E-3</v>
      </c>
    </row>
    <row r="1619" spans="1:14">
      <c r="A1619" s="3">
        <f>prices!A1620</f>
        <v>45860</v>
      </c>
      <c r="B1619" s="5">
        <f>prices!B1620/prices!B1619-1</f>
        <v>-1.1063493296243121E-2</v>
      </c>
      <c r="C1619" s="5">
        <f>prices!C1620/prices!C1619-1</f>
        <v>4.4190586745451732E-4</v>
      </c>
      <c r="D1619" s="5">
        <f>prices!D1620/prices!D1619-1</f>
        <v>3.3009688954999117E-3</v>
      </c>
      <c r="E1619" s="5">
        <f>prices!E1620/prices!E1619-1</f>
        <v>-8.4590404357844928E-3</v>
      </c>
      <c r="F1619" s="5">
        <f>prices!F1620/prices!F1619-1</f>
        <v>-9.7613341322149161E-3</v>
      </c>
      <c r="G1619" s="5">
        <f>prices!G1620/prices!G1619-1</f>
        <v>7.0130821430189894E-3</v>
      </c>
      <c r="H1619" s="5">
        <f>prices!H1620/prices!H1619-1</f>
        <v>-8.449713174873974E-3</v>
      </c>
      <c r="I1619" s="5">
        <f>prices!I1620/prices!I1619-1</f>
        <v>-1.090541148253632E-2</v>
      </c>
      <c r="J1619" s="5">
        <f>prices!J1620/prices!J1619-1</f>
        <v>-1.1876910568456855E-3</v>
      </c>
      <c r="K1619" s="8">
        <f>SUMPRODUCT(B1619:I1619,weights!$B$5:$I$5)</f>
        <v>-4.7167683080829382E-3</v>
      </c>
      <c r="L1619" s="4">
        <f t="shared" si="50"/>
        <v>285.83217999619063</v>
      </c>
      <c r="M1619" s="4">
        <f>L1619/MAX(L$2:L1619)-1</f>
        <v>-8.2977099077516048E-2</v>
      </c>
      <c r="N1619" s="4">
        <f t="shared" si="49"/>
        <v>-1.3945447228732366E-2</v>
      </c>
    </row>
    <row r="1620" spans="1:14">
      <c r="A1620" s="3">
        <f>prices!A1621</f>
        <v>45861</v>
      </c>
      <c r="B1620" s="5">
        <f>prices!B1621/prices!B1620-1</f>
        <v>8.3529663739558835E-3</v>
      </c>
      <c r="C1620" s="5">
        <f>prices!C1621/prices!C1620-1</f>
        <v>6.1740603759155022E-3</v>
      </c>
      <c r="D1620" s="5">
        <f>prices!D1621/prices!D1620-1</f>
        <v>8.5705291590929544E-3</v>
      </c>
      <c r="E1620" s="5">
        <f>prices!E1621/prices!E1620-1</f>
        <v>2.2912759832016683E-3</v>
      </c>
      <c r="F1620" s="5">
        <f>prices!F1621/prices!F1620-1</f>
        <v>-2.5211143325349905E-3</v>
      </c>
      <c r="G1620" s="5">
        <f>prices!G1621/prices!G1620-1</f>
        <v>1.0807201422761592E-2</v>
      </c>
      <c r="H1620" s="5">
        <f>prices!H1621/prices!H1620-1</f>
        <v>2.6822066261329436E-3</v>
      </c>
      <c r="I1620" s="5">
        <f>prices!I1621/prices!I1620-1</f>
        <v>5.858196666365556E-3</v>
      </c>
      <c r="J1620" s="5">
        <f>prices!J1621/prices!J1620-1</f>
        <v>6.3445446891372548E-3</v>
      </c>
      <c r="K1620" s="8">
        <f>SUMPRODUCT(B1620:I1620,weights!$B$5:$I$5)</f>
        <v>5.8851177216923053E-3</v>
      </c>
      <c r="L1620" s="4">
        <f t="shared" si="50"/>
        <v>287.51433602411618</v>
      </c>
      <c r="M1620" s="4">
        <f>L1620/MAX(L$2:L1620)-1</f>
        <v>-7.7580311352099307E-2</v>
      </c>
      <c r="N1620" s="4">
        <f t="shared" si="49"/>
        <v>-1.7688885888986872E-2</v>
      </c>
    </row>
    <row r="1621" spans="1:14">
      <c r="A1621" s="3">
        <f>prices!A1622</f>
        <v>45862</v>
      </c>
      <c r="B1621" s="5">
        <f>prices!B1622/prices!B1621-1</f>
        <v>-1.5229396771452852E-2</v>
      </c>
      <c r="C1621" s="5">
        <f>prices!C1622/prices!C1621-1</f>
        <v>-9.7824983046070901E-3</v>
      </c>
      <c r="D1621" s="5">
        <f>prices!D1622/prices!D1621-1</f>
        <v>-4.9939086396633137E-3</v>
      </c>
      <c r="E1621" s="5">
        <f>prices!E1622/prices!E1621-1</f>
        <v>-1.3973160464059164E-2</v>
      </c>
      <c r="F1621" s="5">
        <f>prices!F1622/prices!F1621-1</f>
        <v>-1.2030835334260082E-2</v>
      </c>
      <c r="G1621" s="5">
        <f>prices!G1622/prices!G1621-1</f>
        <v>-5.5435214136302369E-3</v>
      </c>
      <c r="H1621" s="5">
        <f>prices!H1622/prices!H1621-1</f>
        <v>5.6499547163926245E-3</v>
      </c>
      <c r="I1621" s="5">
        <f>prices!I1622/prices!I1621-1</f>
        <v>-2.1239050878102406E-3</v>
      </c>
      <c r="J1621" s="5">
        <f>prices!J1622/prices!J1621-1</f>
        <v>-6.2569637468825601E-3</v>
      </c>
      <c r="K1621" s="8">
        <f>SUMPRODUCT(B1621:I1621,weights!$B$5:$I$5)</f>
        <v>-6.0026572265929968E-3</v>
      </c>
      <c r="L1621" s="4">
        <f t="shared" si="50"/>
        <v>285.78848601723195</v>
      </c>
      <c r="M1621" s="4">
        <f>L1621/MAX(L$2:L1621)-1</f>
        <v>-8.3117280562113316E-2</v>
      </c>
      <c r="N1621" s="4">
        <f t="shared" si="49"/>
        <v>-2.9559872655105512E-2</v>
      </c>
    </row>
    <row r="1622" spans="1:14">
      <c r="A1622" s="3">
        <f>prices!A1623</f>
        <v>45863</v>
      </c>
      <c r="B1622" s="5">
        <f>prices!B1623/prices!B1622-1</f>
        <v>-7.9876913343256417E-3</v>
      </c>
      <c r="C1622" s="5">
        <f>prices!C1623/prices!C1622-1</f>
        <v>-3.8775462939988348E-3</v>
      </c>
      <c r="D1622" s="5">
        <f>prices!D1623/prices!D1622-1</f>
        <v>-2.2868707310903513E-3</v>
      </c>
      <c r="E1622" s="5">
        <f>prices!E1623/prices!E1622-1</f>
        <v>-2.3698804035544918E-2</v>
      </c>
      <c r="F1622" s="5">
        <f>prices!F1623/prices!F1622-1</f>
        <v>-1.3558801708919432E-3</v>
      </c>
      <c r="G1622" s="5">
        <f>prices!G1623/prices!G1622-1</f>
        <v>-1.2184700744692911E-2</v>
      </c>
      <c r="H1622" s="5">
        <f>prices!H1623/prices!H1622-1</f>
        <v>4.1331432763360709E-3</v>
      </c>
      <c r="I1622" s="5">
        <f>prices!I1623/prices!I1622-1</f>
        <v>-9.9481395875559153E-3</v>
      </c>
      <c r="J1622" s="5">
        <f>prices!J1623/prices!J1622-1</f>
        <v>-8.9816894833233407E-3</v>
      </c>
      <c r="K1622" s="8">
        <f>SUMPRODUCT(B1622:I1622,weights!$B$5:$I$5)</f>
        <v>-7.3540361750171843E-3</v>
      </c>
      <c r="L1622" s="4">
        <f t="shared" si="50"/>
        <v>283.68678715265781</v>
      </c>
      <c r="M1622" s="4">
        <f>L1622/MAX(L$2:L1622)-1</f>
        <v>-8.9860069249107721E-2</v>
      </c>
      <c r="N1622" s="4">
        <f t="shared" si="49"/>
        <v>-3.963003881052507E-2</v>
      </c>
    </row>
    <row r="1623" spans="1:14">
      <c r="A1623" s="3">
        <f>prices!A1624</f>
        <v>45866</v>
      </c>
      <c r="B1623" s="5">
        <f>prices!B1624/prices!B1623-1</f>
        <v>-2.9424980794039435E-3</v>
      </c>
      <c r="C1623" s="5">
        <f>prices!C1624/prices!C1623-1</f>
        <v>-1.801840700675239E-2</v>
      </c>
      <c r="D1623" s="5">
        <f>prices!D1624/prices!D1623-1</f>
        <v>1.9472814125902627E-3</v>
      </c>
      <c r="E1623" s="5">
        <f>prices!E1624/prices!E1623-1</f>
        <v>1.9846293875702692E-4</v>
      </c>
      <c r="F1623" s="5">
        <f>prices!F1624/prices!F1623-1</f>
        <v>1.2296341838302638E-3</v>
      </c>
      <c r="G1623" s="5">
        <f>prices!G1624/prices!G1623-1</f>
        <v>-5.1600232773103549E-3</v>
      </c>
      <c r="H1623" s="5">
        <f>prices!H1624/prices!H1623-1</f>
        <v>1.8828476734655819E-3</v>
      </c>
      <c r="I1623" s="5">
        <f>prices!I1624/prices!I1623-1</f>
        <v>-6.0124354763022581E-3</v>
      </c>
      <c r="J1623" s="5">
        <f>prices!J1624/prices!J1623-1</f>
        <v>-6.2849780569311786E-3</v>
      </c>
      <c r="K1623" s="8">
        <f>SUMPRODUCT(B1623:I1623,weights!$B$5:$I$5)</f>
        <v>-3.5952725371036645E-3</v>
      </c>
      <c r="L1623" s="4">
        <f t="shared" si="50"/>
        <v>282.66685583766866</v>
      </c>
      <c r="M1623" s="4">
        <f>L1623/MAX(L$2:L1623)-1</f>
        <v>-9.3132270347057844E-2</v>
      </c>
      <c r="N1623" s="4">
        <f t="shared" ref="N1623:N1686" si="51">L1623/L1603-1</f>
        <v>-3.6084163094791233E-2</v>
      </c>
    </row>
    <row r="1624" spans="1:14">
      <c r="A1624" s="3">
        <f>prices!A1625</f>
        <v>45867</v>
      </c>
      <c r="B1624" s="5">
        <f>prices!B1625/prices!B1624-1</f>
        <v>2.1261593928997069E-2</v>
      </c>
      <c r="C1624" s="5">
        <f>prices!C1625/prices!C1624-1</f>
        <v>-7.5662256135508033E-3</v>
      </c>
      <c r="D1624" s="5">
        <f>prices!D1625/prices!D1624-1</f>
        <v>6.5188124424289118E-3</v>
      </c>
      <c r="E1624" s="5">
        <f>prices!E1625/prices!E1624-1</f>
        <v>-1.5189665553669851E-3</v>
      </c>
      <c r="F1624" s="5">
        <f>prices!F1625/prices!F1624-1</f>
        <v>-3.5308566165183075E-3</v>
      </c>
      <c r="G1624" s="5">
        <f>prices!G1625/prices!G1624-1</f>
        <v>1.0453829402770731E-2</v>
      </c>
      <c r="H1624" s="5">
        <f>prices!H1625/prices!H1624-1</f>
        <v>4.8790898689226037E-3</v>
      </c>
      <c r="I1624" s="5">
        <f>prices!I1625/prices!I1624-1</f>
        <v>2.1448172081083516E-2</v>
      </c>
      <c r="J1624" s="5">
        <f>prices!J1625/prices!J1624-1</f>
        <v>5.6805059783069378E-3</v>
      </c>
      <c r="K1624" s="8">
        <f>SUMPRODUCT(B1624:I1624,weights!$B$5:$I$5)</f>
        <v>9.0958718514139083E-3</v>
      </c>
      <c r="L1624" s="4">
        <f t="shared" si="50"/>
        <v>285.23795733501015</v>
      </c>
      <c r="M1624" s="4">
        <f>L1624/MAX(L$2:L1624)-1</f>
        <v>-8.4883517691952126E-2</v>
      </c>
      <c r="N1624" s="4">
        <f t="shared" si="51"/>
        <v>-2.8923670522400524E-2</v>
      </c>
    </row>
    <row r="1625" spans="1:14">
      <c r="A1625" s="3">
        <f>prices!A1626</f>
        <v>45868</v>
      </c>
      <c r="B1625" s="5">
        <f>prices!B1626/prices!B1625-1</f>
        <v>-4.939607251400413E-3</v>
      </c>
      <c r="C1625" s="5">
        <f>prices!C1626/prices!C1625-1</f>
        <v>-7.8386198576108068E-4</v>
      </c>
      <c r="D1625" s="5">
        <f>prices!D1626/prices!D1625-1</f>
        <v>2.0817619550459465E-3</v>
      </c>
      <c r="E1625" s="5">
        <f>prices!E1626/prices!E1625-1</f>
        <v>3.5016788871378157E-3</v>
      </c>
      <c r="F1625" s="5">
        <f>prices!F1626/prices!F1625-1</f>
        <v>-2.0798028038823135E-3</v>
      </c>
      <c r="G1625" s="5">
        <f>prices!G1626/prices!G1625-1</f>
        <v>1.1949728277557359E-2</v>
      </c>
      <c r="H1625" s="5">
        <f>prices!H1626/prices!H1625-1</f>
        <v>1.3622258144446731E-2</v>
      </c>
      <c r="I1625" s="5">
        <f>prices!I1626/prices!I1625-1</f>
        <v>4.8489365328341805E-2</v>
      </c>
      <c r="J1625" s="5">
        <f>prices!J1626/prices!J1625-1</f>
        <v>1.3677878901419138E-3</v>
      </c>
      <c r="K1625" s="8">
        <f>SUMPRODUCT(B1625:I1625,weights!$B$5:$I$5)</f>
        <v>1.3509580119989007E-2</v>
      </c>
      <c r="L1625" s="4">
        <f t="shared" si="50"/>
        <v>289.09140237288943</v>
      </c>
      <c r="M1625" s="4">
        <f>L1625/MAX(L$2:L1625)-1</f>
        <v>-7.2520678255089233E-2</v>
      </c>
      <c r="N1625" s="4">
        <f t="shared" si="51"/>
        <v>-1.3658746617557838E-2</v>
      </c>
    </row>
    <row r="1626" spans="1:14">
      <c r="A1626" s="3">
        <f>prices!A1627</f>
        <v>45869</v>
      </c>
      <c r="B1626" s="5">
        <f>prices!B1627/prices!B1626-1</f>
        <v>-1.4112715750019711E-2</v>
      </c>
      <c r="C1626" s="5">
        <f>prices!C1627/prices!C1626-1</f>
        <v>-5.5015706591992064E-3</v>
      </c>
      <c r="D1626" s="5">
        <f>prices!D1627/prices!D1626-1</f>
        <v>-3.7534373055538861E-3</v>
      </c>
      <c r="E1626" s="5">
        <f>prices!E1627/prices!E1626-1</f>
        <v>-6.5828558941827264E-3</v>
      </c>
      <c r="F1626" s="5">
        <f>prices!F1627/prices!F1626-1</f>
        <v>1.0652257815515265E-2</v>
      </c>
      <c r="G1626" s="5">
        <f>prices!G1627/prices!G1626-1</f>
        <v>-7.9215002787502709E-4</v>
      </c>
      <c r="H1626" s="5">
        <f>prices!H1627/prices!H1626-1</f>
        <v>-1.5633457694792519E-2</v>
      </c>
      <c r="I1626" s="5">
        <f>prices!I1627/prices!I1626-1</f>
        <v>-7.8051602771617157E-3</v>
      </c>
      <c r="J1626" s="5">
        <f>prices!J1627/prices!J1626-1</f>
        <v>-3.4882247269669708E-3</v>
      </c>
      <c r="K1626" s="8">
        <f>SUMPRODUCT(B1626:I1626,weights!$B$5:$I$5)</f>
        <v>-6.275210487378933E-3</v>
      </c>
      <c r="L1626" s="4">
        <f t="shared" si="50"/>
        <v>287.27729297290801</v>
      </c>
      <c r="M1626" s="4">
        <f>L1626/MAX(L$2:L1626)-1</f>
        <v>-7.8340806221729897E-2</v>
      </c>
      <c r="N1626" s="4">
        <f t="shared" si="51"/>
        <v>-2.115072607619084E-2</v>
      </c>
    </row>
    <row r="1627" spans="1:14">
      <c r="A1627" s="3">
        <f>prices!A1628</f>
        <v>45870</v>
      </c>
      <c r="B1627" s="5">
        <f>prices!B1628/prices!B1627-1</f>
        <v>2.5175941377058031E-3</v>
      </c>
      <c r="C1627" s="5">
        <f>prices!C1628/prices!C1627-1</f>
        <v>-1.1129173868905662E-2</v>
      </c>
      <c r="D1627" s="5">
        <f>prices!D1628/prices!D1627-1</f>
        <v>-2.9717532336703822E-3</v>
      </c>
      <c r="E1627" s="5">
        <f>prices!E1628/prices!E1627-1</f>
        <v>-2.6114093636794844E-2</v>
      </c>
      <c r="F1627" s="5">
        <f>prices!F1628/prices!F1627-1</f>
        <v>1.092186664629935E-2</v>
      </c>
      <c r="G1627" s="5">
        <f>prices!G1628/prices!G1627-1</f>
        <v>-1.3709634317976005E-2</v>
      </c>
      <c r="H1627" s="5">
        <f>prices!H1628/prices!H1627-1</f>
        <v>-4.5114560236511392E-2</v>
      </c>
      <c r="I1627" s="5">
        <f>prices!I1628/prices!I1627-1</f>
        <v>-1.3528372929925814E-2</v>
      </c>
      <c r="J1627" s="5">
        <f>prices!J1628/prices!J1627-1</f>
        <v>-8.195943613522938E-3</v>
      </c>
      <c r="K1627" s="8">
        <f>SUMPRODUCT(B1627:I1627,weights!$B$5:$I$5)</f>
        <v>-1.4312205788744488E-2</v>
      </c>
      <c r="L1627" s="4">
        <f t="shared" si="50"/>
        <v>283.16572123744629</v>
      </c>
      <c r="M1627" s="4">
        <f>L1627/MAX(L$2:L1627)-1</f>
        <v>-9.153178227017289E-2</v>
      </c>
      <c r="N1627" s="4">
        <f t="shared" si="51"/>
        <v>-3.6201646693724721E-2</v>
      </c>
    </row>
    <row r="1628" spans="1:14">
      <c r="A1628" s="3">
        <f>prices!A1629</f>
        <v>45873</v>
      </c>
      <c r="B1628" s="5">
        <f>prices!B1629/prices!B1628-1</f>
        <v>1.2766234612128002E-2</v>
      </c>
      <c r="C1628" s="5">
        <f>prices!C1629/prices!C1628-1</f>
        <v>2.3774758870881207E-2</v>
      </c>
      <c r="D1628" s="5">
        <f>prices!D1629/prices!D1628-1</f>
        <v>-1.0043143079425776E-2</v>
      </c>
      <c r="E1628" s="5">
        <f>prices!E1629/prices!E1628-1</f>
        <v>7.418230071006171E-3</v>
      </c>
      <c r="F1628" s="5">
        <f>prices!F1629/prices!F1628-1</f>
        <v>9.5698599778382132E-4</v>
      </c>
      <c r="G1628" s="5">
        <f>prices!G1629/prices!G1628-1</f>
        <v>5.1208241924254327E-3</v>
      </c>
      <c r="H1628" s="5">
        <f>prices!H1629/prices!H1628-1</f>
        <v>7.3005356202977545E-3</v>
      </c>
      <c r="I1628" s="5">
        <f>prices!I1629/prices!I1628-1</f>
        <v>1.2210775206890734E-2</v>
      </c>
      <c r="J1628" s="5">
        <f>prices!J1629/prices!J1628-1</f>
        <v>6.4073990397044422E-3</v>
      </c>
      <c r="K1628" s="8">
        <f>SUMPRODUCT(B1628:I1628,weights!$B$5:$I$5)</f>
        <v>8.1760723970689293E-3</v>
      </c>
      <c r="L1628" s="4">
        <f t="shared" si="50"/>
        <v>285.48090467465192</v>
      </c>
      <c r="M1628" s="4">
        <f>L1628/MAX(L$2:L1628)-1</f>
        <v>-8.410408035157757E-2</v>
      </c>
      <c r="N1628" s="4">
        <f t="shared" si="51"/>
        <v>-2.7436962818205179E-2</v>
      </c>
    </row>
    <row r="1629" spans="1:14">
      <c r="A1629" s="3">
        <f>prices!A1630</f>
        <v>45874</v>
      </c>
      <c r="B1629" s="5">
        <f>prices!B1630/prices!B1629-1</f>
        <v>-1.4027340093325069E-2</v>
      </c>
      <c r="C1629" s="5">
        <f>prices!C1630/prices!C1629-1</f>
        <v>-3.4147960946656619E-3</v>
      </c>
      <c r="D1629" s="5">
        <f>prices!D1630/prices!D1629-1</f>
        <v>-7.2260382326824191E-3</v>
      </c>
      <c r="E1629" s="5">
        <f>prices!E1630/prices!E1629-1</f>
        <v>-1.3641236188861483E-2</v>
      </c>
      <c r="F1629" s="5">
        <f>prices!F1630/prices!F1629-1</f>
        <v>-6.4660594776833058E-3</v>
      </c>
      <c r="G1629" s="5">
        <f>prices!G1630/prices!G1629-1</f>
        <v>1.3910251959434961E-2</v>
      </c>
      <c r="H1629" s="5">
        <f>prices!H1630/prices!H1629-1</f>
        <v>-5.7845752855404386E-3</v>
      </c>
      <c r="I1629" s="5">
        <f>prices!I1630/prices!I1629-1</f>
        <v>5.9205001140161251E-3</v>
      </c>
      <c r="J1629" s="5">
        <f>prices!J1630/prices!J1629-1</f>
        <v>-2.9608356675532299E-3</v>
      </c>
      <c r="K1629" s="8">
        <f>SUMPRODUCT(B1629:I1629,weights!$B$5:$I$5)</f>
        <v>-1.3217673014619803E-3</v>
      </c>
      <c r="L1629" s="4">
        <f t="shared" si="50"/>
        <v>285.10356534966121</v>
      </c>
      <c r="M1629" s="4">
        <f>L1629/MAX(L$2:L1629)-1</f>
        <v>-8.5314681629711231E-2</v>
      </c>
      <c r="N1629" s="4">
        <f t="shared" si="51"/>
        <v>-2.8667736319405779E-2</v>
      </c>
    </row>
    <row r="1630" spans="1:14">
      <c r="A1630" s="3">
        <f>prices!A1631</f>
        <v>45875</v>
      </c>
      <c r="B1630" s="5">
        <f>prices!B1631/prices!B1630-1</f>
        <v>7.8998101146554589E-4</v>
      </c>
      <c r="C1630" s="5">
        <f>prices!C1631/prices!C1630-1</f>
        <v>-1.0313483673150325E-2</v>
      </c>
      <c r="D1630" s="5">
        <f>prices!D1631/prices!D1630-1</f>
        <v>3.8963308694266452E-3</v>
      </c>
      <c r="E1630" s="5">
        <f>prices!E1631/prices!E1630-1</f>
        <v>-1.6159736329928509E-2</v>
      </c>
      <c r="F1630" s="5">
        <f>prices!F1631/prices!F1630-1</f>
        <v>-5.1913191015219295E-3</v>
      </c>
      <c r="G1630" s="5">
        <f>prices!G1631/prices!G1630-1</f>
        <v>-1.0368713715545042E-3</v>
      </c>
      <c r="H1630" s="5">
        <f>prices!H1631/prices!H1630-1</f>
        <v>-2.2611340913728184E-2</v>
      </c>
      <c r="I1630" s="5">
        <f>prices!I1631/prices!I1630-1</f>
        <v>-6.6265443276282143E-3</v>
      </c>
      <c r="J1630" s="5">
        <f>prices!J1631/prices!J1630-1</f>
        <v>-3.0568509364268248E-3</v>
      </c>
      <c r="K1630" s="8">
        <f>SUMPRODUCT(B1630:I1630,weights!$B$5:$I$5)</f>
        <v>-7.2363112511947486E-3</v>
      </c>
      <c r="L1630" s="4">
        <f t="shared" si="50"/>
        <v>283.04046721196573</v>
      </c>
      <c r="M1630" s="4">
        <f>L1630/MAX(L$2:L1630)-1</f>
        <v>-9.1933629290336771E-2</v>
      </c>
      <c r="N1630" s="4">
        <f t="shared" si="51"/>
        <v>-3.3354512659487301E-2</v>
      </c>
    </row>
    <row r="1631" spans="1:14">
      <c r="A1631" s="3">
        <f>prices!A1632</f>
        <v>45876</v>
      </c>
      <c r="B1631" s="5">
        <f>prices!B1632/prices!B1631-1</f>
        <v>-2.4404904154626816E-3</v>
      </c>
      <c r="C1631" s="5">
        <f>prices!C1632/prices!C1631-1</f>
        <v>4.8463990327811679E-3</v>
      </c>
      <c r="D1631" s="5">
        <f>prices!D1632/prices!D1631-1</f>
        <v>5.0896057347671331E-3</v>
      </c>
      <c r="E1631" s="5">
        <f>prices!E1632/prices!E1631-1</f>
        <v>1.3717718238082099E-4</v>
      </c>
      <c r="F1631" s="5">
        <f>prices!F1632/prices!F1631-1</f>
        <v>3.8947154057631383E-3</v>
      </c>
      <c r="G1631" s="5">
        <f>prices!G1632/prices!G1631-1</f>
        <v>8.62375569278373E-3</v>
      </c>
      <c r="H1631" s="5">
        <f>prices!H1632/prices!H1631-1</f>
        <v>2.0053645082112048E-3</v>
      </c>
      <c r="I1631" s="5">
        <f>prices!I1632/prices!I1631-1</f>
        <v>3.6401079787382606E-3</v>
      </c>
      <c r="J1631" s="5">
        <f>prices!J1632/prices!J1631-1</f>
        <v>8.9321320734758736E-4</v>
      </c>
      <c r="K1631" s="8">
        <f>SUMPRODUCT(B1631:I1631,weights!$B$5:$I$5)</f>
        <v>3.526313126850358E-3</v>
      </c>
      <c r="L1631" s="4">
        <f t="shared" si="50"/>
        <v>284.03855652692516</v>
      </c>
      <c r="M1631" s="4">
        <f>L1631/MAX(L$2:L1631)-1</f>
        <v>-8.8731502927251849E-2</v>
      </c>
      <c r="N1631" s="4">
        <f t="shared" si="51"/>
        <v>-3.0021644277678505E-2</v>
      </c>
    </row>
    <row r="1632" spans="1:14">
      <c r="A1632" s="3">
        <f>prices!A1633</f>
        <v>45877</v>
      </c>
      <c r="B1632" s="5">
        <f>prices!B1633/prices!B1632-1</f>
        <v>-1.5542649727767754E-2</v>
      </c>
      <c r="C1632" s="5">
        <f>prices!C1633/prices!C1632-1</f>
        <v>-3.4796875801131888E-3</v>
      </c>
      <c r="D1632" s="5">
        <f>prices!D1633/prices!D1632-1</f>
        <v>-1.0779748744230599E-2</v>
      </c>
      <c r="E1632" s="5">
        <f>prices!E1633/prices!E1632-1</f>
        <v>-9.6083045782018317E-3</v>
      </c>
      <c r="F1632" s="5">
        <f>prices!F1633/prices!F1632-1</f>
        <v>2.1553363592565766E-3</v>
      </c>
      <c r="G1632" s="5">
        <f>prices!G1633/prices!G1632-1</f>
        <v>-3.3246977547495282E-3</v>
      </c>
      <c r="H1632" s="5">
        <f>prices!H1633/prices!H1632-1</f>
        <v>-7.1909743486139321E-3</v>
      </c>
      <c r="I1632" s="5">
        <f>prices!I1633/prices!I1632-1</f>
        <v>-9.3390047637798013E-3</v>
      </c>
      <c r="J1632" s="5">
        <f>prices!J1633/prices!J1632-1</f>
        <v>-9.4669287673071478E-3</v>
      </c>
      <c r="K1632" s="8">
        <f>SUMPRODUCT(B1632:I1632,weights!$B$5:$I$5)</f>
        <v>-7.2900996558095312E-3</v>
      </c>
      <c r="L1632" s="4">
        <f t="shared" si="50"/>
        <v>281.96788714375157</v>
      </c>
      <c r="M1632" s="4">
        <f>L1632/MAX(L$2:L1632)-1</f>
        <v>-9.5374741084112036E-2</v>
      </c>
      <c r="N1632" s="4">
        <f t="shared" si="51"/>
        <v>-2.8367810000888727E-2</v>
      </c>
    </row>
    <row r="1633" spans="1:14">
      <c r="A1633" s="3">
        <f>prices!A1634</f>
        <v>45880</v>
      </c>
      <c r="B1633" s="5">
        <f>prices!B1634/prices!B1633-1</f>
        <v>1.3450434705661207E-2</v>
      </c>
      <c r="C1633" s="5">
        <f>prices!C1634/prices!C1633-1</f>
        <v>1.4509307566450413E-3</v>
      </c>
      <c r="D1633" s="5">
        <f>prices!D1634/prices!D1633-1</f>
        <v>1.100021629638781E-2</v>
      </c>
      <c r="E1633" s="5">
        <f>prices!E1634/prices!E1633-1</f>
        <v>3.5861365210101415E-3</v>
      </c>
      <c r="F1633" s="5">
        <f>prices!F1634/prices!F1633-1</f>
        <v>5.6677293659226358E-3</v>
      </c>
      <c r="G1633" s="5">
        <f>prices!G1634/prices!G1633-1</f>
        <v>5.5596470707164336E-4</v>
      </c>
      <c r="H1633" s="5">
        <f>prices!H1634/prices!H1633-1</f>
        <v>1.3544965469876713E-2</v>
      </c>
      <c r="I1633" s="5">
        <f>prices!I1634/prices!I1633-1</f>
        <v>1.6855599406611299E-2</v>
      </c>
      <c r="J1633" s="5">
        <f>prices!J1634/prices!J1633-1</f>
        <v>9.1018047637225763E-3</v>
      </c>
      <c r="K1633" s="8">
        <f>SUMPRODUCT(B1633:I1633,weights!$B$5:$I$5)</f>
        <v>8.906655623917157E-3</v>
      </c>
      <c r="L1633" s="4">
        <f t="shared" si="50"/>
        <v>284.47927801154452</v>
      </c>
      <c r="M1633" s="4">
        <f>L1633/MAX(L$2:L1633)-1</f>
        <v>-8.7317555434251237E-2</v>
      </c>
      <c r="N1633" s="4">
        <f t="shared" si="51"/>
        <v>-1.4378089418180751E-2</v>
      </c>
    </row>
    <row r="1634" spans="1:14">
      <c r="A1634" s="3">
        <f>prices!A1635</f>
        <v>45881</v>
      </c>
      <c r="B1634" s="5">
        <f>prices!B1635/prices!B1634-1</f>
        <v>-4.1838568611614058E-3</v>
      </c>
      <c r="C1634" s="5">
        <f>prices!C1635/prices!C1634-1</f>
        <v>-1.7776407727085886E-3</v>
      </c>
      <c r="D1634" s="5">
        <f>prices!D1635/prices!D1634-1</f>
        <v>-1.2887516937151844E-2</v>
      </c>
      <c r="E1634" s="5">
        <f>prices!E1635/prices!E1634-1</f>
        <v>-2.8688256698161663E-3</v>
      </c>
      <c r="F1634" s="5">
        <f>prices!F1635/prices!F1634-1</f>
        <v>-1.1825089317163417E-3</v>
      </c>
      <c r="G1634" s="5">
        <f>prices!G1635/prices!G1634-1</f>
        <v>1.9289995389580428E-2</v>
      </c>
      <c r="H1634" s="5">
        <f>prices!H1635/prices!H1634-1</f>
        <v>8.5830447221804107E-3</v>
      </c>
      <c r="I1634" s="5">
        <f>prices!I1635/prices!I1634-1</f>
        <v>4.8225669709214269E-3</v>
      </c>
      <c r="J1634" s="5">
        <f>prices!J1635/prices!J1634-1</f>
        <v>-3.9719260282162772E-3</v>
      </c>
      <c r="K1634" s="8">
        <f>SUMPRODUCT(B1634:I1634,weights!$B$5:$I$5)</f>
        <v>4.0053375567319369E-3</v>
      </c>
      <c r="L1634" s="4">
        <f t="shared" si="50"/>
        <v>285.61871354787615</v>
      </c>
      <c r="M1634" s="4">
        <f>L1634/MAX(L$2:L1634)-1</f>
        <v>-8.3661954161662111E-2</v>
      </c>
      <c r="N1634" s="4">
        <f t="shared" si="51"/>
        <v>-1.7350971439445972E-2</v>
      </c>
    </row>
    <row r="1635" spans="1:14">
      <c r="A1635" s="3">
        <f>prices!A1636</f>
        <v>45882</v>
      </c>
      <c r="B1635" s="5">
        <f>prices!B1636/prices!B1635-1</f>
        <v>1.5928919025560706E-3</v>
      </c>
      <c r="C1635" s="5">
        <f>prices!C1636/prices!C1635-1</f>
        <v>2.6420441873309386E-4</v>
      </c>
      <c r="D1635" s="5">
        <f>prices!D1636/prices!D1635-1</f>
        <v>5.2842339924865644E-3</v>
      </c>
      <c r="E1635" s="5">
        <f>prices!E1636/prices!E1635-1</f>
        <v>1.7553826879934675E-3</v>
      </c>
      <c r="F1635" s="5">
        <f>prices!F1636/prices!F1635-1</f>
        <v>-5.415753545429447E-3</v>
      </c>
      <c r="G1635" s="5">
        <f>prices!G1636/prices!G1635-1</f>
        <v>-4.6726288571807828E-4</v>
      </c>
      <c r="H1635" s="5">
        <f>prices!H1636/prices!H1635-1</f>
        <v>1.084900965462321E-2</v>
      </c>
      <c r="I1635" s="5">
        <f>prices!I1636/prices!I1635-1</f>
        <v>2.0627650365434569E-3</v>
      </c>
      <c r="J1635" s="5">
        <f>prices!J1636/prices!J1635-1</f>
        <v>5.3884855068320192E-3</v>
      </c>
      <c r="K1635" s="8">
        <f>SUMPRODUCT(B1635:I1635,weights!$B$5:$I$5)</f>
        <v>2.2666652192001677E-3</v>
      </c>
      <c r="L1635" s="4">
        <f t="shared" si="50"/>
        <v>286.26611555182785</v>
      </c>
      <c r="M1635" s="4">
        <f>L1635/MAX(L$2:L1635)-1</f>
        <v>-8.1584922584130415E-2</v>
      </c>
      <c r="N1635" s="4">
        <f t="shared" si="51"/>
        <v>-1.5305220557946253E-2</v>
      </c>
    </row>
    <row r="1636" spans="1:14">
      <c r="A1636" s="3">
        <f>prices!A1637</f>
        <v>45883</v>
      </c>
      <c r="B1636" s="5">
        <f>prices!B1637/prices!B1636-1</f>
        <v>-2.3928331728384489E-3</v>
      </c>
      <c r="C1636" s="5">
        <f>prices!C1637/prices!C1636-1</f>
        <v>-4.5760467621209777E-3</v>
      </c>
      <c r="D1636" s="5">
        <f>prices!D1637/prices!D1636-1</f>
        <v>5.4515214980905835E-3</v>
      </c>
      <c r="E1636" s="5">
        <f>prices!E1637/prices!E1636-1</f>
        <v>1.4789177870038639E-2</v>
      </c>
      <c r="F1636" s="5">
        <f>prices!F1637/prices!F1636-1</f>
        <v>-6.3823320838820585E-3</v>
      </c>
      <c r="G1636" s="5">
        <f>prices!G1637/prices!G1636-1</f>
        <v>7.9479694862192307E-3</v>
      </c>
      <c r="H1636" s="5">
        <f>prices!H1637/prices!H1636-1</f>
        <v>9.723316266245785E-4</v>
      </c>
      <c r="I1636" s="5">
        <f>prices!I1637/prices!I1636-1</f>
        <v>-4.5216335836543164E-3</v>
      </c>
      <c r="J1636" s="5">
        <f>prices!J1637/prices!J1636-1</f>
        <v>4.8539055661511732E-4</v>
      </c>
      <c r="K1636" s="8">
        <f>SUMPRODUCT(B1636:I1636,weights!$B$5:$I$5)</f>
        <v>1.2197970407171461E-3</v>
      </c>
      <c r="L1636" s="4">
        <f t="shared" si="50"/>
        <v>286.61530211243553</v>
      </c>
      <c r="M1636" s="4">
        <f>L1636/MAX(L$2:L1636)-1</f>
        <v>-8.0464642590548641E-2</v>
      </c>
      <c r="N1636" s="4">
        <f t="shared" si="51"/>
        <v>-8.12830686291377E-3</v>
      </c>
    </row>
    <row r="1637" spans="1:14">
      <c r="A1637" s="3">
        <f>prices!A1638</f>
        <v>45887</v>
      </c>
      <c r="B1637" s="5">
        <f>prices!B1638/prices!B1637-1</f>
        <v>5.7477988709158101E-3</v>
      </c>
      <c r="C1637" s="5">
        <f>prices!C1638/prices!C1637-1</f>
        <v>-3.6735312767073314E-3</v>
      </c>
      <c r="D1637" s="5">
        <f>prices!D1638/prices!D1637-1</f>
        <v>6.279675294838416E-3</v>
      </c>
      <c r="E1637" s="5">
        <f>prices!E1638/prices!E1637-1</f>
        <v>-8.2182750936826698E-3</v>
      </c>
      <c r="F1637" s="5">
        <f>prices!F1638/prices!F1637-1</f>
        <v>-1.2515293637846536E-2</v>
      </c>
      <c r="G1637" s="5">
        <f>prices!G1638/prices!G1637-1</f>
        <v>8.7507359038304644E-2</v>
      </c>
      <c r="H1637" s="5">
        <f>prices!H1638/prices!H1637-1</f>
        <v>-5.2995930010942827E-3</v>
      </c>
      <c r="I1637" s="5">
        <f>prices!I1638/prices!I1637-1</f>
        <v>-1.1393875482983318E-2</v>
      </c>
      <c r="J1637" s="5">
        <f>prices!J1638/prices!J1637-1</f>
        <v>9.9730830285045258E-3</v>
      </c>
      <c r="K1637" s="8">
        <f>SUMPRODUCT(B1637:I1637,weights!$B$5:$I$5)</f>
        <v>1.3098774957381005E-2</v>
      </c>
      <c r="L1637" s="4">
        <f t="shared" si="50"/>
        <v>290.36961145414807</v>
      </c>
      <c r="M1637" s="4">
        <f>L1637/MAX(L$2:L1637)-1</f>
        <v>-6.8419855878487423E-2</v>
      </c>
      <c r="N1637" s="4">
        <f t="shared" si="51"/>
        <v>8.9402018302120467E-3</v>
      </c>
    </row>
    <row r="1638" spans="1:14">
      <c r="A1638" s="3">
        <f>prices!A1639</f>
        <v>45888</v>
      </c>
      <c r="B1638" s="5">
        <f>prices!B1639/prices!B1638-1</f>
        <v>2.7789492052874287E-2</v>
      </c>
      <c r="C1638" s="5">
        <f>prices!C1639/prices!C1638-1</f>
        <v>1.6602217779593254E-3</v>
      </c>
      <c r="D1638" s="5">
        <f>prices!D1639/prices!D1638-1</f>
        <v>-6.2404870624048758E-3</v>
      </c>
      <c r="E1638" s="5">
        <f>prices!E1639/prices!E1638-1</f>
        <v>2.9258777633289768E-3</v>
      </c>
      <c r="F1638" s="5">
        <f>prices!F1639/prices!F1638-1</f>
        <v>6.8919232854081081E-3</v>
      </c>
      <c r="G1638" s="5">
        <f>prices!G1639/prices!G1638-1</f>
        <v>1.2937137244653174E-2</v>
      </c>
      <c r="H1638" s="5">
        <f>prices!H1639/prices!H1638-1</f>
        <v>-3.7331882911392222E-3</v>
      </c>
      <c r="I1638" s="5">
        <f>prices!I1639/prices!I1638-1</f>
        <v>-6.0806568998371668E-3</v>
      </c>
      <c r="J1638" s="5">
        <f>prices!J1639/prices!J1638-1</f>
        <v>4.1685174428538474E-3</v>
      </c>
      <c r="K1638" s="8">
        <f>SUMPRODUCT(B1638:I1638,weights!$B$5:$I$5)</f>
        <v>4.7970712309240108E-3</v>
      </c>
      <c r="L1638" s="4">
        <f t="shared" si="50"/>
        <v>291.76253516358935</v>
      </c>
      <c r="M1638" s="4">
        <f>L1638/MAX(L$2:L1638)-1</f>
        <v>-6.3950999569822087E-2</v>
      </c>
      <c r="N1638" s="4">
        <f t="shared" si="51"/>
        <v>1.5933051653294728E-2</v>
      </c>
    </row>
    <row r="1639" spans="1:14">
      <c r="A1639" s="3">
        <f>prices!A1640</f>
        <v>45889</v>
      </c>
      <c r="B1639" s="5">
        <f>prices!B1640/prices!B1639-1</f>
        <v>-4.9944820170350068E-3</v>
      </c>
      <c r="C1639" s="5">
        <f>prices!C1640/prices!C1639-1</f>
        <v>2.7320630667338808E-2</v>
      </c>
      <c r="D1639" s="5">
        <f>prices!D1640/prices!D1639-1</f>
        <v>-1.4499412875887963E-3</v>
      </c>
      <c r="E1639" s="5">
        <f>prices!E1640/prices!E1639-1</f>
        <v>3.9027552674230082E-2</v>
      </c>
      <c r="F1639" s="5">
        <f>prices!F1640/prices!F1639-1</f>
        <v>-7.4600082034453896E-3</v>
      </c>
      <c r="G1639" s="5">
        <f>prices!G1640/prices!G1639-1</f>
        <v>-2.0349708788649501E-3</v>
      </c>
      <c r="H1639" s="5">
        <f>prices!H1640/prices!H1639-1</f>
        <v>3.9953346402956669E-3</v>
      </c>
      <c r="I1639" s="5">
        <f>prices!I1640/prices!I1639-1</f>
        <v>-5.729377733681762E-3</v>
      </c>
      <c r="J1639" s="5">
        <f>prices!J1640/prices!J1639-1</f>
        <v>2.7981657803137772E-3</v>
      </c>
      <c r="K1639" s="8">
        <f>SUMPRODUCT(B1639:I1639,weights!$B$5:$I$5)</f>
        <v>3.4174914918382333E-3</v>
      </c>
      <c r="L1639" s="4">
        <f t="shared" si="50"/>
        <v>292.75963114514809</v>
      </c>
      <c r="M1639" s="4">
        <f>L1639/MAX(L$2:L1639)-1</f>
        <v>-6.0752060074908187E-2</v>
      </c>
      <c r="N1639" s="4">
        <f t="shared" si="51"/>
        <v>2.4236078488607538E-2</v>
      </c>
    </row>
    <row r="1640" spans="1:14">
      <c r="A1640" s="3">
        <f>prices!A1641</f>
        <v>45890</v>
      </c>
      <c r="B1640" s="5">
        <f>prices!B1641/prices!B1640-1</f>
        <v>8.346960540348336E-3</v>
      </c>
      <c r="C1640" s="5">
        <f>prices!C1641/prices!C1640-1</f>
        <v>1.2907129172128329E-3</v>
      </c>
      <c r="D1640" s="5">
        <f>prices!D1641/prices!D1640-1</f>
        <v>1.5031750738805361E-3</v>
      </c>
      <c r="E1640" s="5">
        <f>prices!E1641/prices!E1640-1</f>
        <v>1.3172216329371267E-4</v>
      </c>
      <c r="F1640" s="5">
        <f>prices!F1641/prices!F1640-1</f>
        <v>-1.2397654776972189E-3</v>
      </c>
      <c r="G1640" s="5">
        <f>prices!G1641/prices!G1640-1</f>
        <v>4.1485553566862343E-3</v>
      </c>
      <c r="H1640" s="5">
        <f>prices!H1641/prices!H1640-1</f>
        <v>4.3440110732118065E-3</v>
      </c>
      <c r="I1640" s="5">
        <f>prices!I1641/prices!I1640-1</f>
        <v>5.6527666512065089E-3</v>
      </c>
      <c r="J1640" s="5">
        <f>prices!J1641/prices!J1640-1</f>
        <v>1.3253202025504951E-3</v>
      </c>
      <c r="K1640" s="8">
        <f>SUMPRODUCT(B1640:I1640,weights!$B$5:$I$5)</f>
        <v>3.7701821786514742E-3</v>
      </c>
      <c r="L1640" s="4">
        <f t="shared" si="50"/>
        <v>293.86338828912011</v>
      </c>
      <c r="M1640" s="4">
        <f>L1640/MAX(L$2:L1640)-1</f>
        <v>-5.7210924230467475E-2</v>
      </c>
      <c r="N1640" s="4">
        <f t="shared" si="51"/>
        <v>2.2082558917936534E-2</v>
      </c>
    </row>
    <row r="1641" spans="1:14">
      <c r="A1641" s="3">
        <f>prices!A1642</f>
        <v>45891</v>
      </c>
      <c r="B1641" s="5">
        <f>prices!B1642/prices!B1641-1</f>
        <v>-1.0950191787003627E-2</v>
      </c>
      <c r="C1641" s="5">
        <f>prices!C1642/prices!C1641-1</f>
        <v>-1.5666646525274164E-2</v>
      </c>
      <c r="D1641" s="5">
        <f>prices!D1642/prices!D1641-1</f>
        <v>-1.3355115376761262E-2</v>
      </c>
      <c r="E1641" s="5">
        <f>prices!E1642/prices!E1641-1</f>
        <v>-5.9475121653657093E-3</v>
      </c>
      <c r="F1641" s="5">
        <f>prices!F1642/prices!F1641-1</f>
        <v>-1.7869611316558509E-2</v>
      </c>
      <c r="G1641" s="5">
        <f>prices!G1642/prices!G1641-1</f>
        <v>4.832363253385763E-3</v>
      </c>
      <c r="H1641" s="5">
        <f>prices!H1642/prices!H1641-1</f>
        <v>9.7825083828118053E-4</v>
      </c>
      <c r="I1641" s="5">
        <f>prices!I1642/prices!I1641-1</f>
        <v>-4.6510847872631711E-3</v>
      </c>
      <c r="J1641" s="5">
        <f>prices!J1642/prices!J1641-1</f>
        <v>-8.5174664872676997E-3</v>
      </c>
      <c r="K1641" s="8">
        <f>SUMPRODUCT(B1641:I1641,weights!$B$5:$I$5)</f>
        <v>-5.5897073958141403E-3</v>
      </c>
      <c r="L1641" s="4">
        <f t="shared" si="50"/>
        <v>292.22077793424143</v>
      </c>
      <c r="M1641" s="4">
        <f>L1641/MAX(L$2:L1641)-1</f>
        <v>-6.2480839299989155E-2</v>
      </c>
      <c r="N1641" s="4">
        <f t="shared" si="51"/>
        <v>2.2507176571912924E-2</v>
      </c>
    </row>
    <row r="1642" spans="1:14">
      <c r="A1642" s="3">
        <f>prices!A1643</f>
        <v>45894</v>
      </c>
      <c r="B1642" s="5">
        <f>prices!B1643/prices!B1642-1</f>
        <v>2.4167504330900869E-3</v>
      </c>
      <c r="C1642" s="5">
        <f>prices!C1643/prices!C1642-1</f>
        <v>2.8356870274565571E-2</v>
      </c>
      <c r="D1642" s="5">
        <f>prices!D1643/prices!D1642-1</f>
        <v>-2.5871346965811171E-4</v>
      </c>
      <c r="E1642" s="5">
        <f>prices!E1643/prices!E1642-1</f>
        <v>2.998521659089004E-2</v>
      </c>
      <c r="F1642" s="5">
        <f>prices!F1643/prices!F1642-1</f>
        <v>2.6331033756386013E-3</v>
      </c>
      <c r="G1642" s="5">
        <f>prices!G1643/prices!G1642-1</f>
        <v>7.1777862403590298E-3</v>
      </c>
      <c r="H1642" s="5">
        <f>prices!H1643/prices!H1642-1</f>
        <v>9.0783925651836128E-3</v>
      </c>
      <c r="I1642" s="5">
        <f>prices!I1643/prices!I1642-1</f>
        <v>2.0303171563202937E-3</v>
      </c>
      <c r="J1642" s="5">
        <f>prices!J1643/prices!J1642-1</f>
        <v>3.9264015826234733E-3</v>
      </c>
      <c r="K1642" s="8">
        <f>SUMPRODUCT(B1642:I1642,weights!$B$5:$I$5)</f>
        <v>8.7039129338396769E-3</v>
      </c>
      <c r="L1642" s="4">
        <f t="shared" si="50"/>
        <v>294.76424214283998</v>
      </c>
      <c r="M1642" s="4">
        <f>L1642/MAX(L$2:L1642)-1</f>
        <v>-5.4320754151449768E-2</v>
      </c>
      <c r="N1642" s="4">
        <f t="shared" si="51"/>
        <v>3.904818797296028E-2</v>
      </c>
    </row>
    <row r="1643" spans="1:14">
      <c r="A1643" s="3">
        <f>prices!A1644</f>
        <v>45895</v>
      </c>
      <c r="B1643" s="5">
        <f>prices!B1644/prices!B1643-1</f>
        <v>-1.9607424791977746E-2</v>
      </c>
      <c r="C1643" s="5">
        <f>prices!C1644/prices!C1643-1</f>
        <v>5.2861624582976052E-3</v>
      </c>
      <c r="D1643" s="5">
        <f>prices!D1644/prices!D1643-1</f>
        <v>-8.808885484488771E-3</v>
      </c>
      <c r="E1643" s="5">
        <f>prices!E1644/prices!E1643-1</f>
        <v>-1.6316416617017104E-3</v>
      </c>
      <c r="F1643" s="5">
        <f>prices!F1644/prices!F1643-1</f>
        <v>1.0005777614370492E-2</v>
      </c>
      <c r="G1643" s="5">
        <f>prices!G1644/prices!G1643-1</f>
        <v>1.8129337517385213E-2</v>
      </c>
      <c r="H1643" s="5">
        <f>prices!H1644/prices!H1643-1</f>
        <v>-3.4043771433444503E-2</v>
      </c>
      <c r="I1643" s="5">
        <f>prices!I1644/prices!I1643-1</f>
        <v>-1.7151264625516638E-2</v>
      </c>
      <c r="J1643" s="5">
        <f>prices!J1644/prices!J1643-1</f>
        <v>-1.0241211162399511E-2</v>
      </c>
      <c r="K1643" s="8">
        <f>SUMPRODUCT(B1643:I1643,weights!$B$5:$I$5)</f>
        <v>-6.9778666776610697E-3</v>
      </c>
      <c r="L1643" s="4">
        <f t="shared" si="50"/>
        <v>292.70741655982545</v>
      </c>
      <c r="M1643" s="4">
        <f>L1643/MAX(L$2:L1643)-1</f>
        <v>-6.0919577848811968E-2</v>
      </c>
      <c r="N1643" s="4">
        <f t="shared" si="51"/>
        <v>3.552082783955024E-2</v>
      </c>
    </row>
    <row r="1644" spans="1:14">
      <c r="A1644" s="3">
        <f>prices!A1645</f>
        <v>45897</v>
      </c>
      <c r="B1644" s="5">
        <f>prices!B1645/prices!B1644-1</f>
        <v>7.1815629692495442E-4</v>
      </c>
      <c r="C1644" s="5">
        <f>prices!C1645/prices!C1644-1</f>
        <v>-2.0113084556106942E-2</v>
      </c>
      <c r="D1644" s="5">
        <f>prices!D1645/prices!D1644-1</f>
        <v>-1.6019883871506657E-2</v>
      </c>
      <c r="E1644" s="5">
        <f>prices!E1645/prices!E1644-1</f>
        <v>-1.9286193824891718E-2</v>
      </c>
      <c r="F1644" s="5">
        <f>prices!F1645/prices!F1644-1</f>
        <v>-6.0583998543903839E-3</v>
      </c>
      <c r="G1644" s="5">
        <f>prices!G1645/prices!G1644-1</f>
        <v>2.5824255029962551E-3</v>
      </c>
      <c r="H1644" s="5">
        <f>prices!H1645/prices!H1644-1</f>
        <v>-9.1246169174307168E-3</v>
      </c>
      <c r="I1644" s="5">
        <f>prices!I1645/prices!I1644-1</f>
        <v>5.3064541423701872E-3</v>
      </c>
      <c r="J1644" s="5">
        <f>prices!J1645/prices!J1644-1</f>
        <v>-8.5444145669824056E-3</v>
      </c>
      <c r="K1644" s="8">
        <f>SUMPRODUCT(B1644:I1644,weights!$B$5:$I$5)</f>
        <v>-4.8355554038545818E-3</v>
      </c>
      <c r="L1644" s="4">
        <f t="shared" si="50"/>
        <v>291.29201362993126</v>
      </c>
      <c r="M1644" s="4">
        <f>L1644/MAX(L$2:L1644)-1</f>
        <v>-6.5460553258799181E-2</v>
      </c>
      <c r="N1644" s="4">
        <f t="shared" si="51"/>
        <v>2.1224581579129209E-2</v>
      </c>
    </row>
    <row r="1645" spans="1:14">
      <c r="A1645" s="3">
        <f>prices!A1646</f>
        <v>45898</v>
      </c>
      <c r="B1645" s="5">
        <f>prices!B1646/prices!B1645-1</f>
        <v>-2.0710102064486202E-2</v>
      </c>
      <c r="C1645" s="5">
        <f>prices!C1646/prices!C1645-1</f>
        <v>-2.9087089574095781E-3</v>
      </c>
      <c r="D1645" s="5">
        <f>prices!D1646/prices!D1645-1</f>
        <v>-6.4740718728110158E-3</v>
      </c>
      <c r="E1645" s="5">
        <f>prices!E1646/prices!E1645-1</f>
        <v>-2.0336193722816587E-2</v>
      </c>
      <c r="F1645" s="5">
        <f>prices!F1646/prices!F1645-1</f>
        <v>2.2079213101030781E-2</v>
      </c>
      <c r="G1645" s="5">
        <f>prices!G1646/prices!G1645-1</f>
        <v>2.6435572791285722E-3</v>
      </c>
      <c r="H1645" s="5">
        <f>prices!H1646/prices!H1645-1</f>
        <v>5.5493683775098557E-3</v>
      </c>
      <c r="I1645" s="5">
        <f>prices!I1646/prices!I1645-1</f>
        <v>1.1490047253563951E-2</v>
      </c>
      <c r="J1645" s="5">
        <f>prices!J1646/prices!J1645-1</f>
        <v>-3.0223379549323415E-3</v>
      </c>
      <c r="K1645" s="8">
        <f>SUMPRODUCT(B1645:I1645,weights!$B$5:$I$5)</f>
        <v>3.6390227609964265E-4</v>
      </c>
      <c r="L1645" s="4">
        <f t="shared" si="50"/>
        <v>291.39801545670088</v>
      </c>
      <c r="M1645" s="4">
        <f>L1645/MAX(L$2:L1645)-1</f>
        <v>-6.5120472227025106E-2</v>
      </c>
      <c r="N1645" s="4">
        <f t="shared" si="51"/>
        <v>7.9788366754547368E-3</v>
      </c>
    </row>
    <row r="1646" spans="1:14">
      <c r="A1646" s="3">
        <f>prices!A1647</f>
        <v>45901</v>
      </c>
      <c r="B1646" s="5">
        <f>prices!B1647/prices!B1646-1</f>
        <v>-2.4279210925645112E-3</v>
      </c>
      <c r="C1646" s="5">
        <f>prices!C1647/prices!C1646-1</f>
        <v>9.0453279311217827E-3</v>
      </c>
      <c r="D1646" s="5">
        <f>prices!D1647/prices!D1646-1</f>
        <v>-1.0575567234969441E-3</v>
      </c>
      <c r="E1646" s="5">
        <f>prices!E1647/prices!E1646-1</f>
        <v>2.0278377729781694E-2</v>
      </c>
      <c r="F1646" s="5">
        <f>prices!F1647/prices!F1646-1</f>
        <v>-9.5213718965957428E-3</v>
      </c>
      <c r="G1646" s="5">
        <f>prices!G1647/prices!G1646-1</f>
        <v>6.4907439464678696E-3</v>
      </c>
      <c r="H1646" s="5">
        <f>prices!H1647/prices!H1646-1</f>
        <v>-1.9568753283082274E-2</v>
      </c>
      <c r="I1646" s="5">
        <f>prices!I1647/prices!I1646-1</f>
        <v>-7.2346523020494491E-4</v>
      </c>
      <c r="J1646" s="5">
        <f>prices!J1647/prices!J1646-1</f>
        <v>8.1140220699762455E-3</v>
      </c>
      <c r="K1646" s="8">
        <f>SUMPRODUCT(B1646:I1646,weights!$B$5:$I$5)</f>
        <v>-5.033313785834713E-4</v>
      </c>
      <c r="L1646" s="4">
        <f t="shared" si="50"/>
        <v>291.25134569186457</v>
      </c>
      <c r="M1646" s="4">
        <f>L1646/MAX(L$2:L1646)-1</f>
        <v>-6.5591026428548527E-2</v>
      </c>
      <c r="N1646" s="4">
        <f t="shared" si="51"/>
        <v>1.3833507959612135E-2</v>
      </c>
    </row>
    <row r="1647" spans="1:14">
      <c r="A1647" s="3">
        <f>prices!A1648</f>
        <v>45902</v>
      </c>
      <c r="B1647" s="5">
        <f>prices!B1648/prices!B1647-1</f>
        <v>9.3049485408147614E-3</v>
      </c>
      <c r="C1647" s="5">
        <f>prices!C1648/prices!C1647-1</f>
        <v>-3.5468824241935426E-4</v>
      </c>
      <c r="D1647" s="5">
        <f>prices!D1648/prices!D1647-1</f>
        <v>-6.4162202046774697E-3</v>
      </c>
      <c r="E1647" s="5">
        <f>prices!E1648/prices!E1647-1</f>
        <v>-4.6350423034091648E-4</v>
      </c>
      <c r="F1647" s="5">
        <f>prices!F1648/prices!F1647-1</f>
        <v>2.1964959429427999E-3</v>
      </c>
      <c r="G1647" s="5">
        <f>prices!G1648/prices!G1647-1</f>
        <v>-3.0232756947902173E-3</v>
      </c>
      <c r="H1647" s="5">
        <f>prices!H1648/prices!H1647-1</f>
        <v>1.2135687312395671E-3</v>
      </c>
      <c r="I1647" s="5">
        <f>prices!I1648/prices!I1647-1</f>
        <v>-6.5299318945221119E-3</v>
      </c>
      <c r="J1647" s="5">
        <f>prices!J1648/prices!J1647-1</f>
        <v>-1.8456815316111319E-3</v>
      </c>
      <c r="K1647" s="8">
        <f>SUMPRODUCT(B1647:I1647,weights!$B$5:$I$5)</f>
        <v>-8.7037585344564678E-4</v>
      </c>
      <c r="L1647" s="4">
        <f t="shared" si="50"/>
        <v>290.99784755329085</v>
      </c>
      <c r="M1647" s="4">
        <f>L1647/MAX(L$2:L1647)-1</f>
        <v>-6.6404313436387974E-2</v>
      </c>
      <c r="N1647" s="4">
        <f t="shared" si="51"/>
        <v>2.7659161149936606E-2</v>
      </c>
    </row>
    <row r="1648" spans="1:14">
      <c r="A1648" s="3">
        <f>prices!A1649</f>
        <v>45903</v>
      </c>
      <c r="B1648" s="5">
        <f>prices!B1649/prices!B1648-1</f>
        <v>4.4625462244800573E-3</v>
      </c>
      <c r="C1648" s="5">
        <f>prices!C1649/prices!C1648-1</f>
        <v>-4.4987748871959665E-3</v>
      </c>
      <c r="D1648" s="5">
        <f>prices!D1649/prices!D1648-1</f>
        <v>1.0536738669508106E-2</v>
      </c>
      <c r="E1648" s="5">
        <f>prices!E1649/prices!E1648-1</f>
        <v>-1.3081033193986791E-2</v>
      </c>
      <c r="F1648" s="5">
        <f>prices!F1649/prices!F1648-1</f>
        <v>1.2299203259160008E-2</v>
      </c>
      <c r="G1648" s="5">
        <f>prices!G1649/prices!G1648-1</f>
        <v>5.7273441211016518E-3</v>
      </c>
      <c r="H1648" s="5">
        <f>prices!H1649/prices!H1648-1</f>
        <v>8.626525599118029E-3</v>
      </c>
      <c r="I1648" s="5">
        <f>prices!I1649/prices!I1648-1</f>
        <v>7.2451077868667113E-3</v>
      </c>
      <c r="J1648" s="5">
        <f>prices!J1649/prices!J1648-1</f>
        <v>5.510667382707668E-3</v>
      </c>
      <c r="K1648" s="8">
        <f>SUMPRODUCT(B1648:I1648,weights!$B$5:$I$5)</f>
        <v>4.7177767747273872E-3</v>
      </c>
      <c r="L1648" s="4">
        <f t="shared" si="50"/>
        <v>292.37071043997338</v>
      </c>
      <c r="M1648" s="4">
        <f>L1648/MAX(L$2:L1648)-1</f>
        <v>-6.1999817389332579E-2</v>
      </c>
      <c r="N1648" s="4">
        <f t="shared" si="51"/>
        <v>2.4134033669164001E-2</v>
      </c>
    </row>
    <row r="1649" spans="1:14">
      <c r="A1649" s="3">
        <f>prices!A1650</f>
        <v>45904</v>
      </c>
      <c r="B1649" s="5">
        <f>prices!B1650/prices!B1649-1</f>
        <v>-9.6905465936704127E-3</v>
      </c>
      <c r="C1649" s="5">
        <f>prices!C1650/prices!C1649-1</f>
        <v>-5.8170031337845263E-4</v>
      </c>
      <c r="D1649" s="5">
        <f>prices!D1650/prices!D1649-1</f>
        <v>7.125207685425794E-3</v>
      </c>
      <c r="E1649" s="5">
        <f>prices!E1650/prices!E1649-1</f>
        <v>-1.0884048417184489E-2</v>
      </c>
      <c r="F1649" s="5">
        <f>prices!F1650/prices!F1649-1</f>
        <v>1.0086602139582235E-2</v>
      </c>
      <c r="G1649" s="5">
        <f>prices!G1650/prices!G1649-1</f>
        <v>-1.7753397146410554E-2</v>
      </c>
      <c r="H1649" s="5">
        <f>prices!H1650/prices!H1649-1</f>
        <v>2.2820104704008859E-3</v>
      </c>
      <c r="I1649" s="5">
        <f>prices!I1650/prices!I1649-1</f>
        <v>-2.2770802895144548E-3</v>
      </c>
      <c r="J1649" s="5">
        <f>prices!J1650/prices!J1649-1</f>
        <v>7.7887764742534671E-4</v>
      </c>
      <c r="K1649" s="8">
        <f>SUMPRODUCT(B1649:I1649,weights!$B$5:$I$5)</f>
        <v>-4.3892213001481594E-3</v>
      </c>
      <c r="L1649" s="4">
        <f t="shared" si="50"/>
        <v>291.08743069017078</v>
      </c>
      <c r="M1649" s="4">
        <f>L1649/MAX(L$2:L1649)-1</f>
        <v>-6.6116907770390254E-2</v>
      </c>
      <c r="N1649" s="4">
        <f t="shared" si="51"/>
        <v>2.0988391825864205E-2</v>
      </c>
    </row>
    <row r="1650" spans="1:14">
      <c r="A1650" s="3">
        <f>prices!A1651</f>
        <v>45905</v>
      </c>
      <c r="B1650" s="5">
        <f>prices!B1651/prices!B1650-1</f>
        <v>1.155176491456289E-2</v>
      </c>
      <c r="C1650" s="5">
        <f>prices!C1651/prices!C1650-1</f>
        <v>-1.5311323516053132E-2</v>
      </c>
      <c r="D1650" s="5">
        <f>prices!D1651/prices!D1650-1</f>
        <v>2.2419390657881788E-3</v>
      </c>
      <c r="E1650" s="5">
        <f>prices!E1651/prices!E1650-1</f>
        <v>-1.25778137008834E-2</v>
      </c>
      <c r="F1650" s="5">
        <f>prices!F1651/prices!F1650-1</f>
        <v>-2.0551745007060696E-2</v>
      </c>
      <c r="G1650" s="5">
        <f>prices!G1651/prices!G1650-1</f>
        <v>1.5891889136351756E-2</v>
      </c>
      <c r="H1650" s="5">
        <f>prices!H1651/prices!H1650-1</f>
        <v>7.1429482518909904E-3</v>
      </c>
      <c r="I1650" s="5">
        <f>prices!I1651/prices!I1650-1</f>
        <v>-1.0854870216563395E-2</v>
      </c>
      <c r="J1650" s="5">
        <f>prices!J1651/prices!J1650-1</f>
        <v>2.7087890095933709E-4</v>
      </c>
      <c r="K1650" s="8">
        <f>SUMPRODUCT(B1650:I1650,weights!$B$5:$I$5)</f>
        <v>-4.6345310672504022E-4</v>
      </c>
      <c r="L1650" s="4">
        <f t="shared" si="50"/>
        <v>290.95252531608884</v>
      </c>
      <c r="M1650" s="4">
        <f>L1650/MAX(L$2:L1650)-1</f>
        <v>-6.6549718790801959E-2</v>
      </c>
      <c r="N1650" s="4">
        <f t="shared" si="51"/>
        <v>2.795380527052993E-2</v>
      </c>
    </row>
    <row r="1651" spans="1:14">
      <c r="A1651" s="3">
        <f>prices!A1652</f>
        <v>45908</v>
      </c>
      <c r="B1651" s="5">
        <f>prices!B1652/prices!B1651-1</f>
        <v>2.5499207259602752E-3</v>
      </c>
      <c r="C1651" s="5">
        <f>prices!C1652/prices!C1651-1</f>
        <v>-9.6111794451277932E-3</v>
      </c>
      <c r="D1651" s="5">
        <f>prices!D1652/prices!D1651-1</f>
        <v>2.6906397391661674E-3</v>
      </c>
      <c r="E1651" s="5">
        <f>prices!E1652/prices!E1651-1</f>
        <v>-8.0994916276531104E-3</v>
      </c>
      <c r="F1651" s="5">
        <f>prices!F1652/prices!F1651-1</f>
        <v>4.8917381117896674E-4</v>
      </c>
      <c r="G1651" s="5">
        <f>prices!G1652/prices!G1651-1</f>
        <v>2.4370545674006205E-2</v>
      </c>
      <c r="H1651" s="5">
        <f>prices!H1652/prices!H1651-1</f>
        <v>-7.9091680492408001E-3</v>
      </c>
      <c r="I1651" s="5">
        <f>prices!I1652/prices!I1651-1</f>
        <v>-6.7543184162444092E-3</v>
      </c>
      <c r="J1651" s="5">
        <f>prices!J1652/prices!J1651-1</f>
        <v>1.2994624307829383E-3</v>
      </c>
      <c r="K1651" s="8">
        <f>SUMPRODUCT(B1651:I1651,weights!$B$5:$I$5)</f>
        <v>1.2489302675677805E-3</v>
      </c>
      <c r="L1651" s="4">
        <f t="shared" si="50"/>
        <v>291.31590473138141</v>
      </c>
      <c r="M1651" s="4">
        <f>L1651/MAX(L$2:L1651)-1</f>
        <v>-6.5383904481330135E-2</v>
      </c>
      <c r="N1651" s="4">
        <f t="shared" si="51"/>
        <v>2.5620987141463658E-2</v>
      </c>
    </row>
    <row r="1652" spans="1:14">
      <c r="A1652" s="3">
        <f>prices!A1653</f>
        <v>45909</v>
      </c>
      <c r="B1652" s="5">
        <f>prices!B1653/prices!B1652-1</f>
        <v>-1.6689015858210032E-3</v>
      </c>
      <c r="C1652" s="5">
        <f>prices!C1653/prices!C1652-1</f>
        <v>1.0070135613919451E-2</v>
      </c>
      <c r="D1652" s="5">
        <f>prices!D1653/prices!D1652-1</f>
        <v>-8.7342677947543912E-4</v>
      </c>
      <c r="E1652" s="5">
        <f>prices!E1653/prices!E1652-1</f>
        <v>4.9833502244100103E-2</v>
      </c>
      <c r="F1652" s="5">
        <f>prices!F1653/prices!F1652-1</f>
        <v>6.1245496654658282E-3</v>
      </c>
      <c r="G1652" s="5">
        <f>prices!G1653/prices!G1652-1</f>
        <v>7.0123107659125772E-3</v>
      </c>
      <c r="H1652" s="5">
        <f>prices!H1653/prices!H1652-1</f>
        <v>6.7658566787303087E-3</v>
      </c>
      <c r="I1652" s="5">
        <f>prices!I1653/prices!I1652-1</f>
        <v>-1.3045493297019206E-3</v>
      </c>
      <c r="J1652" s="5">
        <f>prices!J1653/prices!J1652-1</f>
        <v>3.8529617751474898E-3</v>
      </c>
      <c r="K1652" s="8">
        <f>SUMPRODUCT(B1652:I1652,weights!$B$5:$I$5)</f>
        <v>7.4692780739682614E-3</v>
      </c>
      <c r="L1652" s="4">
        <f t="shared" si="50"/>
        <v>293.49182423118975</v>
      </c>
      <c r="M1652" s="4">
        <f>L1652/MAX(L$2:L1652)-1</f>
        <v>-5.8402996971494647E-2</v>
      </c>
      <c r="N1652" s="4">
        <f t="shared" si="51"/>
        <v>4.0869679182874874E-2</v>
      </c>
    </row>
    <row r="1653" spans="1:14">
      <c r="A1653" s="3">
        <f>prices!A1654</f>
        <v>45910</v>
      </c>
      <c r="B1653" s="5">
        <f>prices!B1654/prices!B1653-1</f>
        <v>5.7669705884522138E-4</v>
      </c>
      <c r="C1653" s="5">
        <f>prices!C1654/prices!C1653-1</f>
        <v>1.9871168703421649E-2</v>
      </c>
      <c r="D1653" s="5">
        <f>prices!D1654/prices!D1653-1</f>
        <v>7.6886618568638987E-4</v>
      </c>
      <c r="E1653" s="5">
        <f>prices!E1654/prices!E1653-1</f>
        <v>1.8810679611650505E-2</v>
      </c>
      <c r="F1653" s="5">
        <f>prices!F1654/prices!F1653-1</f>
        <v>7.3149521714663823E-3</v>
      </c>
      <c r="G1653" s="5">
        <f>prices!G1654/prices!G1653-1</f>
        <v>-1.6726026838949082E-2</v>
      </c>
      <c r="H1653" s="5">
        <f>prices!H1654/prices!H1653-1</f>
        <v>1.0714580070880775E-3</v>
      </c>
      <c r="I1653" s="5">
        <f>prices!I1654/prices!I1653-1</f>
        <v>7.0927268039759905E-3</v>
      </c>
      <c r="J1653" s="5">
        <f>prices!J1654/prices!J1653-1</f>
        <v>4.2020861648826013E-3</v>
      </c>
      <c r="K1653" s="8">
        <f>SUMPRODUCT(B1653:I1653,weights!$B$5:$I$5)</f>
        <v>2.3886379792140925E-3</v>
      </c>
      <c r="L1653" s="4">
        <f t="shared" si="50"/>
        <v>294.19286994913722</v>
      </c>
      <c r="M1653" s="4">
        <f>L1653/MAX(L$2:L1653)-1</f>
        <v>-5.6153862608946503E-2</v>
      </c>
      <c r="N1653" s="4">
        <f t="shared" si="51"/>
        <v>3.4145165178598669E-2</v>
      </c>
    </row>
    <row r="1654" spans="1:14">
      <c r="A1654" s="3">
        <f>prices!A1655</f>
        <v>45911</v>
      </c>
      <c r="B1654" s="5">
        <f>prices!B1655/prices!B1654-1</f>
        <v>4.5744385916273167E-3</v>
      </c>
      <c r="C1654" s="5">
        <f>prices!C1655/prices!C1654-1</f>
        <v>4.5645738168276218E-3</v>
      </c>
      <c r="D1654" s="5">
        <f>prices!D1655/prices!D1654-1</f>
        <v>1.9680481592960763E-3</v>
      </c>
      <c r="E1654" s="5">
        <f>prices!E1655/prices!E1654-1</f>
        <v>-1.494396014943955E-2</v>
      </c>
      <c r="F1654" s="5">
        <f>prices!F1655/prices!F1654-1</f>
        <v>4.8496851513306627E-3</v>
      </c>
      <c r="G1654" s="5">
        <f>prices!G1655/prices!G1654-1</f>
        <v>-8.6042180056133954E-4</v>
      </c>
      <c r="H1654" s="5">
        <f>prices!H1655/prices!H1654-1</f>
        <v>1.0228121952146285E-2</v>
      </c>
      <c r="I1654" s="5">
        <f>prices!I1655/prices!I1654-1</f>
        <v>-2.9013044492356421E-3</v>
      </c>
      <c r="J1654" s="5">
        <f>prices!J1655/prices!J1654-1</f>
        <v>1.2973959980939753E-3</v>
      </c>
      <c r="K1654" s="8">
        <f>SUMPRODUCT(B1654:I1654,weights!$B$5:$I$5)</f>
        <v>1.0720408469178948E-3</v>
      </c>
      <c r="L1654" s="4">
        <f t="shared" si="50"/>
        <v>294.50825672259469</v>
      </c>
      <c r="M1654" s="4">
        <f>L1654/MAX(L$2:L1654)-1</f>
        <v>-5.5142020996457597E-2</v>
      </c>
      <c r="N1654" s="4">
        <f t="shared" si="51"/>
        <v>3.112381210703985E-2</v>
      </c>
    </row>
    <row r="1655" spans="1:14">
      <c r="A1655" s="3">
        <f>prices!A1656</f>
        <v>45912</v>
      </c>
      <c r="B1655" s="5">
        <f>prices!B1656/prices!B1655-1</f>
        <v>8.4608513141553043E-3</v>
      </c>
      <c r="C1655" s="5">
        <f>prices!C1656/prices!C1655-1</f>
        <v>2.9469908356587471E-3</v>
      </c>
      <c r="D1655" s="5">
        <f>prices!D1656/prices!D1655-1</f>
        <v>-5.146788509007294E-4</v>
      </c>
      <c r="E1655" s="5">
        <f>prices!E1656/prices!E1655-1</f>
        <v>1.0532897268179964E-2</v>
      </c>
      <c r="F1655" s="5">
        <f>prices!F1656/prices!F1655-1</f>
        <v>-3.1332912192040263E-3</v>
      </c>
      <c r="G1655" s="5">
        <f>prices!G1656/prices!G1655-1</f>
        <v>1.5236625714039054E-2</v>
      </c>
      <c r="H1655" s="5">
        <f>prices!H1656/prices!H1655-1</f>
        <v>4.2880517575369925E-3</v>
      </c>
      <c r="I1655" s="5">
        <f>prices!I1656/prices!I1655-1</f>
        <v>1.1328042539352934E-2</v>
      </c>
      <c r="J1655" s="5">
        <f>prices!J1656/prices!J1655-1</f>
        <v>4.3390454100098452E-3</v>
      </c>
      <c r="K1655" s="8">
        <f>SUMPRODUCT(B1655:I1655,weights!$B$5:$I$5)</f>
        <v>7.7681826144589475E-3</v>
      </c>
      <c r="L1655" s="4">
        <f t="shared" si="50"/>
        <v>296.79605064228173</v>
      </c>
      <c r="M1655" s="4">
        <f>L1655/MAX(L$2:L1655)-1</f>
        <v>-4.7802191670829663E-2</v>
      </c>
      <c r="N1655" s="4">
        <f t="shared" si="51"/>
        <v>3.6783728560243922E-2</v>
      </c>
    </row>
    <row r="1656" spans="1:14">
      <c r="A1656" s="3">
        <f>prices!A1657</f>
        <v>45915</v>
      </c>
      <c r="B1656" s="5">
        <f>prices!B1657/prices!B1656-1</f>
        <v>3.0822855002952121E-3</v>
      </c>
      <c r="C1656" s="5">
        <f>prices!C1657/prices!C1656-1</f>
        <v>-6.8605389378796344E-3</v>
      </c>
      <c r="D1656" s="5">
        <f>prices!D1657/prices!D1656-1</f>
        <v>-2.522174114085729E-4</v>
      </c>
      <c r="E1656" s="5">
        <f>prices!E1657/prices!E1656-1</f>
        <v>-1.1273006656377205E-2</v>
      </c>
      <c r="F1656" s="5">
        <f>prices!F1657/prices!F1656-1</f>
        <v>-2.6615294922816002E-3</v>
      </c>
      <c r="G1656" s="5">
        <f>prices!G1657/prices!G1656-1</f>
        <v>-3.914946792314189E-3</v>
      </c>
      <c r="H1656" s="5">
        <f>prices!H1657/prices!H1656-1</f>
        <v>-9.0326285760656821E-3</v>
      </c>
      <c r="I1656" s="5">
        <f>prices!I1657/prices!I1656-1</f>
        <v>1.7883486546483862E-3</v>
      </c>
      <c r="J1656" s="5">
        <f>prices!J1657/prices!J1656-1</f>
        <v>-1.7838655729871533E-3</v>
      </c>
      <c r="K1656" s="8">
        <f>SUMPRODUCT(B1656:I1656,weights!$B$5:$I$5)</f>
        <v>-3.1778170159810415E-3</v>
      </c>
      <c r="L1656" s="4">
        <f t="shared" si="50"/>
        <v>295.85288710227468</v>
      </c>
      <c r="M1656" s="4">
        <f>L1656/MAX(L$2:L1656)-1</f>
        <v>-5.0828102068718017E-2</v>
      </c>
      <c r="N1656" s="4">
        <f t="shared" si="51"/>
        <v>3.2229908597885437E-2</v>
      </c>
    </row>
    <row r="1657" spans="1:14">
      <c r="A1657" s="3">
        <f>prices!A1658</f>
        <v>45916</v>
      </c>
      <c r="B1657" s="5">
        <f>prices!B1658/prices!B1657-1</f>
        <v>4.286145054061441E-3</v>
      </c>
      <c r="C1657" s="5">
        <f>prices!C1658/prices!C1657-1</f>
        <v>1.086057961022413E-2</v>
      </c>
      <c r="D1657" s="5">
        <f>prices!D1658/prices!D1657-1</f>
        <v>-2.1023420089982814E-4</v>
      </c>
      <c r="E1657" s="5">
        <f>prices!E1658/prices!E1657-1</f>
        <v>1.9185938563737182E-3</v>
      </c>
      <c r="F1657" s="5">
        <f>prices!F1658/prices!F1657-1</f>
        <v>1.0928683983124632E-3</v>
      </c>
      <c r="G1657" s="5">
        <f>prices!G1658/prices!G1657-1</f>
        <v>2.0176375385258849E-2</v>
      </c>
      <c r="H1657" s="5">
        <f>prices!H1658/prices!H1657-1</f>
        <v>5.3039370078740156E-3</v>
      </c>
      <c r="I1657" s="5">
        <f>prices!I1658/prices!I1657-1</f>
        <v>2.2753701946496063E-2</v>
      </c>
      <c r="J1657" s="5">
        <f>prices!J1658/prices!J1657-1</f>
        <v>6.7772405980246475E-3</v>
      </c>
      <c r="K1657" s="8">
        <f>SUMPRODUCT(B1657:I1657,weights!$B$5:$I$5)</f>
        <v>1.0941500142354069E-2</v>
      </c>
      <c r="L1657" s="4">
        <f t="shared" si="50"/>
        <v>299.08996150862009</v>
      </c>
      <c r="M1657" s="4">
        <f>L1657/MAX(L$2:L1657)-1</f>
        <v>-4.0442737612384372E-2</v>
      </c>
      <c r="N1657" s="4">
        <f t="shared" si="51"/>
        <v>3.0031896281436543E-2</v>
      </c>
    </row>
    <row r="1658" spans="1:14">
      <c r="A1658" s="3">
        <f>prices!A1659</f>
        <v>45917</v>
      </c>
      <c r="B1658" s="5">
        <f>prices!B1659/prices!B1658-1</f>
        <v>6.0479114688705149E-3</v>
      </c>
      <c r="C1658" s="5">
        <f>prices!C1659/prices!C1658-1</f>
        <v>8.61498119404569E-3</v>
      </c>
      <c r="D1658" s="5">
        <f>prices!D1659/prices!D1658-1</f>
        <v>-3.6798721507280696E-4</v>
      </c>
      <c r="E1658" s="5">
        <f>prices!E1659/prices!E1658-1</f>
        <v>7.3508215624098483E-3</v>
      </c>
      <c r="F1658" s="5">
        <f>prices!F1659/prices!F1658-1</f>
        <v>-9.1903831018812498E-3</v>
      </c>
      <c r="G1658" s="5">
        <f>prices!G1659/prices!G1658-1</f>
        <v>1.464118587508878E-2</v>
      </c>
      <c r="H1658" s="5">
        <f>prices!H1659/prices!H1658-1</f>
        <v>6.0278710712315942E-3</v>
      </c>
      <c r="I1658" s="5">
        <f>prices!I1659/prices!I1658-1</f>
        <v>4.8261166417054024E-3</v>
      </c>
      <c r="J1658" s="5">
        <f>prices!J1659/prices!J1658-1</f>
        <v>3.6114599965926253E-3</v>
      </c>
      <c r="K1658" s="8">
        <f>SUMPRODUCT(B1658:I1658,weights!$B$5:$I$5)</f>
        <v>6.0591808322902254E-3</v>
      </c>
      <c r="L1658" s="4">
        <f t="shared" si="50"/>
        <v>300.90220167052354</v>
      </c>
      <c r="M1658" s="4">
        <f>L1658/MAX(L$2:L1658)-1</f>
        <v>-3.4628606640640491E-2</v>
      </c>
      <c r="N1658" s="4">
        <f t="shared" si="51"/>
        <v>3.1325702944724032E-2</v>
      </c>
    </row>
    <row r="1659" spans="1:14">
      <c r="A1659" s="3">
        <f>prices!A1660</f>
        <v>45918</v>
      </c>
      <c r="B1659" s="5">
        <f>prices!B1660/prices!B1659-1</f>
        <v>8.5270271230530881E-4</v>
      </c>
      <c r="C1659" s="5">
        <f>prices!C1660/prices!C1659-1</f>
        <v>1.2277027514984162E-3</v>
      </c>
      <c r="D1659" s="5">
        <f>prices!D1660/prices!D1659-1</f>
        <v>1.0770217823448336E-2</v>
      </c>
      <c r="E1659" s="5">
        <f>prices!E1660/prices!E1659-1</f>
        <v>1.1950752543111953E-2</v>
      </c>
      <c r="F1659" s="5">
        <f>prices!F1660/prices!F1659-1</f>
        <v>5.4833832987419839E-3</v>
      </c>
      <c r="G1659" s="5">
        <f>prices!G1660/prices!G1659-1</f>
        <v>1.0125358846169163E-3</v>
      </c>
      <c r="H1659" s="5">
        <f>prices!H1660/prices!H1659-1</f>
        <v>1.7526813408572872E-2</v>
      </c>
      <c r="I1659" s="5">
        <f>prices!I1660/prices!I1659-1</f>
        <v>1.3699193117533426E-4</v>
      </c>
      <c r="J1659" s="5">
        <f>prices!J1660/prices!J1659-1</f>
        <v>3.685316962919849E-3</v>
      </c>
      <c r="K1659" s="8">
        <f>SUMPRODUCT(B1659:I1659,weights!$B$5:$I$5)</f>
        <v>5.3559131423858708E-3</v>
      </c>
      <c r="L1659" s="4">
        <f t="shared" si="50"/>
        <v>302.51380772702356</v>
      </c>
      <c r="M1659" s="4">
        <f>L1659/MAX(L$2:L1659)-1</f>
        <v>-2.9458161307663655E-2</v>
      </c>
      <c r="N1659" s="4">
        <f t="shared" si="51"/>
        <v>3.3318038227201585E-2</v>
      </c>
    </row>
    <row r="1660" spans="1:14">
      <c r="A1660" s="3">
        <f>prices!A1661</f>
        <v>45919</v>
      </c>
      <c r="B1660" s="5">
        <f>prices!B1661/prices!B1660-1</f>
        <v>-5.3745500500536059E-3</v>
      </c>
      <c r="C1660" s="5">
        <f>prices!C1661/prices!C1660-1</f>
        <v>-2.3605938204899202E-3</v>
      </c>
      <c r="D1660" s="5">
        <f>prices!D1661/prices!D1660-1</f>
        <v>-1.0239227479422741E-2</v>
      </c>
      <c r="E1660" s="5">
        <f>prices!E1661/prices!E1660-1</f>
        <v>-2.5585262888583316E-4</v>
      </c>
      <c r="F1660" s="5">
        <f>prices!F1661/prices!F1660-1</f>
        <v>-2.1915853316684109E-3</v>
      </c>
      <c r="G1660" s="5">
        <f>prices!G1661/prices!G1660-1</f>
        <v>2.9713155973953853E-3</v>
      </c>
      <c r="H1660" s="5">
        <f>prices!H1661/prices!H1660-1</f>
        <v>4.4868028010380812E-3</v>
      </c>
      <c r="I1660" s="5">
        <f>prices!I1661/prices!I1660-1</f>
        <v>-2.8764365060884867E-3</v>
      </c>
      <c r="J1660" s="5">
        <f>prices!J1661/prices!J1660-1</f>
        <v>-3.7976525747730472E-3</v>
      </c>
      <c r="K1660" s="8">
        <f>SUMPRODUCT(B1660:I1660,weights!$B$5:$I$5)</f>
        <v>-1.1698852419612985E-3</v>
      </c>
      <c r="L1660" s="4">
        <f t="shared" si="50"/>
        <v>302.15990128787422</v>
      </c>
      <c r="M1660" s="4">
        <f>L1660/MAX(L$2:L1660)-1</f>
        <v>-3.0593583881455721E-2</v>
      </c>
      <c r="N1660" s="4">
        <f t="shared" si="51"/>
        <v>2.8232550665996836E-2</v>
      </c>
    </row>
    <row r="1661" spans="1:14">
      <c r="A1661" s="3">
        <f>prices!A1662</f>
        <v>45922</v>
      </c>
      <c r="B1661" s="5">
        <f>prices!B1662/prices!B1661-1</f>
        <v>-1.1935014133569344E-2</v>
      </c>
      <c r="C1661" s="5">
        <f>prices!C1662/prices!C1661-1</f>
        <v>-3.0103060258702241E-2</v>
      </c>
      <c r="D1661" s="5">
        <f>prices!D1662/prices!D1661-1</f>
        <v>-2.796555820726021E-3</v>
      </c>
      <c r="E1661" s="5">
        <f>prices!E1662/prices!E1661-1</f>
        <v>-2.6426911809273701E-2</v>
      </c>
      <c r="F1661" s="5">
        <f>prices!F1662/prices!F1661-1</f>
        <v>-8.9899118886477281E-3</v>
      </c>
      <c r="G1661" s="5">
        <f>prices!G1662/prices!G1661-1</f>
        <v>-3.0255452284631001E-3</v>
      </c>
      <c r="H1661" s="5">
        <f>prices!H1662/prices!H1661-1</f>
        <v>-7.2455378090322542E-3</v>
      </c>
      <c r="I1661" s="5">
        <f>prices!I1662/prices!I1661-1</f>
        <v>-8.4069398464222678E-3</v>
      </c>
      <c r="J1661" s="5">
        <f>prices!J1662/prices!J1661-1</f>
        <v>-4.9235896008418267E-3</v>
      </c>
      <c r="K1661" s="8">
        <f>SUMPRODUCT(B1661:I1661,weights!$B$5:$I$5)</f>
        <v>-1.069841091069861E-2</v>
      </c>
      <c r="L1661" s="4">
        <f t="shared" si="50"/>
        <v>298.9272705031604</v>
      </c>
      <c r="M1661" s="4">
        <f>L1661/MAX(L$2:L1661)-1</f>
        <v>-4.0964692060559638E-2</v>
      </c>
      <c r="N1661" s="4">
        <f t="shared" si="51"/>
        <v>2.2950087999656699E-2</v>
      </c>
    </row>
    <row r="1662" spans="1:14">
      <c r="A1662" s="3">
        <f>prices!A1663</f>
        <v>45923</v>
      </c>
      <c r="B1662" s="5">
        <f>prices!B1663/prices!B1662-1</f>
        <v>-5.779511631266443E-4</v>
      </c>
      <c r="C1662" s="5">
        <f>prices!C1663/prices!C1662-1</f>
        <v>-3.7068661733213881E-3</v>
      </c>
      <c r="D1662" s="5">
        <f>prices!D1663/prices!D1662-1</f>
        <v>-7.2534817766812809E-3</v>
      </c>
      <c r="E1662" s="5">
        <f>prices!E1663/prices!E1662-1</f>
        <v>-1.3350765420824251E-3</v>
      </c>
      <c r="F1662" s="5">
        <f>prices!F1663/prices!F1662-1</f>
        <v>-9.2260907661778635E-3</v>
      </c>
      <c r="G1662" s="5">
        <f>prices!G1663/prices!G1662-1</f>
        <v>1.7766435869041919E-2</v>
      </c>
      <c r="H1662" s="5">
        <f>prices!H1663/prices!H1662-1</f>
        <v>-7.7833431545863974E-3</v>
      </c>
      <c r="I1662" s="5">
        <f>prices!I1663/prices!I1662-1</f>
        <v>3.5935443651726739E-3</v>
      </c>
      <c r="J1662" s="5">
        <f>prices!J1663/prices!J1662-1</f>
        <v>-1.3034498766979485E-3</v>
      </c>
      <c r="K1662" s="8">
        <f>SUMPRODUCT(B1662:I1662,weights!$B$5:$I$5)</f>
        <v>1.1645012358301801E-3</v>
      </c>
      <c r="L1662" s="4">
        <f t="shared" si="50"/>
        <v>299.27537167908463</v>
      </c>
      <c r="M1662" s="4">
        <f>L1662/MAX(L$2:L1662)-1</f>
        <v>-3.9847894259259498E-2</v>
      </c>
      <c r="N1662" s="4">
        <f t="shared" si="51"/>
        <v>1.5304195323863512E-2</v>
      </c>
    </row>
    <row r="1663" spans="1:14">
      <c r="A1663" s="3">
        <f>prices!A1664</f>
        <v>45924</v>
      </c>
      <c r="B1663" s="5">
        <f>prices!B1664/prices!B1663-1</f>
        <v>-4.8865114934220077E-3</v>
      </c>
      <c r="C1663" s="5">
        <f>prices!C1664/prices!C1663-1</f>
        <v>-8.8187080405668361E-3</v>
      </c>
      <c r="D1663" s="5">
        <f>prices!D1664/prices!D1663-1</f>
        <v>-6.4250289391798443E-3</v>
      </c>
      <c r="E1663" s="5">
        <f>prices!E1664/prices!E1663-1</f>
        <v>-1.9394879751745142E-3</v>
      </c>
      <c r="F1663" s="5">
        <f>prices!F1664/prices!F1663-1</f>
        <v>-5.4623488099881934E-3</v>
      </c>
      <c r="G1663" s="5">
        <f>prices!G1664/prices!G1663-1</f>
        <v>9.442841599453855E-3</v>
      </c>
      <c r="H1663" s="5">
        <f>prices!H1664/prices!H1663-1</f>
        <v>-2.5178787953775705E-3</v>
      </c>
      <c r="I1663" s="5">
        <f>prices!I1664/prices!I1663-1</f>
        <v>4.4282235755974675E-3</v>
      </c>
      <c r="J1663" s="5">
        <f>prices!J1664/prices!J1663-1</f>
        <v>-4.4736685273842891E-3</v>
      </c>
      <c r="K1663" s="8">
        <f>SUMPRODUCT(B1663:I1663,weights!$B$5:$I$5)</f>
        <v>-1.6691504825804536E-4</v>
      </c>
      <c r="L1663" s="4">
        <f t="shared" si="50"/>
        <v>299.22541811597836</v>
      </c>
      <c r="M1663" s="4">
        <f>L1663/MAX(L$2:L1663)-1</f>
        <v>-4.0008158094324342E-2</v>
      </c>
      <c r="N1663" s="4">
        <f t="shared" si="51"/>
        <v>2.2267975416402574E-2</v>
      </c>
    </row>
    <row r="1664" spans="1:14">
      <c r="A1664" s="3">
        <f>prices!A1665</f>
        <v>45925</v>
      </c>
      <c r="B1664" s="5">
        <f>prices!B1665/prices!B1664-1</f>
        <v>-7.67085076708518E-3</v>
      </c>
      <c r="C1664" s="5">
        <f>prices!C1665/prices!C1664-1</f>
        <v>-2.5696453141459075E-2</v>
      </c>
      <c r="D1664" s="5">
        <f>prices!D1665/prices!D1664-1</f>
        <v>-1.261249706064782E-3</v>
      </c>
      <c r="E1664" s="5">
        <f>prices!E1665/prices!E1664-1</f>
        <v>-6.551551829437563E-3</v>
      </c>
      <c r="F1664" s="5">
        <f>prices!F1665/prices!F1664-1</f>
        <v>-2.2492480711390206E-3</v>
      </c>
      <c r="G1664" s="5">
        <f>prices!G1665/prices!G1664-1</f>
        <v>1.2307745861208641E-3</v>
      </c>
      <c r="H1664" s="5">
        <f>prices!H1665/prices!H1664-1</f>
        <v>1.8606151193600873E-4</v>
      </c>
      <c r="I1664" s="5">
        <f>prices!I1665/prices!I1664-1</f>
        <v>-8.0010774381160665E-3</v>
      </c>
      <c r="J1664" s="5">
        <f>prices!J1665/prices!J1664-1</f>
        <v>-6.6269171365972435E-3</v>
      </c>
      <c r="K1664" s="8">
        <f>SUMPRODUCT(B1664:I1664,weights!$B$5:$I$5)</f>
        <v>-5.3781611905400605E-3</v>
      </c>
      <c r="L1664" s="4">
        <f t="shared" si="50"/>
        <v>297.61613558504388</v>
      </c>
      <c r="M1664" s="4">
        <f>L1664/MAX(L$2:L1664)-1</f>
        <v>-4.5171148961696495E-2</v>
      </c>
      <c r="N1664" s="4">
        <f t="shared" si="51"/>
        <v>2.1710591637253085E-2</v>
      </c>
    </row>
    <row r="1665" spans="1:14">
      <c r="A1665" s="3">
        <f>prices!A1666</f>
        <v>45926</v>
      </c>
      <c r="B1665" s="5">
        <f>prices!B1666/prices!B1665-1</f>
        <v>3.7918716327010049E-3</v>
      </c>
      <c r="C1665" s="5">
        <f>prices!C1666/prices!C1665-1</f>
        <v>-1.9711077928663889E-2</v>
      </c>
      <c r="D1665" s="5">
        <f>prices!D1666/prices!D1665-1</f>
        <v>-5.0620719178082751E-3</v>
      </c>
      <c r="E1665" s="5">
        <f>prices!E1666/prices!E1665-1</f>
        <v>-2.4178449673056601E-2</v>
      </c>
      <c r="F1665" s="5">
        <f>prices!F1666/prices!F1665-1</f>
        <v>1.2503604288447878E-2</v>
      </c>
      <c r="G1665" s="5">
        <f>prices!G1666/prices!G1665-1</f>
        <v>1.045493235025452E-3</v>
      </c>
      <c r="H1665" s="5">
        <f>prices!H1666/prices!H1665-1</f>
        <v>-2.5008216188060928E-2</v>
      </c>
      <c r="I1665" s="5">
        <f>prices!I1666/prices!I1665-1</f>
        <v>2.3351758724353244E-2</v>
      </c>
      <c r="J1665" s="5">
        <f>prices!J1666/prices!J1665-1</f>
        <v>-9.4874220848222279E-3</v>
      </c>
      <c r="K1665" s="8">
        <f>SUMPRODUCT(B1665:I1665,weights!$B$5:$I$5)</f>
        <v>-1.5966202727750092E-3</v>
      </c>
      <c r="L1665" s="4">
        <f t="shared" si="50"/>
        <v>297.14095562946386</v>
      </c>
      <c r="M1665" s="4">
        <f>L1665/MAX(L$2:L1665)-1</f>
        <v>-4.6695648062294648E-2</v>
      </c>
      <c r="N1665" s="4">
        <f t="shared" si="51"/>
        <v>1.9708233646554607E-2</v>
      </c>
    </row>
    <row r="1666" spans="1:14">
      <c r="A1666" s="3">
        <f>prices!A1667</f>
        <v>45929</v>
      </c>
      <c r="B1666" s="5">
        <f>prices!B1667/prices!B1666-1</f>
        <v>-3.4858451351311714E-3</v>
      </c>
      <c r="C1666" s="5">
        <f>prices!C1667/prices!C1666-1</f>
        <v>-1.0346499973056256E-3</v>
      </c>
      <c r="D1666" s="5">
        <f>prices!D1667/prices!D1666-1</f>
        <v>5.5611130831370037E-3</v>
      </c>
      <c r="E1666" s="5">
        <f>prices!E1667/prices!E1666-1</f>
        <v>-4.9039611119462423E-3</v>
      </c>
      <c r="F1666" s="5">
        <f>prices!F1667/prices!F1666-1</f>
        <v>5.3073059597161798E-3</v>
      </c>
      <c r="G1666" s="5">
        <f>prices!G1667/prices!G1666-1</f>
        <v>-1.8543705156328416E-2</v>
      </c>
      <c r="H1666" s="5">
        <f>prices!H1667/prices!H1666-1</f>
        <v>1.6408664792602057E-3</v>
      </c>
      <c r="I1666" s="5">
        <f>prices!I1667/prices!I1666-1</f>
        <v>-1.1022274687756406E-2</v>
      </c>
      <c r="J1666" s="5">
        <f>prices!J1667/prices!J1666-1</f>
        <v>-8.0309231099950917E-4</v>
      </c>
      <c r="K1666" s="8">
        <f>SUMPRODUCT(B1666:I1666,weights!$B$5:$I$5)</f>
        <v>-5.6212871011057826E-3</v>
      </c>
      <c r="L1666" s="4">
        <f t="shared" si="50"/>
        <v>295.47064100837372</v>
      </c>
      <c r="M1666" s="4">
        <f>L1666/MAX(L$2:L1666)-1</f>
        <v>-5.2054445519270076E-2</v>
      </c>
      <c r="N1666" s="4">
        <f t="shared" si="51"/>
        <v>1.4486783937379677E-2</v>
      </c>
    </row>
    <row r="1667" spans="1:14">
      <c r="A1667" s="3">
        <f>prices!A1668</f>
        <v>45930</v>
      </c>
      <c r="B1667" s="5">
        <f>prices!B1668/prices!B1667-1</f>
        <v>-6.4106316960365062E-3</v>
      </c>
      <c r="C1667" s="5">
        <f>prices!C1668/prices!C1667-1</f>
        <v>-2.6612291282317457E-3</v>
      </c>
      <c r="D1667" s="5">
        <f>prices!D1668/prices!D1667-1</f>
        <v>7.3809421933157537E-4</v>
      </c>
      <c r="E1667" s="5">
        <f>prices!E1668/prices!E1667-1</f>
        <v>0</v>
      </c>
      <c r="F1667" s="5">
        <f>prices!F1668/prices!F1667-1</f>
        <v>-1.3983672838711381E-2</v>
      </c>
      <c r="G1667" s="5">
        <f>prices!G1668/prices!G1667-1</f>
        <v>2.8151534242819576E-3</v>
      </c>
      <c r="H1667" s="5">
        <f>prices!H1668/prices!H1667-1</f>
        <v>3.143016788154096E-3</v>
      </c>
      <c r="I1667" s="5">
        <f>prices!I1668/prices!I1667-1</f>
        <v>-7.9694036225058662E-3</v>
      </c>
      <c r="J1667" s="5">
        <f>prices!J1668/prices!J1667-1</f>
        <v>-9.6610905666361102E-4</v>
      </c>
      <c r="K1667" s="8">
        <f>SUMPRODUCT(B1667:I1667,weights!$B$5:$I$5)</f>
        <v>-2.7126066154503203E-3</v>
      </c>
      <c r="L1667" s="4">
        <f t="shared" si="50"/>
        <v>294.66914539290303</v>
      </c>
      <c r="M1667" s="4">
        <f>L1667/MAX(L$2:L1667)-1</f>
        <v>-5.4625848901441287E-2</v>
      </c>
      <c r="N1667" s="4">
        <f t="shared" si="51"/>
        <v>1.2616237097560878E-2</v>
      </c>
    </row>
    <row r="1668" spans="1:14">
      <c r="A1668" s="3">
        <f>prices!A1669</f>
        <v>45931</v>
      </c>
      <c r="B1668" s="5">
        <f>prices!B1669/prices!B1668-1</f>
        <v>3.4469551895826012E-3</v>
      </c>
      <c r="C1668" s="5">
        <f>prices!C1669/prices!C1668-1</f>
        <v>8.9353002051730801E-3</v>
      </c>
      <c r="D1668" s="5">
        <f>prices!D1669/prices!D1668-1</f>
        <v>1.4986157579126358E-2</v>
      </c>
      <c r="E1668" s="5">
        <f>prices!E1669/prices!E1668-1</f>
        <v>2.7770183743649479E-3</v>
      </c>
      <c r="F1668" s="5">
        <f>prices!F1669/prices!F1668-1</f>
        <v>1.008148767237782E-2</v>
      </c>
      <c r="G1668" s="5">
        <f>prices!G1669/prices!G1668-1</f>
        <v>-3.9925341627587985E-3</v>
      </c>
      <c r="H1668" s="5">
        <f>prices!H1669/prices!H1668-1</f>
        <v>2.6280643344072763E-2</v>
      </c>
      <c r="I1668" s="5">
        <f>prices!I1669/prices!I1668-1</f>
        <v>3.0880806709332465E-3</v>
      </c>
      <c r="J1668" s="5">
        <f>prices!J1669/prices!J1668-1</f>
        <v>9.1503427315318131E-3</v>
      </c>
      <c r="K1668" s="8">
        <f>SUMPRODUCT(B1668:I1668,weights!$B$5:$I$5)</f>
        <v>7.2118739961277729E-3</v>
      </c>
      <c r="L1668" s="4">
        <f t="shared" ref="L1668:L1731" si="52">L1667*(1+K1668)</f>
        <v>296.79426214002331</v>
      </c>
      <c r="M1668" s="4">
        <f>L1668/MAX(L$2:L1668)-1</f>
        <v>-4.7807929644522296E-2</v>
      </c>
      <c r="N1668" s="4">
        <f t="shared" si="51"/>
        <v>1.5129941345332298E-2</v>
      </c>
    </row>
    <row r="1669" spans="1:14">
      <c r="A1669" s="3">
        <f>prices!A1670</f>
        <v>45933</v>
      </c>
      <c r="B1669" s="5">
        <f>prices!B1670/prices!B1669-1</f>
        <v>-3.86817381092186E-3</v>
      </c>
      <c r="C1669" s="5">
        <f>prices!C1670/prices!C1669-1</f>
        <v>-4.2207966262219898E-3</v>
      </c>
      <c r="D1669" s="5">
        <f>prices!D1670/prices!D1669-1</f>
        <v>-1.0531304302030531E-4</v>
      </c>
      <c r="E1669" s="5">
        <f>prices!E1670/prices!E1669-1</f>
        <v>5.5243069505817033E-4</v>
      </c>
      <c r="F1669" s="5">
        <f>prices!F1670/prices!F1669-1</f>
        <v>-3.2062884625330135E-3</v>
      </c>
      <c r="G1669" s="5">
        <f>prices!G1670/prices!G1669-1</f>
        <v>-9.9593452214502554E-3</v>
      </c>
      <c r="H1669" s="5">
        <f>prices!H1670/prices!H1669-1</f>
        <v>-3.0529360610340728E-3</v>
      </c>
      <c r="I1669" s="5">
        <f>prices!I1670/prices!I1669-1</f>
        <v>1.7109607131066351E-2</v>
      </c>
      <c r="J1669" s="5">
        <f>prices!J1670/prices!J1669-1</f>
        <v>2.3332783063501061E-3</v>
      </c>
      <c r="K1669" s="8">
        <f>SUMPRODUCT(B1669:I1669,weights!$B$5:$I$5)</f>
        <v>-1.1789534763286848E-4</v>
      </c>
      <c r="L1669" s="4">
        <f t="shared" si="52"/>
        <v>296.75927147731289</v>
      </c>
      <c r="M1669" s="4">
        <f>L1669/MAX(L$2:L1669)-1</f>
        <v>-4.792018865966996E-2</v>
      </c>
      <c r="N1669" s="4">
        <f t="shared" si="51"/>
        <v>1.9485007558361911E-2</v>
      </c>
    </row>
    <row r="1670" spans="1:14">
      <c r="A1670" s="3">
        <f>prices!A1671</f>
        <v>45936</v>
      </c>
      <c r="B1670" s="5">
        <f>prices!B1671/prices!B1670-1</f>
        <v>8.5032384517327309E-3</v>
      </c>
      <c r="C1670" s="5">
        <f>prices!C1671/prices!C1670-1</f>
        <v>2.9807195360055161E-2</v>
      </c>
      <c r="D1670" s="5">
        <f>prices!D1671/prices!D1670-1</f>
        <v>8.5944494180840714E-3</v>
      </c>
      <c r="E1670" s="5">
        <f>prices!E1671/prices!E1670-1</f>
        <v>2.0321093352263508E-2</v>
      </c>
      <c r="F1670" s="5">
        <f>prices!F1671/prices!F1670-1</f>
        <v>-8.7937743190661388E-3</v>
      </c>
      <c r="G1670" s="5">
        <f>prices!G1671/prices!G1670-1</f>
        <v>1.2147226248079734E-2</v>
      </c>
      <c r="H1670" s="5">
        <f>prices!H1671/prices!H1670-1</f>
        <v>1.4402019252183873E-2</v>
      </c>
      <c r="I1670" s="5">
        <f>prices!I1671/prices!I1670-1</f>
        <v>1.0440926267043515E-3</v>
      </c>
      <c r="J1670" s="5">
        <f>prices!J1671/prices!J1670-1</f>
        <v>7.3671630999125881E-3</v>
      </c>
      <c r="K1670" s="8">
        <f>SUMPRODUCT(B1670:I1670,weights!$B$5:$I$5)</f>
        <v>1.0064233534193522E-2</v>
      </c>
      <c r="L1670" s="4">
        <f t="shared" si="52"/>
        <v>299.7459260888977</v>
      </c>
      <c r="M1670" s="4">
        <f>L1670/MAX(L$2:L1670)-1</f>
        <v>-3.8338235095149997E-2</v>
      </c>
      <c r="N1670" s="4">
        <f t="shared" si="51"/>
        <v>3.0222802717576602E-2</v>
      </c>
    </row>
    <row r="1671" spans="1:14">
      <c r="A1671" s="3">
        <f>prices!A1672</f>
        <v>45937</v>
      </c>
      <c r="B1671" s="5">
        <f>prices!B1672/prices!B1671-1</f>
        <v>7.131010396954629E-3</v>
      </c>
      <c r="C1671" s="5">
        <f>prices!C1672/prices!C1671-1</f>
        <v>-4.9210780367268114E-3</v>
      </c>
      <c r="D1671" s="5">
        <f>prices!D1672/prices!D1671-1</f>
        <v>9.2939714497550785E-3</v>
      </c>
      <c r="E1671" s="5">
        <f>prices!E1672/prices!E1671-1</f>
        <v>-1.1855651990583027E-2</v>
      </c>
      <c r="F1671" s="5">
        <f>prices!F1672/prices!F1671-1</f>
        <v>-2.3553427023632612E-3</v>
      </c>
      <c r="G1671" s="5">
        <f>prices!G1672/prices!G1671-1</f>
        <v>6.8754644410953247E-3</v>
      </c>
      <c r="H1671" s="5">
        <f>prices!H1672/prices!H1671-1</f>
        <v>-9.635791476593214E-4</v>
      </c>
      <c r="I1671" s="5">
        <f>prices!I1672/prices!I1671-1</f>
        <v>-1.9536052528473791E-3</v>
      </c>
      <c r="J1671" s="5">
        <f>prices!J1672/prices!J1671-1</f>
        <v>1.222203834888802E-3</v>
      </c>
      <c r="K1671" s="8">
        <f>SUMPRODUCT(B1671:I1671,weights!$B$5:$I$5)</f>
        <v>7.7111945189909715E-4</v>
      </c>
      <c r="L1671" s="4">
        <f t="shared" si="52"/>
        <v>299.97706600313239</v>
      </c>
      <c r="M1671" s="4">
        <f>L1671/MAX(L$2:L1671)-1</f>
        <v>-3.7596679002084188E-2</v>
      </c>
      <c r="N1671" s="4">
        <f t="shared" si="51"/>
        <v>2.9731165140939764E-2</v>
      </c>
    </row>
    <row r="1672" spans="1:14">
      <c r="A1672" s="3">
        <f>prices!A1673</f>
        <v>45938</v>
      </c>
      <c r="B1672" s="5">
        <f>prices!B1673/prices!B1672-1</f>
        <v>-1.2565019623774987E-2</v>
      </c>
      <c r="C1672" s="5">
        <f>prices!C1673/prices!C1672-1</f>
        <v>1.7991923423123612E-2</v>
      </c>
      <c r="D1672" s="5">
        <f>prices!D1673/prices!D1672-1</f>
        <v>-3.8592461536870459E-3</v>
      </c>
      <c r="E1672" s="5">
        <f>prices!E1673/prices!E1672-1</f>
        <v>2.5027025489303689E-2</v>
      </c>
      <c r="F1672" s="5">
        <f>prices!F1673/prices!F1672-1</f>
        <v>-1.3116130216928035E-4</v>
      </c>
      <c r="G1672" s="5">
        <f>prices!G1673/prices!G1672-1</f>
        <v>-5.9594314712408947E-3</v>
      </c>
      <c r="H1672" s="5">
        <f>prices!H1673/prices!H1672-1</f>
        <v>-1.3008656158814413E-2</v>
      </c>
      <c r="I1672" s="5">
        <f>prices!I1673/prices!I1672-1</f>
        <v>2.707371088517263E-5</v>
      </c>
      <c r="J1672" s="5">
        <f>prices!J1673/prices!J1672-1</f>
        <v>-2.4752770996043783E-3</v>
      </c>
      <c r="K1672" s="8">
        <f>SUMPRODUCT(B1672:I1672,weights!$B$5:$I$5)</f>
        <v>-1.3116753192118156E-3</v>
      </c>
      <c r="L1672" s="4">
        <f t="shared" si="52"/>
        <v>299.58359348932652</v>
      </c>
      <c r="M1672" s="4">
        <f>L1672/MAX(L$2:L1672)-1</f>
        <v>-3.8859039685364527E-2</v>
      </c>
      <c r="N1672" s="4">
        <f t="shared" si="51"/>
        <v>2.0756180428856297E-2</v>
      </c>
    </row>
    <row r="1673" spans="1:14">
      <c r="A1673" s="3">
        <f>prices!A1674</f>
        <v>45939</v>
      </c>
      <c r="B1673" s="5">
        <f>prices!B1674/prices!B1673-1</f>
        <v>7.604087840071827E-3</v>
      </c>
      <c r="C1673" s="5">
        <f>prices!C1674/prices!C1673-1</f>
        <v>1.1398432500498989E-2</v>
      </c>
      <c r="D1673" s="5">
        <f>prices!D1674/prices!D1673-1</f>
        <v>-1.6410810361660033E-3</v>
      </c>
      <c r="E1673" s="5">
        <f>prices!E1674/prices!E1673-1</f>
        <v>9.5679504881112099E-3</v>
      </c>
      <c r="F1673" s="5">
        <f>prices!F1674/prices!F1673-1</f>
        <v>3.6729982159711128E-4</v>
      </c>
      <c r="G1673" s="5">
        <f>prices!G1674/prices!G1673-1</f>
        <v>-1.6861385282970209E-3</v>
      </c>
      <c r="H1673" s="5">
        <f>prices!H1674/prices!H1673-1</f>
        <v>1.6489055744883574E-2</v>
      </c>
      <c r="I1673" s="5">
        <f>prices!I1674/prices!I1673-1</f>
        <v>1.0563875984102689E-2</v>
      </c>
      <c r="J1673" s="5">
        <f>prices!J1674/prices!J1673-1</f>
        <v>5.4160020601967673E-3</v>
      </c>
      <c r="K1673" s="8">
        <f>SUMPRODUCT(B1673:I1673,weights!$B$5:$I$5)</f>
        <v>6.9284984390573321E-3</v>
      </c>
      <c r="L1673" s="4">
        <f t="shared" si="52"/>
        <v>301.65925794918451</v>
      </c>
      <c r="M1673" s="4">
        <f>L1673/MAX(L$2:L1673)-1</f>
        <v>-3.2199776042110551E-2</v>
      </c>
      <c r="N1673" s="4">
        <f t="shared" si="51"/>
        <v>2.5379228263887388E-2</v>
      </c>
    </row>
    <row r="1674" spans="1:14">
      <c r="A1674" s="3">
        <f>prices!A1675</f>
        <v>45940</v>
      </c>
      <c r="B1674" s="5">
        <f>prices!B1675/prices!B1674-1</f>
        <v>2.8291018330828255E-3</v>
      </c>
      <c r="C1674" s="5">
        <f>prices!C1675/prices!C1674-1</f>
        <v>-1.0909387788425318E-2</v>
      </c>
      <c r="D1674" s="5">
        <f>prices!D1675/prices!D1674-1</f>
        <v>3.8909696213067502E-3</v>
      </c>
      <c r="E1674" s="5">
        <f>prices!E1675/prices!E1674-1</f>
        <v>3.7043145987107895E-3</v>
      </c>
      <c r="F1674" s="5">
        <f>prices!F1675/prices!F1674-1</f>
        <v>7.2646210333071615E-3</v>
      </c>
      <c r="G1674" s="5">
        <f>prices!G1675/prices!G1674-1</f>
        <v>1.7516046318540424E-2</v>
      </c>
      <c r="H1674" s="5">
        <f>prices!H1675/prices!H1674-1</f>
        <v>7.4779889138358868E-3</v>
      </c>
      <c r="I1674" s="5">
        <f>prices!I1675/prices!I1674-1</f>
        <v>3.927409891929301E-3</v>
      </c>
      <c r="J1674" s="5">
        <f>prices!J1675/prices!J1674-1</f>
        <v>4.1120968318388851E-3</v>
      </c>
      <c r="K1674" s="8">
        <f>SUMPRODUCT(B1674:I1674,weights!$B$5:$I$5)</f>
        <v>5.9194782936928744E-3</v>
      </c>
      <c r="L1674" s="4">
        <f t="shared" si="52"/>
        <v>303.44492337870622</v>
      </c>
      <c r="M1674" s="4">
        <f>L1674/MAX(L$2:L1674)-1</f>
        <v>-2.64709036237607E-2</v>
      </c>
      <c r="N1674" s="4">
        <f t="shared" si="51"/>
        <v>3.03443671004755E-2</v>
      </c>
    </row>
    <row r="1675" spans="1:14">
      <c r="A1675" s="3">
        <f>prices!A1676</f>
        <v>45943</v>
      </c>
      <c r="B1675" s="5">
        <f>prices!B1676/prices!B1675-1</f>
        <v>-4.8497098899180635E-3</v>
      </c>
      <c r="C1675" s="5">
        <f>prices!C1676/prices!C1675-1</f>
        <v>-6.9679460723619524E-3</v>
      </c>
      <c r="D1675" s="5">
        <f>prices!D1676/prices!D1675-1</f>
        <v>-3.9795220428213707E-3</v>
      </c>
      <c r="E1675" s="5">
        <f>prices!E1676/prices!E1675-1</f>
        <v>-1.4324352083262104E-2</v>
      </c>
      <c r="F1675" s="5">
        <f>prices!F1676/prices!F1675-1</f>
        <v>-8.8265159996875342E-3</v>
      </c>
      <c r="G1675" s="5">
        <f>prices!G1676/prices!G1675-1</f>
        <v>3.5663563984209556E-3</v>
      </c>
      <c r="H1675" s="5">
        <f>prices!H1676/prices!H1675-1</f>
        <v>-1.4977835219655011E-3</v>
      </c>
      <c r="I1675" s="5">
        <f>prices!I1676/prices!I1675-1</f>
        <v>-3.8319901798580247E-3</v>
      </c>
      <c r="J1675" s="5">
        <f>prices!J1676/prices!J1675-1</f>
        <v>-2.2938183572701609E-3</v>
      </c>
      <c r="K1675" s="8">
        <f>SUMPRODUCT(B1675:I1675,weights!$B$5:$I$5)</f>
        <v>-3.7646025339002562E-3</v>
      </c>
      <c r="L1675" s="4">
        <f t="shared" si="52"/>
        <v>302.3025738512556</v>
      </c>
      <c r="M1675" s="4">
        <f>L1675/MAX(L$2:L1675)-1</f>
        <v>-3.0135853726804163E-2</v>
      </c>
      <c r="N1675" s="4">
        <f t="shared" si="51"/>
        <v>1.8553222649214662E-2</v>
      </c>
    </row>
    <row r="1676" spans="1:14">
      <c r="A1676" s="3">
        <f>prices!A1677</f>
        <v>45944</v>
      </c>
      <c r="B1676" s="5">
        <f>prices!B1677/prices!B1676-1</f>
        <v>6.5757268004684732E-4</v>
      </c>
      <c r="C1676" s="5">
        <f>prices!C1677/prices!C1676-1</f>
        <v>-1.5595669370424003E-2</v>
      </c>
      <c r="D1676" s="5">
        <f>prices!D1677/prices!D1676-1</f>
        <v>1.5607116845273161E-4</v>
      </c>
      <c r="E1676" s="5">
        <f>prices!E1677/prices!E1676-1</f>
        <v>-2.2090543441262156E-3</v>
      </c>
      <c r="F1676" s="5">
        <f>prices!F1677/prices!F1676-1</f>
        <v>-6.1206262477671025E-3</v>
      </c>
      <c r="G1676" s="5">
        <f>prices!G1677/prices!G1676-1</f>
        <v>-3.7987215900302518E-3</v>
      </c>
      <c r="H1676" s="5">
        <f>prices!H1677/prices!H1676-1</f>
        <v>-8.3892820419766423E-3</v>
      </c>
      <c r="I1676" s="5">
        <f>prices!I1677/prices!I1676-1</f>
        <v>-6.6862396331139884E-3</v>
      </c>
      <c r="J1676" s="5">
        <f>prices!J1677/prices!J1676-1</f>
        <v>-3.2444945664129587E-3</v>
      </c>
      <c r="K1676" s="8">
        <f>SUMPRODUCT(B1676:I1676,weights!$B$5:$I$5)</f>
        <v>-5.2936543058463232E-3</v>
      </c>
      <c r="L1676" s="4">
        <f t="shared" si="52"/>
        <v>300.70228852951948</v>
      </c>
      <c r="M1676" s="4">
        <f>L1676/MAX(L$2:L1676)-1</f>
        <v>-3.5269979240809213E-2</v>
      </c>
      <c r="N1676" s="4">
        <f t="shared" si="51"/>
        <v>1.6391259435532879E-2</v>
      </c>
    </row>
    <row r="1677" spans="1:14">
      <c r="A1677" s="3">
        <f>prices!A1678</f>
        <v>45945</v>
      </c>
      <c r="B1677" s="5">
        <f>prices!B1678/prices!B1677-1</f>
        <v>-1.1609483268470999E-3</v>
      </c>
      <c r="C1677" s="5">
        <f>prices!C1678/prices!C1677-1</f>
        <v>6.9485735194261267E-3</v>
      </c>
      <c r="D1677" s="5">
        <f>prices!D1678/prices!D1677-1</f>
        <v>1.1235370611184514E-3</v>
      </c>
      <c r="E1677" s="5">
        <f>prices!E1678/prices!E1677-1</f>
        <v>-1.0401364569916693E-2</v>
      </c>
      <c r="F1677" s="5">
        <f>prices!F1678/prices!F1677-1</f>
        <v>7.7970133474296599E-3</v>
      </c>
      <c r="G1677" s="5">
        <f>prices!G1678/prices!G1677-1</f>
        <v>-3.0131726142300641E-3</v>
      </c>
      <c r="H1677" s="5">
        <f>prices!H1678/prices!H1677-1</f>
        <v>4.2087798808121413E-4</v>
      </c>
      <c r="I1677" s="5">
        <f>prices!I1678/prices!I1677-1</f>
        <v>2.2542663588703604E-2</v>
      </c>
      <c r="J1677" s="5">
        <f>prices!J1678/prices!J1677-1</f>
        <v>7.0807898033444783E-3</v>
      </c>
      <c r="K1677" s="8">
        <f>SUMPRODUCT(B1677:I1677,weights!$B$5:$I$5)</f>
        <v>4.2345495281215489E-3</v>
      </c>
      <c r="L1677" s="4">
        <f t="shared" si="52"/>
        <v>301.9756272635172</v>
      </c>
      <c r="M1677" s="4">
        <f>L1677/MAX(L$2:L1677)-1</f>
        <v>-3.1184782186638782E-2</v>
      </c>
      <c r="N1677" s="4">
        <f t="shared" si="51"/>
        <v>9.6481531521208641E-3</v>
      </c>
    </row>
    <row r="1678" spans="1:14">
      <c r="A1678" s="3">
        <f>prices!A1679</f>
        <v>45946</v>
      </c>
      <c r="B1678" s="5">
        <f>prices!B1679/prices!B1678-1</f>
        <v>1.7456395561338489E-2</v>
      </c>
      <c r="C1678" s="5">
        <f>prices!C1679/prices!C1678-1</f>
        <v>3.0397685583105627E-4</v>
      </c>
      <c r="D1678" s="5">
        <f>prices!D1679/prices!D1678-1</f>
        <v>1.646005008676843E-2</v>
      </c>
      <c r="E1678" s="5">
        <f>prices!E1679/prices!E1678-1</f>
        <v>-1.9698749832913753E-3</v>
      </c>
      <c r="F1678" s="5">
        <f>prices!F1679/prices!F1678-1</f>
        <v>1.3139260424862353E-2</v>
      </c>
      <c r="G1678" s="5">
        <f>prices!G1679/prices!G1678-1</f>
        <v>5.3050315249085767E-3</v>
      </c>
      <c r="H1678" s="5">
        <f>prices!H1679/prices!H1678-1</f>
        <v>2.3534863302685505E-3</v>
      </c>
      <c r="I1678" s="5">
        <f>prices!I1679/prices!I1678-1</f>
        <v>8.6452671250398794E-3</v>
      </c>
      <c r="J1678" s="5">
        <f>prices!J1679/prices!J1678-1</f>
        <v>1.0336228530360092E-2</v>
      </c>
      <c r="K1678" s="8">
        <f>SUMPRODUCT(B1678:I1678,weights!$B$5:$I$5)</f>
        <v>7.493346260870286E-3</v>
      </c>
      <c r="L1678" s="4">
        <f t="shared" si="52"/>
        <v>304.23843520094624</v>
      </c>
      <c r="M1678" s="4">
        <f>L1678/MAX(L$2:L1678)-1</f>
        <v>-2.3925114296762806E-2</v>
      </c>
      <c r="N1678" s="4">
        <f t="shared" si="51"/>
        <v>1.1087434760865378E-2</v>
      </c>
    </row>
    <row r="1679" spans="1:14">
      <c r="A1679" s="3">
        <f>prices!A1680</f>
        <v>45947</v>
      </c>
      <c r="B1679" s="5">
        <f>prices!B1680/prices!B1679-1</f>
        <v>1.3234089635451918E-2</v>
      </c>
      <c r="C1679" s="5">
        <f>prices!C1680/prices!C1679-1</f>
        <v>-2.8607056407247144E-3</v>
      </c>
      <c r="D1679" s="5">
        <f>prices!D1680/prices!D1679-1</f>
        <v>8.250099675925604E-3</v>
      </c>
      <c r="E1679" s="5">
        <f>prices!E1680/prices!E1679-1</f>
        <v>-2.0654020484840774E-2</v>
      </c>
      <c r="F1679" s="5">
        <f>prices!F1680/prices!F1679-1</f>
        <v>1.7265926328596137E-2</v>
      </c>
      <c r="G1679" s="5">
        <f>prices!G1680/prices!G1679-1</f>
        <v>6.3194295966459979E-3</v>
      </c>
      <c r="H1679" s="5">
        <f>prices!H1680/prices!H1679-1</f>
        <v>1.2116935729145073E-2</v>
      </c>
      <c r="I1679" s="5">
        <f>prices!I1680/prices!I1679-1</f>
        <v>-5.8021414843963948E-3</v>
      </c>
      <c r="J1679" s="5">
        <f>prices!J1680/prices!J1679-1</f>
        <v>4.8680296889229702E-3</v>
      </c>
      <c r="K1679" s="8">
        <f>SUMPRODUCT(B1679:I1679,weights!$B$5:$I$5)</f>
        <v>3.6527984821373505E-3</v>
      </c>
      <c r="L1679" s="4">
        <f t="shared" si="52"/>
        <v>305.34975689525606</v>
      </c>
      <c r="M1679" s="4">
        <f>L1679/MAX(L$2:L1679)-1</f>
        <v>-2.0359709435813778E-2</v>
      </c>
      <c r="N1679" s="4">
        <f t="shared" si="51"/>
        <v>9.3746106650165473E-3</v>
      </c>
    </row>
    <row r="1680" spans="1:14">
      <c r="A1680" s="3">
        <f>prices!A1681</f>
        <v>45950</v>
      </c>
      <c r="B1680" s="5">
        <f>prices!B1681/prices!B1680-1</f>
        <v>3.5290864225543839E-2</v>
      </c>
      <c r="C1680" s="5">
        <f>prices!C1681/prices!C1680-1</f>
        <v>1.7893048053412963E-2</v>
      </c>
      <c r="D1680" s="5">
        <f>prices!D1681/prices!D1680-1</f>
        <v>3.9544127190138667E-4</v>
      </c>
      <c r="E1680" s="5">
        <f>prices!E1681/prices!E1680-1</f>
        <v>1.3740633839819827E-2</v>
      </c>
      <c r="F1680" s="5">
        <f>prices!F1681/prices!F1680-1</f>
        <v>2.1884065346835513E-3</v>
      </c>
      <c r="G1680" s="5">
        <f>prices!G1681/prices!G1680-1</f>
        <v>1.4022731975524838E-3</v>
      </c>
      <c r="H1680" s="5">
        <f>prices!H1681/prices!H1680-1</f>
        <v>5.6613979205479836E-3</v>
      </c>
      <c r="I1680" s="5">
        <f>prices!I1681/prices!I1680-1</f>
        <v>8.6737887466925567E-3</v>
      </c>
      <c r="J1680" s="5">
        <f>prices!J1681/prices!J1680-1</f>
        <v>5.1847832640019575E-3</v>
      </c>
      <c r="K1680" s="8">
        <f>SUMPRODUCT(B1680:I1680,weights!$B$5:$I$5)</f>
        <v>1.027502289951588E-2</v>
      </c>
      <c r="L1680" s="4">
        <f t="shared" si="52"/>
        <v>308.48723263971641</v>
      </c>
      <c r="M1680" s="4">
        <f>L1680/MAX(L$2:L1680)-1</f>
        <v>-1.0293883016978422E-2</v>
      </c>
      <c r="N1680" s="4">
        <f t="shared" si="51"/>
        <v>2.0940340941579816E-2</v>
      </c>
    </row>
    <row r="1681" spans="1:14">
      <c r="A1681" s="3">
        <f>prices!A1682</f>
        <v>45951</v>
      </c>
      <c r="B1681" s="5">
        <f>prices!B1682/prices!B1681-1</f>
        <v>-1.089003801239663E-3</v>
      </c>
      <c r="C1681" s="5">
        <f>prices!C1682/prices!C1681-1</f>
        <v>-2.8184815301705024E-3</v>
      </c>
      <c r="D1681" s="5">
        <f>prices!D1682/prices!D1681-1</f>
        <v>4.7332840071758753E-3</v>
      </c>
      <c r="E1681" s="5">
        <f>prices!E1682/prices!E1681-1</f>
        <v>7.8670832149956293E-3</v>
      </c>
      <c r="F1681" s="5">
        <f>prices!F1682/prices!F1681-1</f>
        <v>-4.8242941295961739E-4</v>
      </c>
      <c r="G1681" s="5">
        <f>prices!G1682/prices!G1681-1</f>
        <v>-1.704724707254246E-3</v>
      </c>
      <c r="H1681" s="5">
        <f>prices!H1682/prices!H1681-1</f>
        <v>1.1235149284058998E-3</v>
      </c>
      <c r="I1681" s="5">
        <f>prices!I1682/prices!I1681-1</f>
        <v>4.0023570884744064E-3</v>
      </c>
      <c r="J1681" s="5">
        <f>prices!J1682/prices!J1681-1</f>
        <v>9.8478707123539344E-4</v>
      </c>
      <c r="K1681" s="8">
        <f>SUMPRODUCT(B1681:I1681,weights!$B$5:$I$5)</f>
        <v>1.2189066105243792E-3</v>
      </c>
      <c r="L1681" s="4">
        <f t="shared" si="52"/>
        <v>308.86324976684335</v>
      </c>
      <c r="M1681" s="4">
        <f>L1681/MAX(L$2:L1681)-1</f>
        <v>-9.0875236885112898E-3</v>
      </c>
      <c r="N1681" s="4">
        <f t="shared" si="51"/>
        <v>3.3238784962504431E-2</v>
      </c>
    </row>
    <row r="1682" spans="1:14">
      <c r="A1682" s="3">
        <f>prices!A1683</f>
        <v>45953</v>
      </c>
      <c r="B1682" s="5">
        <f>prices!B1683/prices!B1682-1</f>
        <v>-1.1471003661396306E-2</v>
      </c>
      <c r="C1682" s="5">
        <f>prices!C1683/prices!C1682-1</f>
        <v>2.2114624710539266E-2</v>
      </c>
      <c r="D1682" s="5">
        <f>prices!D1683/prices!D1682-1</f>
        <v>1.099566226167692E-3</v>
      </c>
      <c r="E1682" s="5">
        <f>prices!E1683/prices!E1682-1</f>
        <v>3.8105503423788933E-2</v>
      </c>
      <c r="F1682" s="5">
        <f>prices!F1683/prices!F1682-1</f>
        <v>7.5193699987299301E-3</v>
      </c>
      <c r="G1682" s="5">
        <f>prices!G1683/prices!G1682-1</f>
        <v>-1.829609738698279E-4</v>
      </c>
      <c r="H1682" s="5">
        <f>prices!H1683/prices!H1682-1</f>
        <v>-3.5816618911177489E-4</v>
      </c>
      <c r="I1682" s="5">
        <f>prices!I1683/prices!I1682-1</f>
        <v>7.8429539369291312E-3</v>
      </c>
      <c r="J1682" s="5">
        <f>prices!J1683/prices!J1682-1</f>
        <v>8.8137742282157205E-4</v>
      </c>
      <c r="K1682" s="8">
        <f>SUMPRODUCT(B1682:I1682,weights!$B$5:$I$5)</f>
        <v>5.8769990525694279E-3</v>
      </c>
      <c r="L1682" s="4">
        <f t="shared" si="52"/>
        <v>310.67843879309657</v>
      </c>
      <c r="M1682" s="4">
        <f>L1682/MAX(L$2:L1682)-1</f>
        <v>-3.2639320040496189E-3</v>
      </c>
      <c r="N1682" s="4">
        <f t="shared" si="51"/>
        <v>3.8102256961657144E-2</v>
      </c>
    </row>
    <row r="1683" spans="1:14">
      <c r="A1683" s="3">
        <f>prices!A1684</f>
        <v>45954</v>
      </c>
      <c r="B1683" s="5">
        <f>prices!B1684/prices!B1683-1</f>
        <v>2.2126195612215405E-3</v>
      </c>
      <c r="C1683" s="5">
        <f>prices!C1684/prices!C1683-1</f>
        <v>-3.251499978053296E-3</v>
      </c>
      <c r="D1683" s="5">
        <f>prices!D1684/prices!D1683-1</f>
        <v>-1.3925976682554131E-2</v>
      </c>
      <c r="E1683" s="5">
        <f>prices!E1684/prices!E1683-1</f>
        <v>-2.0290858255800348E-3</v>
      </c>
      <c r="F1683" s="5">
        <f>prices!F1684/prices!F1683-1</f>
        <v>2.0423085650891348E-3</v>
      </c>
      <c r="G1683" s="5">
        <f>prices!G1684/prices!G1683-1</f>
        <v>-7.2593961799136686E-3</v>
      </c>
      <c r="H1683" s="5">
        <f>prices!H1684/prices!H1683-1</f>
        <v>5.3863609220112796E-3</v>
      </c>
      <c r="I1683" s="5">
        <f>prices!I1684/prices!I1683-1</f>
        <v>-3.5199018756489897E-3</v>
      </c>
      <c r="J1683" s="5">
        <f>prices!J1684/prices!J1683-1</f>
        <v>-3.7174505820465331E-3</v>
      </c>
      <c r="K1683" s="8">
        <f>SUMPRODUCT(B1683:I1683,weights!$B$5:$I$5)</f>
        <v>-2.3324590004505253E-3</v>
      </c>
      <c r="L1683" s="4">
        <f t="shared" si="52"/>
        <v>309.95379407228768</v>
      </c>
      <c r="M1683" s="4">
        <f>L1683/MAX(L$2:L1683)-1</f>
        <v>-5.5887780169204815E-3</v>
      </c>
      <c r="N1683" s="4">
        <f t="shared" si="51"/>
        <v>3.5853825600307365E-2</v>
      </c>
    </row>
    <row r="1684" spans="1:14">
      <c r="A1684" s="3">
        <f>prices!A1685</f>
        <v>45957</v>
      </c>
      <c r="B1684" s="5">
        <f>prices!B1685/prices!B1684-1</f>
        <v>2.2388782769980242E-2</v>
      </c>
      <c r="C1684" s="5">
        <f>prices!C1685/prices!C1684-1</f>
        <v>7.0831413782823649E-3</v>
      </c>
      <c r="D1684" s="5">
        <f>prices!D1685/prices!D1684-1</f>
        <v>8.2365083744646572E-3</v>
      </c>
      <c r="E1684" s="5">
        <f>prices!E1685/prices!E1684-1</f>
        <v>1.394007806443831E-3</v>
      </c>
      <c r="F1684" s="5">
        <f>prices!F1685/prices!F1684-1</f>
        <v>9.2345629309042998E-3</v>
      </c>
      <c r="G1684" s="5">
        <f>prices!G1685/prices!G1684-1</f>
        <v>7.0052593752054637E-3</v>
      </c>
      <c r="H1684" s="5">
        <f>prices!H1685/prices!H1684-1</f>
        <v>-3.1776766728833783E-3</v>
      </c>
      <c r="I1684" s="5">
        <f>prices!I1685/prices!I1684-1</f>
        <v>4.8407992490553386E-3</v>
      </c>
      <c r="J1684" s="5">
        <f>prices!J1685/prices!J1684-1</f>
        <v>6.6252764570082778E-3</v>
      </c>
      <c r="K1684" s="8">
        <f>SUMPRODUCT(B1684:I1684,weights!$B$5:$I$5)</f>
        <v>6.8102717593942616E-3</v>
      </c>
      <c r="L1684" s="4">
        <f t="shared" si="52"/>
        <v>312.06466364277532</v>
      </c>
      <c r="M1684" s="4">
        <f>L1684/MAX(L$2:L1684)-1</f>
        <v>0</v>
      </c>
      <c r="N1684" s="4">
        <f t="shared" si="51"/>
        <v>4.8547529284086011E-2</v>
      </c>
    </row>
    <row r="1685" spans="1:14">
      <c r="A1685" s="3">
        <f>prices!A1686</f>
        <v>45958</v>
      </c>
      <c r="B1685" s="5">
        <f>prices!B1686/prices!B1685-1</f>
        <v>1.8886188712963214E-3</v>
      </c>
      <c r="C1685" s="5">
        <f>prices!C1686/prices!C1685-1</f>
        <v>-8.7521316923366843E-3</v>
      </c>
      <c r="D1685" s="5">
        <f>prices!D1686/prices!D1685-1</f>
        <v>5.9799519576753113E-4</v>
      </c>
      <c r="E1685" s="5">
        <f>prices!E1686/prices!E1685-1</f>
        <v>-2.8588307993182571E-3</v>
      </c>
      <c r="F1685" s="5">
        <f>prices!F1686/prices!F1685-1</f>
        <v>-6.5321997556656575E-3</v>
      </c>
      <c r="G1685" s="5">
        <f>prices!G1686/prices!G1685-1</f>
        <v>-4.6982906061922014E-3</v>
      </c>
      <c r="H1685" s="5">
        <f>prices!H1686/prices!H1685-1</f>
        <v>-3.8968699911218208E-3</v>
      </c>
      <c r="I1685" s="5">
        <f>prices!I1686/prices!I1685-1</f>
        <v>1.2486328602493657E-2</v>
      </c>
      <c r="J1685" s="5">
        <f>prices!J1686/prices!J1685-1</f>
        <v>-1.1495780066663741E-3</v>
      </c>
      <c r="K1685" s="8">
        <f>SUMPRODUCT(B1685:I1685,weights!$B$5:$I$5)</f>
        <v>-3.1325702677917171E-4</v>
      </c>
      <c r="L1685" s="4">
        <f t="shared" si="52"/>
        <v>311.96690719407974</v>
      </c>
      <c r="M1685" s="4">
        <f>L1685/MAX(L$2:L1685)-1</f>
        <v>-3.132570267792012E-4</v>
      </c>
      <c r="N1685" s="4">
        <f t="shared" si="51"/>
        <v>4.9895348600493605E-2</v>
      </c>
    </row>
    <row r="1686" spans="1:14">
      <c r="A1686" s="3">
        <f>prices!A1687</f>
        <v>45959</v>
      </c>
      <c r="B1686" s="5">
        <f>prices!B1687/prices!B1686-1</f>
        <v>1.1634663459589412E-2</v>
      </c>
      <c r="C1686" s="5">
        <f>prices!C1687/prices!C1686-1</f>
        <v>-9.8406159546926553E-5</v>
      </c>
      <c r="D1686" s="5">
        <f>prices!D1687/prices!D1686-1</f>
        <v>4.2847592228683062E-3</v>
      </c>
      <c r="E1686" s="5">
        <f>prices!E1687/prices!E1686-1</f>
        <v>6.80323068331945E-3</v>
      </c>
      <c r="F1686" s="5">
        <f>prices!F1687/prices!F1686-1</f>
        <v>8.8337892438576926E-3</v>
      </c>
      <c r="G1686" s="5">
        <f>prices!G1687/prices!G1686-1</f>
        <v>-1.0606347708377428E-2</v>
      </c>
      <c r="H1686" s="5">
        <f>prices!H1687/prices!H1686-1</f>
        <v>1.7131953126401811E-2</v>
      </c>
      <c r="I1686" s="5">
        <f>prices!I1687/prices!I1686-1</f>
        <v>-3.7007195561169492E-3</v>
      </c>
      <c r="J1686" s="5">
        <f>prices!J1687/prices!J1686-1</f>
        <v>4.5380587749941359E-3</v>
      </c>
      <c r="K1686" s="8">
        <f>SUMPRODUCT(B1686:I1686,weights!$B$5:$I$5)</f>
        <v>2.8995122948087251E-3</v>
      </c>
      <c r="L1686" s="4">
        <f t="shared" si="52"/>
        <v>312.87145907706247</v>
      </c>
      <c r="M1686" s="4">
        <f>L1686/MAX(L$2:L1686)-1</f>
        <v>0</v>
      </c>
      <c r="N1686" s="4">
        <f t="shared" si="51"/>
        <v>5.8891868272609837E-2</v>
      </c>
    </row>
    <row r="1687" spans="1:14">
      <c r="A1687" s="3">
        <f>prices!A1688</f>
        <v>45960</v>
      </c>
      <c r="B1687" s="5">
        <f>prices!B1688/prices!B1687-1</f>
        <v>-1.0438929258388518E-2</v>
      </c>
      <c r="C1687" s="5">
        <f>prices!C1688/prices!C1687-1</f>
        <v>-7.2929534255500306E-3</v>
      </c>
      <c r="D1687" s="5">
        <f>prices!D1688/prices!D1687-1</f>
        <v>-9.6222704120229041E-3</v>
      </c>
      <c r="E1687" s="5">
        <f>prices!E1688/prices!E1687-1</f>
        <v>-1.0991538206586826E-2</v>
      </c>
      <c r="F1687" s="5">
        <f>prices!F1688/prices!F1687-1</f>
        <v>-6.7414612303789978E-3</v>
      </c>
      <c r="G1687" s="5">
        <f>prices!G1688/prices!G1687-1</f>
        <v>4.213414580717556E-3</v>
      </c>
      <c r="H1687" s="5">
        <f>prices!H1688/prices!H1687-1</f>
        <v>-7.286649376312182E-3</v>
      </c>
      <c r="I1687" s="5">
        <f>prices!I1688/prices!I1687-1</f>
        <v>7.4289315043329918E-3</v>
      </c>
      <c r="J1687" s="5">
        <f>prices!J1688/prices!J1687-1</f>
        <v>-6.7571457632064069E-3</v>
      </c>
      <c r="K1687" s="8">
        <f>SUMPRODUCT(B1687:I1687,weights!$B$5:$I$5)</f>
        <v>-2.996319250978337E-3</v>
      </c>
      <c r="L1687" s="4">
        <f t="shared" si="52"/>
        <v>311.93399630114817</v>
      </c>
      <c r="M1687" s="4">
        <f>L1687/MAX(L$2:L1687)-1</f>
        <v>-2.9963192509784298E-3</v>
      </c>
      <c r="N1687" s="4">
        <f t="shared" ref="N1687:N1750" si="53">L1687/L1667-1</f>
        <v>5.8590630129342847E-2</v>
      </c>
    </row>
    <row r="1688" spans="1:14">
      <c r="A1688" s="3">
        <f>prices!A1689</f>
        <v>45961</v>
      </c>
      <c r="B1688" s="5">
        <f>prices!B1689/prices!B1688-1</f>
        <v>-1.410589545439267E-3</v>
      </c>
      <c r="C1688" s="5">
        <f>prices!C1689/prices!C1688-1</f>
        <v>7.4764374279960855E-3</v>
      </c>
      <c r="D1688" s="5">
        <f>prices!D1689/prices!D1688-1</f>
        <v>-1.0866576366469372E-2</v>
      </c>
      <c r="E1688" s="5">
        <f>prices!E1689/prices!E1688-1</f>
        <v>-7.7009356021229269E-3</v>
      </c>
      <c r="F1688" s="5">
        <f>prices!F1689/prices!F1688-1</f>
        <v>3.806852334201638E-3</v>
      </c>
      <c r="G1688" s="5">
        <f>prices!G1689/prices!G1688-1</f>
        <v>-1.2340400601813517E-3</v>
      </c>
      <c r="H1688" s="5">
        <f>prices!H1689/prices!H1688-1</f>
        <v>-7.4526949371437334E-3</v>
      </c>
      <c r="I1688" s="5">
        <f>prices!I1689/prices!I1688-1</f>
        <v>1.0883960971706186E-2</v>
      </c>
      <c r="J1688" s="5">
        <f>prices!J1689/prices!J1688-1</f>
        <v>-6.0186607465457787E-3</v>
      </c>
      <c r="K1688" s="8">
        <f>SUMPRODUCT(B1688:I1688,weights!$B$5:$I$5)</f>
        <v>1.1448510776253034E-4</v>
      </c>
      <c r="L1688" s="4">
        <f t="shared" si="52"/>
        <v>311.96970809832953</v>
      </c>
      <c r="M1688" s="4">
        <f>L1688/MAX(L$2:L1688)-1</f>
        <v>-2.8821771771481153E-3</v>
      </c>
      <c r="N1688" s="4">
        <f t="shared" si="53"/>
        <v>5.1131197243788673E-2</v>
      </c>
    </row>
    <row r="1689" spans="1:14">
      <c r="A1689" s="3">
        <f>prices!A1690</f>
        <v>45964</v>
      </c>
      <c r="B1689" s="5">
        <f>prices!B1690/prices!B1689-1</f>
        <v>-1.1422314742220996E-3</v>
      </c>
      <c r="C1689" s="5">
        <f>prices!C1690/prices!C1689-1</f>
        <v>-1.3471052506565773E-2</v>
      </c>
      <c r="D1689" s="5">
        <f>prices!D1690/prices!D1689-1</f>
        <v>5.4157571763930878E-3</v>
      </c>
      <c r="E1689" s="5">
        <f>prices!E1690/prices!E1689-1</f>
        <v>2.1641739609896682E-3</v>
      </c>
      <c r="F1689" s="5">
        <f>prices!F1690/prices!F1689-1</f>
        <v>-1.521956087824361E-2</v>
      </c>
      <c r="G1689" s="5">
        <f>prices!G1690/prices!G1689-1</f>
        <v>-3.3053230377920628E-2</v>
      </c>
      <c r="H1689" s="5">
        <f>prices!H1690/prices!H1689-1</f>
        <v>9.2873343679120701E-3</v>
      </c>
      <c r="I1689" s="5">
        <f>prices!I1690/prices!I1689-1</f>
        <v>-1.2502786886477879E-2</v>
      </c>
      <c r="J1689" s="5">
        <f>prices!J1690/prices!J1689-1</f>
        <v>1.6036793263380922E-3</v>
      </c>
      <c r="K1689" s="8">
        <f>SUMPRODUCT(B1689:I1689,weights!$B$5:$I$5)</f>
        <v>-9.5014240783745652E-3</v>
      </c>
      <c r="L1689" s="4">
        <f t="shared" si="52"/>
        <v>309.00555160208057</v>
      </c>
      <c r="M1689" s="4">
        <f>L1689/MAX(L$2:L1689)-1</f>
        <v>-1.2356216467893644E-2</v>
      </c>
      <c r="N1689" s="4">
        <f t="shared" si="53"/>
        <v>4.1266714478047639E-2</v>
      </c>
    </row>
    <row r="1690" spans="1:14">
      <c r="A1690" s="3">
        <f>prices!A1691</f>
        <v>45965</v>
      </c>
      <c r="B1690" s="5">
        <f>prices!B1691/prices!B1690-1</f>
        <v>-7.815301751845527E-3</v>
      </c>
      <c r="C1690" s="5">
        <f>prices!C1691/prices!C1690-1</f>
        <v>-8.818997303395637E-3</v>
      </c>
      <c r="D1690" s="5">
        <f>prices!D1691/prices!D1690-1</f>
        <v>-7.4551971326164423E-3</v>
      </c>
      <c r="E1690" s="5">
        <f>prices!E1691/prices!E1690-1</f>
        <v>-1.1849742785618012E-2</v>
      </c>
      <c r="F1690" s="5">
        <f>prices!F1691/prices!F1690-1</f>
        <v>-1.2211806435267314E-2</v>
      </c>
      <c r="G1690" s="5">
        <f>prices!G1691/prices!G1690-1</f>
        <v>-1.7698823778442341E-2</v>
      </c>
      <c r="H1690" s="5">
        <f>prices!H1691/prices!H1690-1</f>
        <v>-9.6158395231111804E-3</v>
      </c>
      <c r="I1690" s="5">
        <f>prices!I1691/prices!I1690-1</f>
        <v>-1.4094368340943686E-2</v>
      </c>
      <c r="J1690" s="5">
        <f>prices!J1691/prices!J1690-1</f>
        <v>-6.4316170063286604E-3</v>
      </c>
      <c r="K1690" s="8">
        <f>SUMPRODUCT(B1690:I1690,weights!$B$5:$I$5)</f>
        <v>-1.2015871859335503E-2</v>
      </c>
      <c r="L1690" s="4">
        <f t="shared" si="52"/>
        <v>305.29258049020666</v>
      </c>
      <c r="M1690" s="4">
        <f>L1690/MAX(L$2:L1690)-1</f>
        <v>-2.4223617613484794E-2</v>
      </c>
      <c r="N1690" s="4">
        <f t="shared" si="53"/>
        <v>1.8504519723360424E-2</v>
      </c>
    </row>
    <row r="1691" spans="1:14">
      <c r="A1691" s="3">
        <f>prices!A1692</f>
        <v>45967</v>
      </c>
      <c r="B1691" s="5">
        <f>prices!B1692/prices!B1691-1</f>
        <v>1.5610507938240037E-2</v>
      </c>
      <c r="C1691" s="5">
        <f>prices!C1692/prices!C1691-1</f>
        <v>6.9229487944699741E-3</v>
      </c>
      <c r="D1691" s="5">
        <f>prices!D1692/prices!D1691-1</f>
        <v>-6.0873692247376265E-4</v>
      </c>
      <c r="E1691" s="5">
        <f>prices!E1692/prices!E1691-1</f>
        <v>-8.2126377182778487E-4</v>
      </c>
      <c r="F1691" s="5">
        <f>prices!F1692/prices!F1691-1</f>
        <v>-3.4113060428849762E-3</v>
      </c>
      <c r="G1691" s="5">
        <f>prices!G1692/prices!G1691-1</f>
        <v>5.0738677089021689E-3</v>
      </c>
      <c r="H1691" s="5">
        <f>prices!H1692/prices!H1691-1</f>
        <v>-2.4243148026511507E-3</v>
      </c>
      <c r="I1691" s="5">
        <f>prices!I1692/prices!I1691-1</f>
        <v>-1.0907154105042061E-2</v>
      </c>
      <c r="J1691" s="5">
        <f>prices!J1692/prices!J1691-1</f>
        <v>-3.4358622764198987E-3</v>
      </c>
      <c r="K1691" s="8">
        <f>SUMPRODUCT(B1691:I1691,weights!$B$5:$I$5)</f>
        <v>6.6661057213979842E-4</v>
      </c>
      <c r="L1691" s="4">
        <f t="shared" si="52"/>
        <v>305.49609175195729</v>
      </c>
      <c r="M1691" s="4">
        <f>L1691/MAX(L$2:L1691)-1</f>
        <v>-2.3573154760941462E-2</v>
      </c>
      <c r="N1691" s="4">
        <f t="shared" si="53"/>
        <v>1.8398158973817358E-2</v>
      </c>
    </row>
    <row r="1692" spans="1:14">
      <c r="A1692" s="3">
        <f>prices!A1693</f>
        <v>45968</v>
      </c>
      <c r="B1692" s="5">
        <f>prices!B1693/prices!B1692-1</f>
        <v>-1.209366039712334E-2</v>
      </c>
      <c r="C1692" s="5">
        <f>prices!C1693/prices!C1692-1</f>
        <v>-6.3411759435084702E-3</v>
      </c>
      <c r="D1692" s="5">
        <f>prices!D1693/prices!D1692-1</f>
        <v>-2.3848115379453416E-3</v>
      </c>
      <c r="E1692" s="5">
        <f>prices!E1693/prices!E1692-1</f>
        <v>6.888961640534097E-3</v>
      </c>
      <c r="F1692" s="5">
        <f>prices!F1693/prices!F1692-1</f>
        <v>-8.4673787157381053E-3</v>
      </c>
      <c r="G1692" s="5">
        <f>prices!G1693/prices!G1692-1</f>
        <v>1.7472461100405123E-3</v>
      </c>
      <c r="H1692" s="5">
        <f>prices!H1693/prices!H1692-1</f>
        <v>3.2622228606999926E-3</v>
      </c>
      <c r="I1692" s="5">
        <f>prices!I1693/prices!I1692-1</f>
        <v>2.3412806805311881E-4</v>
      </c>
      <c r="J1692" s="5">
        <f>prices!J1693/prices!J1692-1</f>
        <v>-6.8209347816716726E-4</v>
      </c>
      <c r="K1692" s="8">
        <f>SUMPRODUCT(B1692:I1692,weights!$B$5:$I$5)</f>
        <v>-1.5196172651457322E-3</v>
      </c>
      <c r="L1692" s="4">
        <f t="shared" si="52"/>
        <v>305.0318546164965</v>
      </c>
      <c r="M1692" s="4">
        <f>L1692/MAX(L$2:L1692)-1</f>
        <v>-2.505694985311846E-2</v>
      </c>
      <c r="N1692" s="4">
        <f t="shared" si="53"/>
        <v>1.8186113143622729E-2</v>
      </c>
    </row>
    <row r="1693" spans="1:14">
      <c r="A1693" s="3">
        <f>prices!A1694</f>
        <v>45971</v>
      </c>
      <c r="B1693" s="5">
        <f>prices!B1694/prices!B1693-1</f>
        <v>7.6468189233278583E-3</v>
      </c>
      <c r="C1693" s="5">
        <f>prices!C1694/prices!C1693-1</f>
        <v>1.1160938795187425E-2</v>
      </c>
      <c r="D1693" s="5">
        <f>prices!D1694/prices!D1693-1</f>
        <v>2.2352843778459253E-3</v>
      </c>
      <c r="E1693" s="5">
        <f>prices!E1694/prices!E1693-1</f>
        <v>2.4849189219104506E-2</v>
      </c>
      <c r="F1693" s="5">
        <f>prices!F1694/prices!F1693-1</f>
        <v>3.7117790582983368E-3</v>
      </c>
      <c r="G1693" s="5">
        <f>prices!G1694/prices!G1693-1</f>
        <v>6.7190470007028047E-3</v>
      </c>
      <c r="H1693" s="5">
        <f>prices!H1694/prices!H1693-1</f>
        <v>3.7826131055016532E-3</v>
      </c>
      <c r="I1693" s="5">
        <f>prices!I1694/prices!I1693-1</f>
        <v>9.2719021053591089E-3</v>
      </c>
      <c r="J1693" s="5">
        <f>prices!J1694/prices!J1693-1</f>
        <v>3.2186189555276634E-3</v>
      </c>
      <c r="K1693" s="8">
        <f>SUMPRODUCT(B1693:I1693,weights!$B$5:$I$5)</f>
        <v>8.2389859091978705E-3</v>
      </c>
      <c r="L1693" s="4">
        <f t="shared" si="52"/>
        <v>307.54500776853831</v>
      </c>
      <c r="M1693" s="4">
        <f>L1693/MAX(L$2:L1693)-1</f>
        <v>-1.7024407800687924E-2</v>
      </c>
      <c r="N1693" s="4">
        <f t="shared" si="53"/>
        <v>1.9511252064225548E-2</v>
      </c>
    </row>
    <row r="1694" spans="1:14">
      <c r="A1694" s="3">
        <f>prices!A1695</f>
        <v>45972</v>
      </c>
      <c r="B1694" s="5">
        <f>prices!B1695/prices!B1694-1</f>
        <v>2.7522007487603695E-3</v>
      </c>
      <c r="C1694" s="5">
        <f>prices!C1695/prices!C1694-1</f>
        <v>7.2064346841826943E-3</v>
      </c>
      <c r="D1694" s="5">
        <f>prices!D1695/prices!D1694-1</f>
        <v>7.3104245828514713E-3</v>
      </c>
      <c r="E1694" s="5">
        <f>prices!E1695/prices!E1694-1</f>
        <v>1.1104060913705638E-2</v>
      </c>
      <c r="F1694" s="5">
        <f>prices!F1695/prices!F1694-1</f>
        <v>3.2067030437819E-3</v>
      </c>
      <c r="G1694" s="5">
        <f>prices!G1695/prices!G1694-1</f>
        <v>3.9784652120875563E-3</v>
      </c>
      <c r="H1694" s="5">
        <f>prices!H1695/prices!H1694-1</f>
        <v>1.0782023620596215E-2</v>
      </c>
      <c r="I1694" s="5">
        <f>prices!I1695/prices!I1694-1</f>
        <v>9.3129928361592729E-3</v>
      </c>
      <c r="J1694" s="5">
        <f>prices!J1695/prices!J1694-1</f>
        <v>4.7156623726507529E-3</v>
      </c>
      <c r="K1694" s="8">
        <f>SUMPRODUCT(B1694:I1694,weights!$B$5:$I$5)</f>
        <v>6.9699650105569727E-3</v>
      </c>
      <c r="L1694" s="4">
        <f t="shared" si="52"/>
        <v>309.68858571185649</v>
      </c>
      <c r="M1694" s="4">
        <f>L1694/MAX(L$2:L1694)-1</f>
        <v>-1.0173102316827221E-2</v>
      </c>
      <c r="N1694" s="4">
        <f t="shared" si="53"/>
        <v>2.0575932738073899E-2</v>
      </c>
    </row>
    <row r="1695" spans="1:14">
      <c r="A1695" s="3">
        <f>prices!A1696</f>
        <v>45973</v>
      </c>
      <c r="B1695" s="5">
        <f>prices!B1696/prices!B1695-1</f>
        <v>1.2115463529158488E-2</v>
      </c>
      <c r="C1695" s="5">
        <f>prices!C1696/prices!C1695-1</f>
        <v>2.7832832730566803E-2</v>
      </c>
      <c r="D1695" s="5">
        <f>prices!D1696/prices!D1695-1</f>
        <v>-2.214112919758926E-3</v>
      </c>
      <c r="E1695" s="5">
        <f>prices!E1696/prices!E1695-1</f>
        <v>1.3979664728384522E-2</v>
      </c>
      <c r="F1695" s="5">
        <f>prices!F1696/prices!F1695-1</f>
        <v>3.6088985126170314E-4</v>
      </c>
      <c r="G1695" s="5">
        <f>prices!G1696/prices!G1695-1</f>
        <v>3.2596401161049116E-3</v>
      </c>
      <c r="H1695" s="5">
        <f>prices!H1696/prices!H1695-1</f>
        <v>9.3204043350172405E-3</v>
      </c>
      <c r="I1695" s="5">
        <f>prices!I1696/prices!I1695-1</f>
        <v>-9.9572603746933552E-5</v>
      </c>
      <c r="J1695" s="5">
        <f>prices!J1696/prices!J1695-1</f>
        <v>7.0383480022337963E-3</v>
      </c>
      <c r="K1695" s="8">
        <f>SUMPRODUCT(B1695:I1695,weights!$B$5:$I$5)</f>
        <v>7.0557197528095805E-3</v>
      </c>
      <c r="L1695" s="4">
        <f t="shared" si="52"/>
        <v>311.87366158328331</v>
      </c>
      <c r="M1695" s="4">
        <f>L1695/MAX(L$2:L1695)-1</f>
        <v>-3.1891611229818428E-3</v>
      </c>
      <c r="N1695" s="4">
        <f t="shared" si="53"/>
        <v>3.1660622700278473E-2</v>
      </c>
    </row>
    <row r="1696" spans="1:14">
      <c r="A1696" s="3">
        <f>prices!A1697</f>
        <v>45974</v>
      </c>
      <c r="B1696" s="5">
        <f>prices!B1697/prices!B1696-1</f>
        <v>-3.9214643678464611E-4</v>
      </c>
      <c r="C1696" s="5">
        <f>prices!C1697/prices!C1696-1</f>
        <v>-8.3361219803921305E-3</v>
      </c>
      <c r="D1696" s="5">
        <f>prices!D1697/prices!D1696-1</f>
        <v>-2.8765153071707017E-3</v>
      </c>
      <c r="E1696" s="5">
        <f>prices!E1697/prices!E1696-1</f>
        <v>-6.3799108524323911E-3</v>
      </c>
      <c r="F1696" s="5">
        <f>prices!F1697/prices!F1696-1</f>
        <v>-3.1952998170433622E-3</v>
      </c>
      <c r="G1696" s="5">
        <f>prices!G1697/prices!G1696-1</f>
        <v>3.3764630857409106E-3</v>
      </c>
      <c r="H1696" s="5">
        <f>prices!H1697/prices!H1696-1</f>
        <v>3.0586919285489067E-3</v>
      </c>
      <c r="I1696" s="5">
        <f>prices!I1697/prices!I1696-1</f>
        <v>1.2110766402390061E-2</v>
      </c>
      <c r="J1696" s="5">
        <f>prices!J1697/prices!J1696-1</f>
        <v>1.2946459626372864E-4</v>
      </c>
      <c r="K1696" s="8">
        <f>SUMPRODUCT(B1696:I1696,weights!$B$5:$I$5)</f>
        <v>1.699871121997436E-3</v>
      </c>
      <c r="L1696" s="4">
        <f t="shared" si="52"/>
        <v>312.40380661432039</v>
      </c>
      <c r="M1696" s="4">
        <f>L1696/MAX(L$2:L1696)-1</f>
        <v>-1.4947111638805577E-3</v>
      </c>
      <c r="N1696" s="4">
        <f t="shared" si="53"/>
        <v>3.8913964180396388E-2</v>
      </c>
    </row>
    <row r="1697" spans="1:14">
      <c r="A1697" s="3">
        <f>prices!A1698</f>
        <v>45975</v>
      </c>
      <c r="B1697" s="5">
        <f>prices!B1698/prices!B1697-1</f>
        <v>5.2927291465807436E-3</v>
      </c>
      <c r="C1697" s="5">
        <f>prices!C1698/prices!C1697-1</f>
        <v>9.6891778565533215E-5</v>
      </c>
      <c r="D1697" s="5">
        <f>prices!D1698/prices!D1697-1</f>
        <v>2.9878425716052259E-3</v>
      </c>
      <c r="E1697" s="5">
        <f>prices!E1698/prices!E1697-1</f>
        <v>-2.5292550724253626E-2</v>
      </c>
      <c r="F1697" s="5">
        <f>prices!F1698/prices!F1697-1</f>
        <v>6.0491688855570658E-3</v>
      </c>
      <c r="G1697" s="5">
        <f>prices!G1698/prices!G1697-1</f>
        <v>-4.1270105949052782E-3</v>
      </c>
      <c r="H1697" s="5">
        <f>prices!H1698/prices!H1697-1</f>
        <v>1.1343637282406061E-2</v>
      </c>
      <c r="I1697" s="5">
        <f>prices!I1698/prices!I1697-1</f>
        <v>4.7681758321593826E-4</v>
      </c>
      <c r="J1697" s="5">
        <f>prices!J1698/prices!J1697-1</f>
        <v>1.194011395273753E-3</v>
      </c>
      <c r="K1697" s="8">
        <f>SUMPRODUCT(B1697:I1697,weights!$B$5:$I$5)</f>
        <v>2.6898549895387774E-4</v>
      </c>
      <c r="L1697" s="4">
        <f t="shared" si="52"/>
        <v>312.48783870811764</v>
      </c>
      <c r="M1697" s="4">
        <f>L1697/MAX(L$2:L1697)-1</f>
        <v>-1.2261277205548593E-3</v>
      </c>
      <c r="N1697" s="4">
        <f t="shared" si="53"/>
        <v>3.4811456606155255E-2</v>
      </c>
    </row>
    <row r="1698" spans="1:14">
      <c r="A1698" s="3">
        <f>prices!A1699</f>
        <v>45978</v>
      </c>
      <c r="B1698" s="5">
        <f>prices!B1699/prices!B1698-1</f>
        <v>-3.9684901879089018E-4</v>
      </c>
      <c r="C1698" s="5">
        <f>prices!C1699/prices!C1698-1</f>
        <v>-1.222722595646375E-3</v>
      </c>
      <c r="D1698" s="5">
        <f>prices!D1699/prices!D1698-1</f>
        <v>7.0261941448381826E-3</v>
      </c>
      <c r="E1698" s="5">
        <f>prices!E1699/prices!E1698-1</f>
        <v>3.1951705337294189E-3</v>
      </c>
      <c r="F1698" s="5">
        <f>prices!F1699/prices!F1698-1</f>
        <v>-2.5695711385769204E-3</v>
      </c>
      <c r="G1698" s="5">
        <f>prices!G1699/prices!G1698-1</f>
        <v>1.2369228589552472E-2</v>
      </c>
      <c r="H1698" s="5">
        <f>prices!H1699/prices!H1698-1</f>
        <v>3.8651504709394935E-3</v>
      </c>
      <c r="I1698" s="5">
        <f>prices!I1699/prices!I1698-1</f>
        <v>5.8174280764662356E-3</v>
      </c>
      <c r="J1698" s="5">
        <f>prices!J1699/prices!J1698-1</f>
        <v>3.9907294659795589E-3</v>
      </c>
      <c r="K1698" s="8">
        <f>SUMPRODUCT(B1698:I1698,weights!$B$5:$I$5)</f>
        <v>4.5538178601367066E-3</v>
      </c>
      <c r="L1698" s="4">
        <f t="shared" si="52"/>
        <v>313.91085140910218</v>
      </c>
      <c r="M1698" s="4">
        <f>L1698/MAX(L$2:L1698)-1</f>
        <v>0</v>
      </c>
      <c r="N1698" s="4">
        <f t="shared" si="53"/>
        <v>3.1792223102144801E-2</v>
      </c>
    </row>
    <row r="1699" spans="1:14">
      <c r="A1699" s="3">
        <f>prices!A1700</f>
        <v>45979</v>
      </c>
      <c r="B1699" s="5">
        <f>prices!B1700/prices!B1699-1</f>
        <v>7.2784537917436332E-4</v>
      </c>
      <c r="C1699" s="5">
        <f>prices!C1700/prices!C1699-1</f>
        <v>-4.8667741482307791E-3</v>
      </c>
      <c r="D1699" s="5">
        <f>prices!D1700/prices!D1699-1</f>
        <v>-4.1210192382235E-3</v>
      </c>
      <c r="E1699" s="5">
        <f>prices!E1700/prices!E1699-1</f>
        <v>-1.4061409393699154E-2</v>
      </c>
      <c r="F1699" s="5">
        <f>prices!F1700/prices!F1699-1</f>
        <v>-3.0656671046190853E-3</v>
      </c>
      <c r="G1699" s="5">
        <f>prices!G1700/prices!G1699-1</f>
        <v>3.2754202894125228E-3</v>
      </c>
      <c r="H1699" s="5">
        <f>prices!H1700/prices!H1699-1</f>
        <v>-2.8891317158009633E-3</v>
      </c>
      <c r="I1699" s="5">
        <f>prices!I1700/prices!I1699-1</f>
        <v>-6.9771406509323564E-3</v>
      </c>
      <c r="J1699" s="5">
        <f>prices!J1700/prices!J1699-1</f>
        <v>-3.9748668477268545E-3</v>
      </c>
      <c r="K1699" s="8">
        <f>SUMPRODUCT(B1699:I1699,weights!$B$5:$I$5)</f>
        <v>-3.2627223312417237E-3</v>
      </c>
      <c r="L1699" s="4">
        <f t="shared" si="52"/>
        <v>312.88664746419062</v>
      </c>
      <c r="M1699" s="4">
        <f>L1699/MAX(L$2:L1699)-1</f>
        <v>-3.2627223312416964E-3</v>
      </c>
      <c r="N1699" s="4">
        <f t="shared" si="53"/>
        <v>2.4682811755176726E-2</v>
      </c>
    </row>
    <row r="1700" spans="1:14">
      <c r="A1700" s="3">
        <f>prices!A1701</f>
        <v>45980</v>
      </c>
      <c r="B1700" s="5">
        <f>prices!B1701/prices!B1700-1</f>
        <v>-3.3059818435476895E-4</v>
      </c>
      <c r="C1700" s="5">
        <f>prices!C1701/prices!C1700-1</f>
        <v>1.9629526303229117E-2</v>
      </c>
      <c r="D1700" s="5">
        <f>prices!D1701/prices!D1700-1</f>
        <v>2.1714636894396566E-3</v>
      </c>
      <c r="E1700" s="5">
        <f>prices!E1701/prices!E1700-1</f>
        <v>3.6799274186896769E-2</v>
      </c>
      <c r="F1700" s="5">
        <f>prices!F1701/prices!F1700-1</f>
        <v>-5.6850483229108351E-3</v>
      </c>
      <c r="G1700" s="5">
        <f>prices!G1701/prices!G1700-1</f>
        <v>-1.0169538810559042E-2</v>
      </c>
      <c r="H1700" s="5">
        <f>prices!H1701/prices!H1700-1</f>
        <v>1.4384237583769277E-2</v>
      </c>
      <c r="I1700" s="5">
        <f>prices!I1701/prices!I1700-1</f>
        <v>5.0013759464364593E-3</v>
      </c>
      <c r="J1700" s="5">
        <f>prices!J1701/prices!J1700-1</f>
        <v>5.5036559172985111E-3</v>
      </c>
      <c r="K1700" s="8">
        <f>SUMPRODUCT(B1700:I1700,weights!$B$5:$I$5)</f>
        <v>5.6644177219414647E-3</v>
      </c>
      <c r="L1700" s="4">
        <f t="shared" si="52"/>
        <v>314.6589681350456</v>
      </c>
      <c r="M1700" s="4">
        <f>L1700/MAX(L$2:L1700)-1</f>
        <v>0</v>
      </c>
      <c r="N1700" s="4">
        <f t="shared" si="53"/>
        <v>2.0006453565412752E-2</v>
      </c>
    </row>
    <row r="1701" spans="1:14">
      <c r="A1701" s="3">
        <f>prices!A1702</f>
        <v>45981</v>
      </c>
      <c r="B1701" s="5">
        <f>prices!B1702/prices!B1701-1</f>
        <v>1.988213584141918E-2</v>
      </c>
      <c r="C1701" s="5">
        <f>prices!C1702/prices!C1701-1</f>
        <v>-9.1972665328299286E-4</v>
      </c>
      <c r="D1701" s="5">
        <f>prices!D1702/prices!D1701-1</f>
        <v>1.4329224668342855E-2</v>
      </c>
      <c r="E1701" s="5">
        <f>prices!E1702/prices!E1701-1</f>
        <v>-2.9831748936001157E-3</v>
      </c>
      <c r="F1701" s="5">
        <f>prices!F1702/prices!F1701-1</f>
        <v>4.7299755704559576E-3</v>
      </c>
      <c r="G1701" s="5">
        <f>prices!G1702/prices!G1701-1</f>
        <v>2.0927256165756969E-3</v>
      </c>
      <c r="H1701" s="5">
        <f>prices!H1702/prices!H1701-1</f>
        <v>-3.755762323595202E-3</v>
      </c>
      <c r="I1701" s="5">
        <f>prices!I1702/prices!I1701-1</f>
        <v>4.4288470427460425E-3</v>
      </c>
      <c r="J1701" s="5">
        <f>prices!J1702/prices!J1701-1</f>
        <v>5.3545416685059077E-3</v>
      </c>
      <c r="K1701" s="8">
        <f>SUMPRODUCT(B1701:I1701,weights!$B$5:$I$5)</f>
        <v>4.3707682059516296E-3</v>
      </c>
      <c r="L1701" s="4">
        <f t="shared" si="52"/>
        <v>316.03426954868786</v>
      </c>
      <c r="M1701" s="4">
        <f>L1701/MAX(L$2:L1701)-1</f>
        <v>0</v>
      </c>
      <c r="N1701" s="4">
        <f t="shared" si="53"/>
        <v>2.3217458817964998E-2</v>
      </c>
    </row>
    <row r="1702" spans="1:14">
      <c r="A1702" s="3">
        <f>prices!A1703</f>
        <v>45982</v>
      </c>
      <c r="B1702" s="5">
        <f>prices!B1703/prices!B1702-1</f>
        <v>-1.6148174088990164E-3</v>
      </c>
      <c r="C1702" s="5">
        <f>prices!C1703/prices!C1702-1</f>
        <v>1.8444462042024323E-3</v>
      </c>
      <c r="D1702" s="5">
        <f>prices!D1703/prices!D1702-1</f>
        <v>-1.0710974970779219E-2</v>
      </c>
      <c r="E1702" s="5">
        <f>prices!E1703/prices!E1702-1</f>
        <v>5.5320620229259987E-3</v>
      </c>
      <c r="F1702" s="5">
        <f>prices!F1703/prices!F1702-1</f>
        <v>5.8975685463009686E-3</v>
      </c>
      <c r="G1702" s="5">
        <f>prices!G1703/prices!G1702-1</f>
        <v>1.1138533957986141E-2</v>
      </c>
      <c r="H1702" s="5">
        <f>prices!H1703/prices!H1702-1</f>
        <v>1.2944910322429948E-3</v>
      </c>
      <c r="I1702" s="5">
        <f>prices!I1703/prices!I1702-1</f>
        <v>-3.0962772143509065E-3</v>
      </c>
      <c r="J1702" s="5">
        <f>prices!J1703/prices!J1702-1</f>
        <v>-4.7342428933859759E-3</v>
      </c>
      <c r="K1702" s="8">
        <f>SUMPRODUCT(B1702:I1702,weights!$B$5:$I$5)</f>
        <v>1.8724449444919872E-3</v>
      </c>
      <c r="L1702" s="4">
        <f t="shared" si="52"/>
        <v>316.62602631899051</v>
      </c>
      <c r="M1702" s="4">
        <f>L1702/MAX(L$2:L1702)-1</f>
        <v>0</v>
      </c>
      <c r="N1702" s="4">
        <f t="shared" si="53"/>
        <v>1.9143869619657972E-2</v>
      </c>
    </row>
    <row r="1703" spans="1:14">
      <c r="A1703" s="3">
        <f>prices!A1704</f>
        <v>45985</v>
      </c>
      <c r="B1703" s="5">
        <f>prices!B1704/prices!B1703-1</f>
        <v>-6.9179203367371045E-3</v>
      </c>
      <c r="C1703" s="5">
        <f>prices!C1704/prices!C1703-1</f>
        <v>-2.9838850446759491E-3</v>
      </c>
      <c r="D1703" s="5">
        <f>prices!D1704/prices!D1703-1</f>
        <v>1.1000091667430212E-3</v>
      </c>
      <c r="E1703" s="5">
        <f>prices!E1704/prices!E1703-1</f>
        <v>1.9374718967386517E-3</v>
      </c>
      <c r="F1703" s="5">
        <f>prices!F1704/prices!F1703-1</f>
        <v>-1.0543098127957284E-2</v>
      </c>
      <c r="G1703" s="5">
        <f>prices!G1704/prices!G1703-1</f>
        <v>-1.1891410747407738E-3</v>
      </c>
      <c r="H1703" s="5">
        <f>prices!H1704/prices!H1703-1</f>
        <v>6.1805748501653213E-4</v>
      </c>
      <c r="I1703" s="5">
        <f>prices!I1704/prices!I1703-1</f>
        <v>-2.8826107572309523E-3</v>
      </c>
      <c r="J1703" s="5">
        <f>prices!J1704/prices!J1703-1</f>
        <v>-4.1679213906625767E-3</v>
      </c>
      <c r="K1703" s="8">
        <f>SUMPRODUCT(B1703:I1703,weights!$B$5:$I$5)</f>
        <v>-2.4838221554586292E-3</v>
      </c>
      <c r="L1703" s="4">
        <f t="shared" si="52"/>
        <v>315.83958357982459</v>
      </c>
      <c r="M1703" s="4">
        <f>L1703/MAX(L$2:L1703)-1</f>
        <v>-2.4838221554586148E-3</v>
      </c>
      <c r="N1703" s="4">
        <f t="shared" si="53"/>
        <v>1.898924813988323E-2</v>
      </c>
    </row>
    <row r="1704" spans="1:14">
      <c r="A1704" s="3">
        <f>prices!A1705</f>
        <v>45986</v>
      </c>
      <c r="B1704" s="5">
        <f>prices!B1705/prices!B1704-1</f>
        <v>2.4724789544945391E-3</v>
      </c>
      <c r="C1704" s="5">
        <f>prices!C1705/prices!C1704-1</f>
        <v>-7.0063589065983978E-3</v>
      </c>
      <c r="D1704" s="5">
        <f>prices!D1705/prices!D1704-1</f>
        <v>-9.3499781257312398E-3</v>
      </c>
      <c r="E1704" s="5">
        <f>prices!E1705/prices!E1704-1</f>
        <v>-1.1239366160466169E-2</v>
      </c>
      <c r="F1704" s="5">
        <f>prices!F1705/prices!F1704-1</f>
        <v>-6.8090857113154435E-3</v>
      </c>
      <c r="G1704" s="5">
        <f>prices!G1705/prices!G1704-1</f>
        <v>-4.3242340023279535E-3</v>
      </c>
      <c r="H1704" s="5">
        <f>prices!H1705/prices!H1704-1</f>
        <v>-2.2440329124827629E-3</v>
      </c>
      <c r="I1704" s="5">
        <f>prices!I1705/prices!I1704-1</f>
        <v>-4.1363901692800242E-3</v>
      </c>
      <c r="J1704" s="5">
        <f>prices!J1705/prices!J1704-1</f>
        <v>-2.8775592750245327E-3</v>
      </c>
      <c r="K1704" s="8">
        <f>SUMPRODUCT(B1704:I1704,weights!$B$5:$I$5)</f>
        <v>-4.5113620225213889E-3</v>
      </c>
      <c r="L1704" s="4">
        <f t="shared" si="52"/>
        <v>314.41471687725362</v>
      </c>
      <c r="M1704" s="4">
        <f>L1704/MAX(L$2:L1704)-1</f>
        <v>-6.983978757037046E-3</v>
      </c>
      <c r="N1704" s="4">
        <f t="shared" si="53"/>
        <v>7.5306611362075948E-3</v>
      </c>
    </row>
    <row r="1705" spans="1:14">
      <c r="A1705" s="3">
        <f>prices!A1706</f>
        <v>45987</v>
      </c>
      <c r="B1705" s="5">
        <f>prices!B1706/prices!B1705-1</f>
        <v>1.9613600328850955E-2</v>
      </c>
      <c r="C1705" s="5">
        <f>prices!C1706/prices!C1705-1</f>
        <v>1.4011789596944713E-2</v>
      </c>
      <c r="D1705" s="5">
        <f>prices!D1706/prices!D1705-1</f>
        <v>1.4244633870801993E-2</v>
      </c>
      <c r="E1705" s="5">
        <f>prices!E1706/prices!E1705-1</f>
        <v>1.7834973100695484E-2</v>
      </c>
      <c r="F1705" s="5">
        <f>prices!F1706/prices!F1705-1</f>
        <v>3.7418882143602783E-3</v>
      </c>
      <c r="G1705" s="5">
        <f>prices!G1706/prices!G1705-1</f>
        <v>1.6804388275132975E-2</v>
      </c>
      <c r="H1705" s="5">
        <f>prices!H1706/prices!H1705-1</f>
        <v>1.5811713389976889E-2</v>
      </c>
      <c r="I1705" s="5">
        <f>prices!I1706/prices!I1705-1</f>
        <v>1.6338895008640719E-2</v>
      </c>
      <c r="J1705" s="5">
        <f>prices!J1706/prices!J1705-1</f>
        <v>1.238178390406719E-2</v>
      </c>
      <c r="K1705" s="8">
        <f>SUMPRODUCT(B1705:I1705,weights!$B$5:$I$5)</f>
        <v>1.5480216341955226E-2</v>
      </c>
      <c r="L1705" s="4">
        <f t="shared" si="52"/>
        <v>319.28192471560811</v>
      </c>
      <c r="M1705" s="4">
        <f>L1705/MAX(L$2:L1705)-1</f>
        <v>0</v>
      </c>
      <c r="N1705" s="4">
        <f t="shared" si="53"/>
        <v>2.3448056036846188E-2</v>
      </c>
    </row>
    <row r="1706" spans="1:14">
      <c r="A1706" s="3">
        <f>prices!A1707</f>
        <v>45988</v>
      </c>
      <c r="B1706" s="5">
        <f>prices!B1707/prices!B1706-1</f>
        <v>-4.1403495299711102E-3</v>
      </c>
      <c r="C1706" s="5">
        <f>prices!C1707/prices!C1706-1</f>
        <v>-8.3164925725683903E-3</v>
      </c>
      <c r="D1706" s="5">
        <f>prices!D1707/prices!D1706-1</f>
        <v>5.5793513371202863E-3</v>
      </c>
      <c r="E1706" s="5">
        <f>prices!E1707/prices!E1706-1</f>
        <v>5.4560954816709195E-3</v>
      </c>
      <c r="F1706" s="5">
        <f>prices!F1707/prices!F1706-1</f>
        <v>4.9792747464740827E-3</v>
      </c>
      <c r="G1706" s="5">
        <f>prices!G1707/prices!G1706-1</f>
        <v>-1.5660166448269952E-2</v>
      </c>
      <c r="H1706" s="5">
        <f>prices!H1707/prices!H1706-1</f>
        <v>2.9968242608580109E-3</v>
      </c>
      <c r="I1706" s="5">
        <f>prices!I1707/prices!I1706-1</f>
        <v>4.7505288723272976E-3</v>
      </c>
      <c r="J1706" s="5">
        <f>prices!J1707/prices!J1706-1</f>
        <v>3.9114224985015156E-4</v>
      </c>
      <c r="K1706" s="8">
        <f>SUMPRODUCT(B1706:I1706,weights!$B$5:$I$5)</f>
        <v>-1.6196231840381482E-3</v>
      </c>
      <c r="L1706" s="4">
        <f t="shared" si="52"/>
        <v>318.76480830809436</v>
      </c>
      <c r="M1706" s="4">
        <f>L1706/MAX(L$2:L1706)-1</f>
        <v>-1.6196231840382991E-3</v>
      </c>
      <c r="N1706" s="4">
        <f t="shared" si="53"/>
        <v>1.8836327379993856E-2</v>
      </c>
    </row>
    <row r="1707" spans="1:14">
      <c r="A1707" s="3">
        <f>prices!A1708</f>
        <v>45989</v>
      </c>
      <c r="B1707" s="5">
        <f>prices!B1708/prices!B1707-1</f>
        <v>2.628196889859824E-3</v>
      </c>
      <c r="C1707" s="5">
        <f>prices!C1708/prices!C1707-1</f>
        <v>2.8781167192115653E-4</v>
      </c>
      <c r="D1707" s="5">
        <f>prices!D1708/prices!D1707-1</f>
        <v>-1.8830305715551443E-3</v>
      </c>
      <c r="E1707" s="5">
        <f>prices!E1708/prices!E1707-1</f>
        <v>-4.0176882639152423E-3</v>
      </c>
      <c r="F1707" s="5">
        <f>prices!F1708/prices!F1707-1</f>
        <v>-1.2970168612191912E-4</v>
      </c>
      <c r="G1707" s="5">
        <f>prices!G1708/prices!G1707-1</f>
        <v>-1.8863286899173382E-4</v>
      </c>
      <c r="H1707" s="5">
        <f>prices!H1708/prices!H1707-1</f>
        <v>1.1761951480556476E-2</v>
      </c>
      <c r="I1707" s="5">
        <f>prices!I1708/prices!I1707-1</f>
        <v>-2.8650459446487586E-3</v>
      </c>
      <c r="J1707" s="5">
        <f>prices!J1708/prices!J1707-1</f>
        <v>-4.806307706685109E-4</v>
      </c>
      <c r="K1707" s="8">
        <f>SUMPRODUCT(B1707:I1707,weights!$B$5:$I$5)</f>
        <v>1.0414042133155836E-3</v>
      </c>
      <c r="L1707" s="4">
        <f t="shared" si="52"/>
        <v>319.09677132252313</v>
      </c>
      <c r="M1707" s="4">
        <f>L1707/MAX(L$2:L1707)-1</f>
        <v>-5.7990565313059683E-4</v>
      </c>
      <c r="N1707" s="4">
        <f t="shared" si="53"/>
        <v>2.2962469965793098E-2</v>
      </c>
    </row>
    <row r="1708" spans="1:14">
      <c r="A1708" s="3">
        <f>prices!A1709</f>
        <v>45992</v>
      </c>
      <c r="B1708" s="5">
        <f>prices!B1709/prices!B1708-1</f>
        <v>-8.9726909741127958E-4</v>
      </c>
      <c r="C1708" s="5">
        <f>prices!C1709/prices!C1708-1</f>
        <v>-1.3063551698592191E-3</v>
      </c>
      <c r="D1708" s="5">
        <f>prices!D1709/prices!D1708-1</f>
        <v>-5.45797560557304E-3</v>
      </c>
      <c r="E1708" s="5">
        <f>prices!E1709/prices!E1708-1</f>
        <v>2.4949903736590784E-3</v>
      </c>
      <c r="F1708" s="5">
        <f>prices!F1709/prices!F1708-1</f>
        <v>0</v>
      </c>
      <c r="G1708" s="5">
        <f>prices!G1709/prices!G1708-1</f>
        <v>1.2389863993546024E-2</v>
      </c>
      <c r="H1708" s="5">
        <f>prices!H1709/prices!H1708-1</f>
        <v>-1.3211975625612937E-2</v>
      </c>
      <c r="I1708" s="5">
        <f>prices!I1709/prices!I1708-1</f>
        <v>8.8332208503727472E-4</v>
      </c>
      <c r="J1708" s="5">
        <f>prices!J1709/prices!J1708-1</f>
        <v>-1.0380510591364578E-3</v>
      </c>
      <c r="K1708" s="8">
        <f>SUMPRODUCT(B1708:I1708,weights!$B$5:$I$5)</f>
        <v>1.6636972463007942E-4</v>
      </c>
      <c r="L1708" s="4">
        <f t="shared" si="52"/>
        <v>319.14985936449841</v>
      </c>
      <c r="M1708" s="4">
        <f>L1708/MAX(L$2:L1708)-1</f>
        <v>-4.1363240724423544E-4</v>
      </c>
      <c r="N1708" s="4">
        <f t="shared" si="53"/>
        <v>2.3015539905899329E-2</v>
      </c>
    </row>
    <row r="1709" spans="1:14">
      <c r="A1709" s="3">
        <f>prices!A1710</f>
        <v>45993</v>
      </c>
      <c r="B1709" s="5">
        <f>prices!B1710/prices!B1709-1</f>
        <v>-1.2643611800704391E-2</v>
      </c>
      <c r="C1709" s="5">
        <f>prices!C1710/prices!C1709-1</f>
        <v>7.3516506442627971E-4</v>
      </c>
      <c r="D1709" s="5">
        <f>prices!D1710/prices!D1709-1</f>
        <v>-1.2274294988841472E-2</v>
      </c>
      <c r="E1709" s="5">
        <f>prices!E1710/prices!E1709-1</f>
        <v>-1.9139443584366145E-3</v>
      </c>
      <c r="F1709" s="5">
        <f>prices!F1710/prices!F1709-1</f>
        <v>-8.1722661823842024E-3</v>
      </c>
      <c r="G1709" s="5">
        <f>prices!G1710/prices!G1709-1</f>
        <v>8.821643301662796E-3</v>
      </c>
      <c r="H1709" s="5">
        <f>prices!H1710/prices!H1709-1</f>
        <v>-4.3717616580309926E-3</v>
      </c>
      <c r="I1709" s="5">
        <f>prices!I1710/prices!I1709-1</f>
        <v>-1.0483910952451825E-2</v>
      </c>
      <c r="J1709" s="5">
        <f>prices!J1710/prices!J1709-1</f>
        <v>-5.4840835506145824E-3</v>
      </c>
      <c r="K1709" s="8">
        <f>SUMPRODUCT(B1709:I1709,weights!$B$5:$I$5)</f>
        <v>-4.3128748856243147E-3</v>
      </c>
      <c r="L1709" s="4">
        <f t="shared" si="52"/>
        <v>317.77340595129476</v>
      </c>
      <c r="M1709" s="4">
        <f>L1709/MAX(L$2:L1709)-1</f>
        <v>-4.7247233480474105E-3</v>
      </c>
      <c r="N1709" s="4">
        <f t="shared" si="53"/>
        <v>2.8374423384162739E-2</v>
      </c>
    </row>
    <row r="1710" spans="1:14">
      <c r="A1710" s="3">
        <f>prices!A1711</f>
        <v>45994</v>
      </c>
      <c r="B1710" s="5">
        <f>prices!B1711/prices!B1710-1</f>
        <v>-4.8467365740199053E-3</v>
      </c>
      <c r="C1710" s="5">
        <f>prices!C1711/prices!C1710-1</f>
        <v>1.412664008338993E-2</v>
      </c>
      <c r="D1710" s="5">
        <f>prices!D1711/prices!D1710-1</f>
        <v>1.0804149121906192E-2</v>
      </c>
      <c r="E1710" s="5">
        <f>prices!E1711/prices!E1710-1</f>
        <v>1.1335523646216483E-2</v>
      </c>
      <c r="F1710" s="5">
        <f>prices!F1711/prices!F1710-1</f>
        <v>-1.0986136541982772E-3</v>
      </c>
      <c r="G1710" s="5">
        <f>prices!G1711/prices!G1710-1</f>
        <v>-9.6681517621177715E-3</v>
      </c>
      <c r="H1710" s="5">
        <f>prices!H1711/prices!H1710-1</f>
        <v>4.0040152309597232E-3</v>
      </c>
      <c r="I1710" s="5">
        <f>prices!I1711/prices!I1710-1</f>
        <v>-1.0544881511007187E-2</v>
      </c>
      <c r="J1710" s="5">
        <f>prices!J1711/prices!J1710-1</f>
        <v>-1.7747251480858539E-3</v>
      </c>
      <c r="K1710" s="8">
        <f>SUMPRODUCT(B1710:I1710,weights!$B$5:$I$5)</f>
        <v>-1.0572017788157036E-3</v>
      </c>
      <c r="L1710" s="4">
        <f t="shared" si="52"/>
        <v>317.43745534126271</v>
      </c>
      <c r="M1710" s="4">
        <f>L1710/MAX(L$2:L1710)-1</f>
        <v>-5.7769301409352769E-3</v>
      </c>
      <c r="N1710" s="4">
        <f t="shared" si="53"/>
        <v>3.9781100580810413E-2</v>
      </c>
    </row>
    <row r="1711" spans="1:14">
      <c r="A1711" s="3">
        <f>prices!A1712</f>
        <v>45995</v>
      </c>
      <c r="B1711" s="5">
        <f>prices!B1712/prices!B1711-1</f>
        <v>-2.0826260674274844E-3</v>
      </c>
      <c r="C1711" s="5">
        <f>prices!C1712/prices!C1711-1</f>
        <v>1.5470006265009939E-2</v>
      </c>
      <c r="D1711" s="5">
        <f>prices!D1712/prices!D1711-1</f>
        <v>-3.291946922436062E-3</v>
      </c>
      <c r="E1711" s="5">
        <f>prices!E1712/prices!E1711-1</f>
        <v>1.1972095310821551E-2</v>
      </c>
      <c r="F1711" s="5">
        <f>prices!F1712/prices!F1711-1</f>
        <v>6.3632554729233792E-3</v>
      </c>
      <c r="G1711" s="5">
        <f>prices!G1712/prices!G1711-1</f>
        <v>-5.4716434839898742E-3</v>
      </c>
      <c r="H1711" s="5">
        <f>prices!H1712/prices!H1711-1</f>
        <v>6.4177395481330723E-3</v>
      </c>
      <c r="I1711" s="5">
        <f>prices!I1712/prices!I1711-1</f>
        <v>-1.1014275513873129E-3</v>
      </c>
      <c r="J1711" s="5">
        <f>prices!J1712/prices!J1711-1</f>
        <v>1.8375278996383138E-3</v>
      </c>
      <c r="K1711" s="8">
        <f>SUMPRODUCT(B1711:I1711,weights!$B$5:$I$5)</f>
        <v>2.0824551765608545E-3</v>
      </c>
      <c r="L1711" s="4">
        <f t="shared" si="52"/>
        <v>318.09850461337243</v>
      </c>
      <c r="M1711" s="4">
        <f>L1711/MAX(L$2:L1711)-1</f>
        <v>-3.7065051624509682E-3</v>
      </c>
      <c r="N1711" s="4">
        <f t="shared" si="53"/>
        <v>4.125228833253769E-2</v>
      </c>
    </row>
    <row r="1712" spans="1:14">
      <c r="A1712" s="3">
        <f>prices!A1713</f>
        <v>45996</v>
      </c>
      <c r="B1712" s="5">
        <f>prices!B1713/prices!B1712-1</f>
        <v>3.258032227041685E-3</v>
      </c>
      <c r="C1712" s="5">
        <f>prices!C1713/prices!C1712-1</f>
        <v>2.7891582718786445E-3</v>
      </c>
      <c r="D1712" s="5">
        <f>prices!D1713/prices!D1712-1</f>
        <v>6.1163326469448887E-3</v>
      </c>
      <c r="E1712" s="5">
        <f>prices!E1713/prices!E1712-1</f>
        <v>1.1645009464367861E-2</v>
      </c>
      <c r="F1712" s="5">
        <f>prices!F1713/prices!F1712-1</f>
        <v>4.7097395331894276E-3</v>
      </c>
      <c r="G1712" s="5">
        <f>prices!G1713/prices!G1712-1</f>
        <v>1.8006980752095059E-2</v>
      </c>
      <c r="H1712" s="5">
        <f>prices!H1713/prices!H1712-1</f>
        <v>-7.1482484571326887E-3</v>
      </c>
      <c r="I1712" s="5">
        <f>prices!I1713/prices!I1712-1</f>
        <v>1.3705713713571654E-2</v>
      </c>
      <c r="J1712" s="5">
        <f>prices!J1713/prices!J1712-1</f>
        <v>5.8654631007826197E-3</v>
      </c>
      <c r="K1712" s="8">
        <f>SUMPRODUCT(B1712:I1712,weights!$B$5:$I$5)</f>
        <v>7.617092067457738E-3</v>
      </c>
      <c r="L1712" s="4">
        <f t="shared" si="52"/>
        <v>320.52149020953306</v>
      </c>
      <c r="M1712" s="4">
        <f>L1712/MAX(L$2:L1712)-1</f>
        <v>0</v>
      </c>
      <c r="N1712" s="4">
        <f t="shared" si="53"/>
        <v>5.0780386896021046E-2</v>
      </c>
    </row>
    <row r="1713" spans="1:14">
      <c r="A1713" s="3">
        <f>prices!A1714</f>
        <v>45999</v>
      </c>
      <c r="B1713" s="5">
        <f>prices!B1714/prices!B1713-1</f>
        <v>1.5585160840165813E-3</v>
      </c>
      <c r="C1713" s="5">
        <f>prices!C1714/prices!C1713-1</f>
        <v>-5.255180678879201E-4</v>
      </c>
      <c r="D1713" s="5">
        <f>prices!D1714/prices!D1713-1</f>
        <v>-2.0263835133438324E-4</v>
      </c>
      <c r="E1713" s="5">
        <f>prices!E1714/prices!E1713-1</f>
        <v>-3.3439319329696682E-3</v>
      </c>
      <c r="F1713" s="5">
        <f>prices!F1714/prices!F1713-1</f>
        <v>-6.5523671397493821E-3</v>
      </c>
      <c r="G1713" s="5">
        <f>prices!G1714/prices!G1713-1</f>
        <v>-5.8349477764110258E-3</v>
      </c>
      <c r="H1713" s="5">
        <f>prices!H1714/prices!H1713-1</f>
        <v>-5.0420355961005026E-3</v>
      </c>
      <c r="I1713" s="5">
        <f>prices!I1714/prices!I1713-1</f>
        <v>-1.0277209600063952E-2</v>
      </c>
      <c r="J1713" s="5">
        <f>prices!J1714/prices!J1713-1</f>
        <v>-8.626598870790092E-3</v>
      </c>
      <c r="K1713" s="8">
        <f>SUMPRODUCT(B1713:I1713,weights!$B$5:$I$5)</f>
        <v>-4.6133454069316165E-3</v>
      </c>
      <c r="L1713" s="4">
        <f t="shared" si="52"/>
        <v>319.04281386485206</v>
      </c>
      <c r="M1713" s="4">
        <f>L1713/MAX(L$2:L1713)-1</f>
        <v>-4.6133454069314794E-3</v>
      </c>
      <c r="N1713" s="4">
        <f t="shared" si="53"/>
        <v>3.7385767305210482E-2</v>
      </c>
    </row>
    <row r="1714" spans="1:14">
      <c r="A1714" s="3">
        <f>prices!A1715</f>
        <v>46000</v>
      </c>
      <c r="B1714" s="5">
        <f>prices!B1715/prices!B1714-1</f>
        <v>-8.8156781040433785E-3</v>
      </c>
      <c r="C1714" s="5">
        <f>prices!C1715/prices!C1714-1</f>
        <v>-8.7140800682251607E-3</v>
      </c>
      <c r="D1714" s="5">
        <f>prices!D1715/prices!D1714-1</f>
        <v>-5.9790429477695195E-3</v>
      </c>
      <c r="E1714" s="5">
        <f>prices!E1715/prices!E1714-1</f>
        <v>-7.3255194459243E-3</v>
      </c>
      <c r="F1714" s="5">
        <f>prices!F1715/prices!F1714-1</f>
        <v>-3.102270653562389E-3</v>
      </c>
      <c r="G1714" s="5">
        <f>prices!G1715/prices!G1714-1</f>
        <v>-1.0316952711366789E-2</v>
      </c>
      <c r="H1714" s="5">
        <f>prices!H1715/prices!H1714-1</f>
        <v>-1.124195197590927E-2</v>
      </c>
      <c r="I1714" s="5">
        <f>prices!I1715/prices!I1714-1</f>
        <v>1.9959373831501814E-4</v>
      </c>
      <c r="J1714" s="5">
        <f>prices!J1715/prices!J1714-1</f>
        <v>-4.6570662023723841E-3</v>
      </c>
      <c r="K1714" s="8">
        <f>SUMPRODUCT(B1714:I1714,weights!$B$5:$I$5)</f>
        <v>-6.8736569420706113E-3</v>
      </c>
      <c r="L1714" s="4">
        <f t="shared" si="52"/>
        <v>316.84982301251216</v>
      </c>
      <c r="M1714" s="4">
        <f>L1714/MAX(L$2:L1714)-1</f>
        <v>-1.1455291795319678E-2</v>
      </c>
      <c r="N1714" s="4">
        <f t="shared" si="53"/>
        <v>2.3123994977712004E-2</v>
      </c>
    </row>
    <row r="1715" spans="1:14">
      <c r="A1715" s="3">
        <f>prices!A1716</f>
        <v>46001</v>
      </c>
      <c r="B1715" s="5">
        <f>prices!B1716/prices!B1715-1</f>
        <v>4.9068551459576781E-3</v>
      </c>
      <c r="C1715" s="5">
        <f>prices!C1716/prices!C1715-1</f>
        <v>-5.9542483448741246E-3</v>
      </c>
      <c r="D1715" s="5">
        <f>prices!D1716/prices!D1715-1</f>
        <v>-7.3199575891036428E-3</v>
      </c>
      <c r="E1715" s="5">
        <f>prices!E1716/prices!E1715-1</f>
        <v>-8.8810514142595443E-3</v>
      </c>
      <c r="F1715" s="5">
        <f>prices!F1716/prices!F1715-1</f>
        <v>5.2301255230124966E-3</v>
      </c>
      <c r="G1715" s="5">
        <f>prices!G1716/prices!G1715-1</f>
        <v>-6.2418391106100479E-5</v>
      </c>
      <c r="H1715" s="5">
        <f>prices!H1716/prices!H1715-1</f>
        <v>5.3468035660508839E-3</v>
      </c>
      <c r="I1715" s="5">
        <f>prices!I1716/prices!I1715-1</f>
        <v>-1.5509632896587577E-3</v>
      </c>
      <c r="J1715" s="5">
        <f>prices!J1716/prices!J1715-1</f>
        <v>-3.15987252149319E-3</v>
      </c>
      <c r="K1715" s="8">
        <f>SUMPRODUCT(B1715:I1715,weights!$B$5:$I$5)</f>
        <v>-2.6901203757325734E-4</v>
      </c>
      <c r="L1715" s="4">
        <f t="shared" si="52"/>
        <v>316.76458659601883</v>
      </c>
      <c r="M1715" s="4">
        <f>L1715/MAX(L$2:L1715)-1</f>
        <v>-1.1721222221506067E-2</v>
      </c>
      <c r="N1715" s="4">
        <f t="shared" si="53"/>
        <v>1.5682391991378442E-2</v>
      </c>
    </row>
    <row r="1716" spans="1:14">
      <c r="A1716" s="3">
        <f>prices!A1717</f>
        <v>46002</v>
      </c>
      <c r="B1716" s="5">
        <f>prices!B1717/prices!B1716-1</f>
        <v>5.2685592516816815E-3</v>
      </c>
      <c r="C1716" s="5">
        <f>prices!C1717/prices!C1716-1</f>
        <v>8.4919472913624894E-4</v>
      </c>
      <c r="D1716" s="5">
        <f>prices!D1717/prices!D1716-1</f>
        <v>1.0598747047345203E-2</v>
      </c>
      <c r="E1716" s="5">
        <f>prices!E1717/prices!E1716-1</f>
        <v>8.3288745060372538E-3</v>
      </c>
      <c r="F1716" s="5">
        <f>prices!F1717/prices!F1716-1</f>
        <v>-6.2434963579593994E-4</v>
      </c>
      <c r="G1716" s="5">
        <f>prices!G1717/prices!G1716-1</f>
        <v>1.4295334343859878E-2</v>
      </c>
      <c r="H1716" s="5">
        <f>prices!H1717/prices!H1716-1</f>
        <v>1.2151423694711116E-2</v>
      </c>
      <c r="I1716" s="5">
        <f>prices!I1717/prices!I1716-1</f>
        <v>3.1573434800098443E-3</v>
      </c>
      <c r="J1716" s="5">
        <f>prices!J1717/prices!J1716-1</f>
        <v>5.4565571861169282E-3</v>
      </c>
      <c r="K1716" s="8">
        <f>SUMPRODUCT(B1716:I1716,weights!$B$5:$I$5)</f>
        <v>7.4204449459879373E-3</v>
      </c>
      <c r="L1716" s="4">
        <f t="shared" si="52"/>
        <v>319.11512077169323</v>
      </c>
      <c r="M1716" s="4">
        <f>L1716/MAX(L$2:L1716)-1</f>
        <v>-4.3877539597124704E-3</v>
      </c>
      <c r="N1716" s="4">
        <f t="shared" si="53"/>
        <v>2.1482818119621383E-2</v>
      </c>
    </row>
    <row r="1717" spans="1:14">
      <c r="A1717" s="3">
        <f>prices!A1718</f>
        <v>46003</v>
      </c>
      <c r="B1717" s="5">
        <f>prices!B1718/prices!B1717-1</f>
        <v>7.4452659162878021E-3</v>
      </c>
      <c r="C1717" s="5">
        <f>prices!C1718/prices!C1717-1</f>
        <v>8.9593675128651906E-3</v>
      </c>
      <c r="D1717" s="5">
        <f>prices!D1718/prices!D1717-1</f>
        <v>1.2093250137192868E-3</v>
      </c>
      <c r="E1717" s="5">
        <f>prices!E1718/prices!E1717-1</f>
        <v>1.2786497458661117E-4</v>
      </c>
      <c r="F1717" s="5">
        <f>prices!F1718/prices!F1717-1</f>
        <v>-6.9502290712203374E-3</v>
      </c>
      <c r="G1717" s="5">
        <f>prices!G1718/prices!G1717-1</f>
        <v>1.686389281904499E-2</v>
      </c>
      <c r="H1717" s="5">
        <f>prices!H1718/prices!H1717-1</f>
        <v>-7.5774496884143394E-3</v>
      </c>
      <c r="I1717" s="5">
        <f>prices!I1718/prices!I1717-1</f>
        <v>1.7532665686464943E-2</v>
      </c>
      <c r="J1717" s="5">
        <f>prices!J1718/prices!J1717-1</f>
        <v>5.7300505240640565E-3</v>
      </c>
      <c r="K1717" s="8">
        <f>SUMPRODUCT(B1717:I1717,weights!$B$5:$I$5)</f>
        <v>6.8426749961777947E-3</v>
      </c>
      <c r="L1717" s="4">
        <f t="shared" si="52"/>
        <v>321.29872182949998</v>
      </c>
      <c r="M1717" s="4">
        <f>L1717/MAX(L$2:L1717)-1</f>
        <v>0</v>
      </c>
      <c r="N1717" s="4">
        <f t="shared" si="53"/>
        <v>2.8195923264752176E-2</v>
      </c>
    </row>
    <row r="1718" spans="1:14">
      <c r="A1718" s="3">
        <f>prices!A1719</f>
        <v>46006</v>
      </c>
      <c r="B1718" s="5">
        <f>prices!B1719/prices!B1718-1</f>
        <v>-1.9363083635615119E-4</v>
      </c>
      <c r="C1718" s="5">
        <f>prices!C1719/prices!C1718-1</f>
        <v>3.0125625469201722E-3</v>
      </c>
      <c r="D1718" s="5">
        <f>prices!D1719/prices!D1718-1</f>
        <v>-5.3998639883883204E-3</v>
      </c>
      <c r="E1718" s="5">
        <f>prices!E1719/prices!E1718-1</f>
        <v>5.3824272061879785E-3</v>
      </c>
      <c r="F1718" s="5">
        <f>prices!F1719/prices!F1718-1</f>
        <v>5.5047314477443265E-3</v>
      </c>
      <c r="G1718" s="5">
        <f>prices!G1719/prices!G1718-1</f>
        <v>-6.4764527085681145E-3</v>
      </c>
      <c r="H1718" s="5">
        <f>prices!H1719/prices!H1718-1</f>
        <v>2.0030721274764129E-3</v>
      </c>
      <c r="I1718" s="5">
        <f>prices!I1719/prices!I1718-1</f>
        <v>4.4687448106297545E-3</v>
      </c>
      <c r="J1718" s="5">
        <f>prices!J1719/prices!J1718-1</f>
        <v>-7.5440694591888402E-4</v>
      </c>
      <c r="K1718" s="8">
        <f>SUMPRODUCT(B1718:I1718,weights!$B$5:$I$5)</f>
        <v>6.7837063011064137E-4</v>
      </c>
      <c r="L1718" s="4">
        <f t="shared" si="52"/>
        <v>321.5166814458812</v>
      </c>
      <c r="M1718" s="4">
        <f>L1718/MAX(L$2:L1718)-1</f>
        <v>0</v>
      </c>
      <c r="N1718" s="4">
        <f t="shared" si="53"/>
        <v>2.422926764919886E-2</v>
      </c>
    </row>
    <row r="1719" spans="1:14">
      <c r="A1719" s="3">
        <f>prices!A1720</f>
        <v>46007</v>
      </c>
      <c r="B1719" s="5">
        <f>prices!B1720/prices!B1719-1</f>
        <v>-8.934565924701654E-3</v>
      </c>
      <c r="C1719" s="5">
        <f>prices!C1720/prices!C1719-1</f>
        <v>-7.7705893312602914E-3</v>
      </c>
      <c r="D1719" s="5">
        <f>prices!D1720/prices!D1719-1</f>
        <v>-1.8063251997673113E-3</v>
      </c>
      <c r="E1719" s="5">
        <f>prices!E1720/prices!E1719-1</f>
        <v>-8.6535221297455722E-3</v>
      </c>
      <c r="F1719" s="5">
        <f>prices!F1720/prices!F1719-1</f>
        <v>-1.4859615735550724E-3</v>
      </c>
      <c r="G1719" s="5">
        <f>prices!G1720/prices!G1719-1</f>
        <v>-3.7159006582664356E-3</v>
      </c>
      <c r="H1719" s="5">
        <f>prices!H1720/prices!H1719-1</f>
        <v>-8.7880370389087359E-3</v>
      </c>
      <c r="I1719" s="5">
        <f>prices!I1720/prices!I1719-1</f>
        <v>-6.9656921771057423E-3</v>
      </c>
      <c r="J1719" s="5">
        <f>prices!J1720/prices!J1719-1</f>
        <v>-6.4240240055634112E-3</v>
      </c>
      <c r="K1719" s="8">
        <f>SUMPRODUCT(B1719:I1719,weights!$B$5:$I$5)</f>
        <v>-6.2314125702563053E-3</v>
      </c>
      <c r="L1719" s="4">
        <f t="shared" si="52"/>
        <v>319.51317835557228</v>
      </c>
      <c r="M1719" s="4">
        <f>L1719/MAX(L$2:L1719)-1</f>
        <v>-6.2314125702561673E-3</v>
      </c>
      <c r="N1719" s="4">
        <f t="shared" si="53"/>
        <v>2.1178695048468255E-2</v>
      </c>
    </row>
    <row r="1720" spans="1:14">
      <c r="A1720" s="3">
        <f>prices!A1721</f>
        <v>46008</v>
      </c>
      <c r="B1720" s="5">
        <f>prices!B1721/prices!B1720-1</f>
        <v>1.3613861386139181E-3</v>
      </c>
      <c r="C1720" s="5">
        <f>prices!C1721/prices!C1720-1</f>
        <v>3.9626654752771273E-3</v>
      </c>
      <c r="D1720" s="5">
        <f>prices!D1721/prices!D1720-1</f>
        <v>-1.0356602461865649E-2</v>
      </c>
      <c r="E1720" s="5">
        <f>prices!E1721/prices!E1720-1</f>
        <v>5.7146155622256334E-3</v>
      </c>
      <c r="F1720" s="5">
        <f>prices!F1721/prices!F1720-1</f>
        <v>-4.7256017962508112E-3</v>
      </c>
      <c r="G1720" s="5">
        <f>prices!G1721/prices!G1720-1</f>
        <v>2.6903187434803577E-3</v>
      </c>
      <c r="H1720" s="5">
        <f>prices!H1721/prices!H1720-1</f>
        <v>6.5092511811826181E-3</v>
      </c>
      <c r="I1720" s="5">
        <f>prices!I1721/prices!I1720-1</f>
        <v>-3.4538537802297764E-4</v>
      </c>
      <c r="J1720" s="5">
        <f>prices!J1721/prices!J1720-1</f>
        <v>-1.6067223251263751E-3</v>
      </c>
      <c r="K1720" s="8">
        <f>SUMPRODUCT(B1720:I1720,weights!$B$5:$I$5)</f>
        <v>1.2770809170195266E-3</v>
      </c>
      <c r="L1720" s="4">
        <f t="shared" si="52"/>
        <v>319.92122253838642</v>
      </c>
      <c r="M1720" s="4">
        <f>L1720/MAX(L$2:L1720)-1</f>
        <v>-4.962289671316289E-3</v>
      </c>
      <c r="N1720" s="4">
        <f t="shared" si="53"/>
        <v>1.6723675268274452E-2</v>
      </c>
    </row>
    <row r="1721" spans="1:14">
      <c r="A1721" s="3">
        <f>prices!A1722</f>
        <v>46009</v>
      </c>
      <c r="B1721" s="5">
        <f>prices!B1722/prices!B1721-1</f>
        <v>0</v>
      </c>
      <c r="C1721" s="5">
        <f>prices!C1722/prices!C1721-1</f>
        <v>1.9577113705914417E-2</v>
      </c>
      <c r="D1721" s="5">
        <f>prices!D1722/prices!D1721-1</f>
        <v>-4.3698798541307315E-3</v>
      </c>
      <c r="E1721" s="5">
        <f>prices!E1722/prices!E1721-1</f>
        <v>1.5477625361112635E-2</v>
      </c>
      <c r="F1721" s="5">
        <f>prices!F1722/prices!F1721-1</f>
        <v>1.4952388447311282E-3</v>
      </c>
      <c r="G1721" s="5">
        <f>prices!G1722/prices!G1721-1</f>
        <v>-4.2075891825968936E-3</v>
      </c>
      <c r="H1721" s="5">
        <f>prices!H1722/prices!H1721-1</f>
        <v>-2.6211958326532336E-2</v>
      </c>
      <c r="I1721" s="5">
        <f>prices!I1722/prices!I1721-1</f>
        <v>-7.7030150878675263E-3</v>
      </c>
      <c r="J1721" s="5">
        <f>prices!J1722/prices!J1721-1</f>
        <v>-1.1619552608488348E-4</v>
      </c>
      <c r="K1721" s="8">
        <f>SUMPRODUCT(B1721:I1721,weights!$B$5:$I$5)</f>
        <v>-3.4582556493342174E-3</v>
      </c>
      <c r="L1721" s="4">
        <f t="shared" si="52"/>
        <v>318.81485316320112</v>
      </c>
      <c r="M1721" s="4">
        <f>L1721/MAX(L$2:L1721)-1</f>
        <v>-8.4033844543610625E-3</v>
      </c>
      <c r="N1721" s="4">
        <f t="shared" si="53"/>
        <v>8.7983610716777516E-3</v>
      </c>
    </row>
    <row r="1722" spans="1:14">
      <c r="A1722" s="3">
        <f>prices!A1723</f>
        <v>46010</v>
      </c>
      <c r="B1722" s="5">
        <f>prices!B1723/prices!B1722-1</f>
        <v>1.3406709209062839E-2</v>
      </c>
      <c r="C1722" s="5">
        <f>prices!C1723/prices!C1722-1</f>
        <v>3.6688194624545645E-4</v>
      </c>
      <c r="D1722" s="5">
        <f>prices!D1723/prices!D1722-1</f>
        <v>5.9247115464431399E-3</v>
      </c>
      <c r="E1722" s="5">
        <f>prices!E1723/prices!E1722-1</f>
        <v>7.3162766745795693E-3</v>
      </c>
      <c r="F1722" s="5">
        <f>prices!F1723/prices!F1722-1</f>
        <v>1.6239719210016101E-3</v>
      </c>
      <c r="G1722" s="5">
        <f>prices!G1723/prices!G1722-1</f>
        <v>5.2051632250116331E-3</v>
      </c>
      <c r="H1722" s="5">
        <f>prices!H1723/prices!H1722-1</f>
        <v>-5.7222125888678477E-4</v>
      </c>
      <c r="I1722" s="5">
        <f>prices!I1723/prices!I1722-1</f>
        <v>1.051824724268613E-2</v>
      </c>
      <c r="J1722" s="5">
        <f>prices!J1723/prices!J1722-1</f>
        <v>5.8433773442752024E-3</v>
      </c>
      <c r="K1722" s="8">
        <f>SUMPRODUCT(B1722:I1722,weights!$B$5:$I$5)</f>
        <v>5.9326233032677648E-3</v>
      </c>
      <c r="L1722" s="4">
        <f t="shared" si="52"/>
        <v>320.70626159050499</v>
      </c>
      <c r="M1722" s="4">
        <f>L1722/MAX(L$2:L1722)-1</f>
        <v>-2.52061526553371E-3</v>
      </c>
      <c r="N1722" s="4">
        <f t="shared" si="53"/>
        <v>1.2886607329631872E-2</v>
      </c>
    </row>
    <row r="1723" spans="1:14">
      <c r="A1723" s="3">
        <f>prices!A1724</f>
        <v>46013</v>
      </c>
      <c r="B1723" s="5">
        <f>prices!B1724/prices!B1723-1</f>
        <v>6.5793696642917343E-3</v>
      </c>
      <c r="C1723" s="5">
        <f>prices!C1724/prices!C1723-1</f>
        <v>1.307011830765048E-2</v>
      </c>
      <c r="D1723" s="5">
        <f>prices!D1724/prices!D1723-1</f>
        <v>2.2280214962815403E-3</v>
      </c>
      <c r="E1723" s="5">
        <f>prices!E1724/prices!E1723-1</f>
        <v>3.1060044015236876E-2</v>
      </c>
      <c r="F1723" s="5">
        <f>prices!F1724/prices!F1723-1</f>
        <v>4.105648535565054E-3</v>
      </c>
      <c r="G1723" s="5">
        <f>prices!G1724/prices!G1723-1</f>
        <v>1.4317457797436095E-2</v>
      </c>
      <c r="H1723" s="5">
        <f>prices!H1724/prices!H1723-1</f>
        <v>1.4267455511795202E-2</v>
      </c>
      <c r="I1723" s="5">
        <f>prices!I1724/prices!I1723-1</f>
        <v>-2.7019657420479515E-4</v>
      </c>
      <c r="J1723" s="5">
        <f>prices!J1724/prices!J1723-1</f>
        <v>7.9333292254606391E-3</v>
      </c>
      <c r="K1723" s="8">
        <f>SUMPRODUCT(B1723:I1723,weights!$B$5:$I$5)</f>
        <v>1.0008234121563066E-2</v>
      </c>
      <c r="L1723" s="4">
        <f t="shared" si="52"/>
        <v>323.91596494075401</v>
      </c>
      <c r="M1723" s="4">
        <f>L1723/MAX(L$2:L1723)-1</f>
        <v>0</v>
      </c>
      <c r="N1723" s="4">
        <f t="shared" si="53"/>
        <v>2.5571149978698582E-2</v>
      </c>
    </row>
    <row r="1724" spans="1:14">
      <c r="A1724" s="3">
        <f>prices!A1725</f>
        <v>46014</v>
      </c>
      <c r="B1724" s="5">
        <f>prices!B1725/prices!B1724-1</f>
        <v>-2.9844083793004739E-3</v>
      </c>
      <c r="C1724" s="5">
        <f>prices!C1725/prices!C1724-1</f>
        <v>-4.4815059857441497E-3</v>
      </c>
      <c r="D1724" s="5">
        <f>prices!D1725/prices!D1724-1</f>
        <v>9.0054856272450134E-3</v>
      </c>
      <c r="E1724" s="5">
        <f>prices!E1725/prices!E1724-1</f>
        <v>-1.260725234458604E-2</v>
      </c>
      <c r="F1724" s="5">
        <f>prices!F1725/prices!F1724-1</f>
        <v>1.1563403390890015E-2</v>
      </c>
      <c r="G1724" s="5">
        <f>prices!G1725/prices!G1724-1</f>
        <v>-3.8444598403489794E-3</v>
      </c>
      <c r="H1724" s="5">
        <f>prices!H1725/prices!H1724-1</f>
        <v>-7.8516119467664236E-3</v>
      </c>
      <c r="I1724" s="5">
        <f>prices!I1725/prices!I1724-1</f>
        <v>-3.3399371685168822E-3</v>
      </c>
      <c r="J1724" s="5">
        <f>prices!J1725/prices!J1724-1</f>
        <v>1.8148889670044355E-4</v>
      </c>
      <c r="K1724" s="8">
        <f>SUMPRODUCT(B1724:I1724,weights!$B$5:$I$5)</f>
        <v>-2.7949561882531881E-3</v>
      </c>
      <c r="L1724" s="4">
        <f t="shared" si="52"/>
        <v>323.01063401006883</v>
      </c>
      <c r="M1724" s="4">
        <f>L1724/MAX(L$2:L1724)-1</f>
        <v>-2.7949561882532059E-3</v>
      </c>
      <c r="N1724" s="4">
        <f t="shared" si="53"/>
        <v>2.7339423606468793E-2</v>
      </c>
    </row>
    <row r="1725" spans="1:14">
      <c r="A1725" s="3">
        <f>prices!A1726</f>
        <v>46015</v>
      </c>
      <c r="B1725" s="5">
        <f>prices!B1726/prices!B1725-1</f>
        <v>-7.9566605051584194E-3</v>
      </c>
      <c r="C1725" s="5">
        <f>prices!C1726/prices!C1725-1</f>
        <v>2.7210713748306858E-3</v>
      </c>
      <c r="D1725" s="5">
        <f>prices!D1726/prices!D1725-1</f>
        <v>6.1200758889401463E-4</v>
      </c>
      <c r="E1725" s="5">
        <f>prices!E1726/prices!E1725-1</f>
        <v>-2.9333235351753917E-3</v>
      </c>
      <c r="F1725" s="5">
        <f>prices!F1726/prices!F1725-1</f>
        <v>-1.8537112844675407E-3</v>
      </c>
      <c r="G1725" s="5">
        <f>prices!G1726/prices!G1725-1</f>
        <v>7.1150645337509921E-3</v>
      </c>
      <c r="H1725" s="5">
        <f>prices!H1726/prices!H1725-1</f>
        <v>-1.076430595226463E-2</v>
      </c>
      <c r="I1725" s="5">
        <f>prices!I1726/prices!I1725-1</f>
        <v>-1.2812411370455301E-3</v>
      </c>
      <c r="J1725" s="5">
        <f>prices!J1726/prices!J1725-1</f>
        <v>-1.3389540114184806E-3</v>
      </c>
      <c r="K1725" s="8">
        <f>SUMPRODUCT(B1725:I1725,weights!$B$5:$I$5)</f>
        <v>-1.6249960756509927E-3</v>
      </c>
      <c r="L1725" s="4">
        <f t="shared" si="52"/>
        <v>322.48574299740892</v>
      </c>
      <c r="M1725" s="4">
        <f>L1725/MAX(L$2:L1725)-1</f>
        <v>-4.4154104710667497E-3</v>
      </c>
      <c r="N1725" s="4">
        <f t="shared" si="53"/>
        <v>1.003444928695707E-2</v>
      </c>
    </row>
    <row r="1726" spans="1:14">
      <c r="A1726" s="3">
        <f>prices!A1727</f>
        <v>46017</v>
      </c>
      <c r="B1726" s="5">
        <f>prices!B1727/prices!B1726-1</f>
        <v>6.382855263922238E-4</v>
      </c>
      <c r="C1726" s="5">
        <f>prices!C1727/prices!C1726-1</f>
        <v>-1.1752016507221796E-2</v>
      </c>
      <c r="D1726" s="5">
        <f>prices!D1727/prices!D1726-1</f>
        <v>-5.1173316479439235E-3</v>
      </c>
      <c r="E1726" s="5">
        <f>prices!E1727/prices!E1726-1</f>
        <v>-4.3914333269867711E-3</v>
      </c>
      <c r="F1726" s="5">
        <f>prices!F1727/prices!F1726-1</f>
        <v>-6.0099564084706847E-3</v>
      </c>
      <c r="G1726" s="5">
        <f>prices!G1727/prices!G1726-1</f>
        <v>-6.4062715427055661E-3</v>
      </c>
      <c r="H1726" s="5">
        <f>prices!H1727/prices!H1726-1</f>
        <v>-1.0073898494143863E-2</v>
      </c>
      <c r="I1726" s="5">
        <f>prices!I1727/prices!I1726-1</f>
        <v>-1.5544080171582264E-3</v>
      </c>
      <c r="J1726" s="5">
        <f>prices!J1727/prices!J1726-1</f>
        <v>-3.8175969030797008E-3</v>
      </c>
      <c r="K1726" s="8">
        <f>SUMPRODUCT(B1726:I1726,weights!$B$5:$I$5)</f>
        <v>-5.2765192651538853E-3</v>
      </c>
      <c r="L1726" s="4">
        <f t="shared" si="52"/>
        <v>320.78414076174562</v>
      </c>
      <c r="M1726" s="4">
        <f>L1726/MAX(L$2:L1726)-1</f>
        <v>-9.6686317378065212E-3</v>
      </c>
      <c r="N1726" s="4">
        <f t="shared" si="53"/>
        <v>6.3348663372511105E-3</v>
      </c>
    </row>
    <row r="1727" spans="1:14">
      <c r="A1727" s="3">
        <f>prices!A1728</f>
        <v>46020</v>
      </c>
      <c r="B1727" s="5">
        <f>prices!B1728/prices!B1727-1</f>
        <v>-8.7176711640313265E-3</v>
      </c>
      <c r="C1727" s="5">
        <f>prices!C1728/prices!C1727-1</f>
        <v>-8.6902603914572607E-3</v>
      </c>
      <c r="D1727" s="5">
        <f>prices!D1728/prices!D1727-1</f>
        <v>-4.0985286282235744E-4</v>
      </c>
      <c r="E1727" s="5">
        <f>prices!E1728/prices!E1727-1</f>
        <v>-6.8845541695969903E-3</v>
      </c>
      <c r="F1727" s="5">
        <f>prices!F1728/prices!F1727-1</f>
        <v>-3.8405646668051574E-3</v>
      </c>
      <c r="G1727" s="5">
        <f>prices!G1728/prices!G1727-1</f>
        <v>-3.253609949010916E-3</v>
      </c>
      <c r="H1727" s="5">
        <f>prices!H1728/prices!H1727-1</f>
        <v>-1.3380752843409338E-3</v>
      </c>
      <c r="I1727" s="5">
        <f>prices!I1728/prices!I1727-1</f>
        <v>-2.1256689495153802E-3</v>
      </c>
      <c r="J1727" s="5">
        <f>prices!J1728/prices!J1727-1</f>
        <v>-3.8475864266981352E-3</v>
      </c>
      <c r="K1727" s="8">
        <f>SUMPRODUCT(B1727:I1727,weights!$B$5:$I$5)</f>
        <v>-4.0606620590053757E-3</v>
      </c>
      <c r="L1727" s="4">
        <f t="shared" si="52"/>
        <v>319.48154477222374</v>
      </c>
      <c r="M1727" s="4">
        <f>L1727/MAX(L$2:L1727)-1</f>
        <v>-1.3690032750751757E-2</v>
      </c>
      <c r="N1727" s="4">
        <f t="shared" si="53"/>
        <v>1.2058205669267519E-3</v>
      </c>
    </row>
    <row r="1728" spans="1:14">
      <c r="A1728" s="3">
        <f>prices!A1729</f>
        <v>46021</v>
      </c>
      <c r="B1728" s="5">
        <f>prices!B1729/prices!B1728-1</f>
        <v>-3.7569304967858264E-3</v>
      </c>
      <c r="C1728" s="5">
        <f>prices!C1729/prices!C1728-1</f>
        <v>-1.4424580506392504E-3</v>
      </c>
      <c r="D1728" s="5">
        <f>prices!D1729/prices!D1728-1</f>
        <v>-7.9954077657962142E-4</v>
      </c>
      <c r="E1728" s="5">
        <f>prices!E1729/prices!E1728-1</f>
        <v>-1.4044699539090266E-2</v>
      </c>
      <c r="F1728" s="5">
        <f>prices!F1729/prices!F1728-1</f>
        <v>-4.9755131812023734E-3</v>
      </c>
      <c r="G1728" s="5">
        <f>prices!G1729/prices!G1728-1</f>
        <v>6.3477254187447318E-3</v>
      </c>
      <c r="H1728" s="5">
        <f>prices!H1729/prices!H1728-1</f>
        <v>1.7453545361587608E-3</v>
      </c>
      <c r="I1728" s="5">
        <f>prices!I1729/prices!I1728-1</f>
        <v>3.295304815695399E-3</v>
      </c>
      <c r="J1728" s="5">
        <f>prices!J1729/prices!J1728-1</f>
        <v>-1.2527898666647719E-4</v>
      </c>
      <c r="K1728" s="8">
        <f>SUMPRODUCT(B1728:I1728,weights!$B$5:$I$5)</f>
        <v>-1.2449361945788889E-4</v>
      </c>
      <c r="L1728" s="4">
        <f t="shared" si="52"/>
        <v>319.44177135836503</v>
      </c>
      <c r="M1728" s="4">
        <f>L1728/MAX(L$2:L1728)-1</f>
        <v>-1.3812822048481999E-2</v>
      </c>
      <c r="N1728" s="4">
        <f t="shared" si="53"/>
        <v>9.1465493498232853E-4</v>
      </c>
    </row>
    <row r="1729" spans="1:14">
      <c r="A1729" s="3">
        <f>prices!A1730</f>
        <v>46022</v>
      </c>
      <c r="B1729" s="5">
        <f>prices!B1730/prices!B1729-1</f>
        <v>1.9873296318285938E-2</v>
      </c>
      <c r="C1729" s="5">
        <f>prices!C1730/prices!C1729-1</f>
        <v>-1.2505512908194905E-2</v>
      </c>
      <c r="D1729" s="5">
        <f>prices!D1730/prices!D1729-1</f>
        <v>2.9750302632391978E-4</v>
      </c>
      <c r="E1729" s="5">
        <f>prices!E1730/prices!E1729-1</f>
        <v>-3.8242242872893462E-3</v>
      </c>
      <c r="F1729" s="5">
        <f>prices!F1730/prices!F1729-1</f>
        <v>5.9952352278973553E-3</v>
      </c>
      <c r="G1729" s="5">
        <f>prices!G1730/prices!G1729-1</f>
        <v>3.0033710564827398E-3</v>
      </c>
      <c r="H1729" s="5">
        <f>prices!H1730/prices!H1729-1</f>
        <v>-2.8745240902716684E-4</v>
      </c>
      <c r="I1729" s="5">
        <f>prices!I1730/prices!I1729-1</f>
        <v>7.77260822216852E-3</v>
      </c>
      <c r="J1729" s="5">
        <f>prices!J1730/prices!J1729-1</f>
        <v>7.3538341136942798E-3</v>
      </c>
      <c r="K1729" s="8">
        <f>SUMPRODUCT(B1729:I1729,weights!$B$5:$I$5)</f>
        <v>3.7026684149728201E-3</v>
      </c>
      <c r="L1729" s="4">
        <f t="shared" si="52"/>
        <v>320.62455831559663</v>
      </c>
      <c r="M1729" s="4">
        <f>L1729/MAX(L$2:L1729)-1</f>
        <v>-1.016129793342968E-2</v>
      </c>
      <c r="N1729" s="4">
        <f t="shared" si="53"/>
        <v>8.9722812258834495E-3</v>
      </c>
    </row>
    <row r="1730" spans="1:14">
      <c r="A1730" s="3">
        <f>prices!A1731</f>
        <v>46023</v>
      </c>
      <c r="B1730" s="5">
        <f>prices!B1731/prices!B1730-1</f>
        <v>3.3137790515425092E-3</v>
      </c>
      <c r="C1730" s="5">
        <f>prices!C1731/prices!C1730-1</f>
        <v>6.6118858600145991E-3</v>
      </c>
      <c r="D1730" s="5">
        <f>prices!D1731/prices!D1730-1</f>
        <v>-5.1278369758156472E-5</v>
      </c>
      <c r="E1730" s="5">
        <f>prices!E1731/prices!E1730-1</f>
        <v>8.9173908093953536E-3</v>
      </c>
      <c r="F1730" s="5">
        <f>prices!F1731/prices!F1730-1</f>
        <v>-9.7147764534429748E-2</v>
      </c>
      <c r="G1730" s="5">
        <f>prices!G1731/prices!G1730-1</f>
        <v>6.5876312233159595E-4</v>
      </c>
      <c r="H1730" s="5">
        <f>prices!H1731/prices!H1730-1</f>
        <v>8.0979262267177887E-4</v>
      </c>
      <c r="I1730" s="5">
        <f>prices!I1731/prices!I1730-1</f>
        <v>1.3934223541048452E-2</v>
      </c>
      <c r="J1730" s="5">
        <f>prices!J1731/prices!J1730-1</f>
        <v>6.4868960871966586E-4</v>
      </c>
      <c r="K1730" s="8">
        <f>SUMPRODUCT(B1730:I1730,weights!$B$5:$I$5)</f>
        <v>-3.3735771134249808E-3</v>
      </c>
      <c r="L1730" s="4">
        <f t="shared" si="52"/>
        <v>319.54290664366113</v>
      </c>
      <c r="M1730" s="4">
        <f>L1730/MAX(L$2:L1730)-1</f>
        <v>-1.3500595124703807E-2</v>
      </c>
      <c r="N1730" s="4">
        <f t="shared" si="53"/>
        <v>6.6326492572685858E-3</v>
      </c>
    </row>
    <row r="1731" spans="1:14">
      <c r="A1731" s="3">
        <f>prices!A1732</f>
        <v>46024</v>
      </c>
      <c r="B1731" s="5">
        <f>prices!B1732/prices!B1731-1</f>
        <v>1.0597124366372279E-2</v>
      </c>
      <c r="C1731" s="5">
        <f>prices!C1732/prices!C1731-1</f>
        <v>7.2179068391675649E-3</v>
      </c>
      <c r="D1731" s="5">
        <f>prices!D1732/prices!D1731-1</f>
        <v>1.0543373469262152E-2</v>
      </c>
      <c r="E1731" s="5">
        <f>prices!E1732/prices!E1731-1</f>
        <v>6.5004262574595018E-3</v>
      </c>
      <c r="F1731" s="5">
        <f>prices!F1732/prices!F1731-1</f>
        <v>-3.7932724180670507E-2</v>
      </c>
      <c r="G1731" s="5">
        <f>prices!G1732/prices!G1731-1</f>
        <v>1.5082333496757139E-2</v>
      </c>
      <c r="H1731" s="5">
        <f>prices!H1732/prices!H1731-1</f>
        <v>4.0105070594305126E-3</v>
      </c>
      <c r="I1731" s="5">
        <f>prices!I1732/prices!I1731-1</f>
        <v>5.5556233004498967E-3</v>
      </c>
      <c r="J1731" s="5">
        <f>prices!J1732/prices!J1731-1</f>
        <v>6.9607653782239876E-3</v>
      </c>
      <c r="K1731" s="8">
        <f>SUMPRODUCT(B1731:I1731,weights!$B$5:$I$5)</f>
        <v>4.7766767838599939E-3</v>
      </c>
      <c r="L1731" s="4">
        <f t="shared" si="52"/>
        <v>321.06925982727302</v>
      </c>
      <c r="M1731" s="4">
        <f>L1731/MAX(L$2:L1731)-1</f>
        <v>-8.7884063201444373E-3</v>
      </c>
      <c r="N1731" s="4">
        <f t="shared" si="53"/>
        <v>9.3391046195308025E-3</v>
      </c>
    </row>
    <row r="1732" spans="1:14">
      <c r="A1732" s="3">
        <f>prices!A1733</f>
        <v>46027</v>
      </c>
      <c r="B1732" s="5">
        <f>prices!B1733/prices!B1732-1</f>
        <v>-8.914995236502965E-3</v>
      </c>
      <c r="C1732" s="5">
        <f>prices!C1733/prices!C1732-1</f>
        <v>-1.0642338888587455E-2</v>
      </c>
      <c r="D1732" s="5">
        <f>prices!D1733/prices!D1732-1</f>
        <v>-2.4053587739774618E-2</v>
      </c>
      <c r="E1732" s="5">
        <f>prices!E1733/prices!E1732-1</f>
        <v>-2.0726808457634083E-2</v>
      </c>
      <c r="F1732" s="5">
        <f>prices!F1733/prices!F1732-1</f>
        <v>-9.8870479671619993E-4</v>
      </c>
      <c r="G1732" s="5">
        <f>prices!G1733/prices!G1732-1</f>
        <v>1.1497579707659078E-2</v>
      </c>
      <c r="H1732" s="5">
        <f>prices!H1733/prices!H1732-1</f>
        <v>5.197505197505059E-4</v>
      </c>
      <c r="I1732" s="5">
        <f>prices!I1733/prices!I1732-1</f>
        <v>-3.1238403833980799E-3</v>
      </c>
      <c r="J1732" s="5">
        <f>prices!J1733/prices!J1732-1</f>
        <v>-2.9720588486642496E-3</v>
      </c>
      <c r="K1732" s="8">
        <f>SUMPRODUCT(B1732:I1732,weights!$B$5:$I$5)</f>
        <v>-3.9989833439672013E-3</v>
      </c>
      <c r="L1732" s="4">
        <f t="shared" ref="L1732:L1795" si="54">L1731*(1+K1732)</f>
        <v>319.78530920496388</v>
      </c>
      <c r="M1732" s="4">
        <f>L1732/MAX(L$2:L1732)-1</f>
        <v>-1.2752244973617266E-2</v>
      </c>
      <c r="N1732" s="4">
        <f t="shared" si="53"/>
        <v>-2.2968226064590258E-3</v>
      </c>
    </row>
    <row r="1733" spans="1:14">
      <c r="A1733" s="3">
        <f>prices!A1734</f>
        <v>46028</v>
      </c>
      <c r="B1733" s="5">
        <f>prices!B1734/prices!B1733-1</f>
        <v>-4.4676733467444052E-2</v>
      </c>
      <c r="C1733" s="5">
        <f>prices!C1734/prices!C1733-1</f>
        <v>1.2344205224831706E-2</v>
      </c>
      <c r="D1733" s="5">
        <f>prices!D1734/prices!D1733-1</f>
        <v>-1.5661397670549193E-2</v>
      </c>
      <c r="E1733" s="5">
        <f>prices!E1734/prices!E1733-1</f>
        <v>3.6123813097426183E-3</v>
      </c>
      <c r="F1733" s="5">
        <f>prices!F1734/prices!F1733-1</f>
        <v>-2.0753358925143961E-2</v>
      </c>
      <c r="G1733" s="5">
        <f>prices!G1734/prices!G1733-1</f>
        <v>7.9861425942129305E-3</v>
      </c>
      <c r="H1733" s="5">
        <f>prices!H1734/prices!H1733-1</f>
        <v>1.8105939004815497E-2</v>
      </c>
      <c r="I1733" s="5">
        <f>prices!I1734/prices!I1733-1</f>
        <v>-2.3599537741012533E-3</v>
      </c>
      <c r="J1733" s="5">
        <f>prices!J1734/prices!J1733-1</f>
        <v>-2.7275878751861216E-3</v>
      </c>
      <c r="K1733" s="8">
        <f>SUMPRODUCT(B1733:I1733,weights!$B$5:$I$5)</f>
        <v>-3.3782960214462027E-3</v>
      </c>
      <c r="L1733" s="4">
        <f t="shared" si="54"/>
        <v>318.70497976715978</v>
      </c>
      <c r="M1733" s="4">
        <f>L1733/MAX(L$2:L1733)-1</f>
        <v>-1.608746013660467E-2</v>
      </c>
      <c r="N1733" s="4">
        <f t="shared" si="53"/>
        <v>-1.058898940865638E-3</v>
      </c>
    </row>
    <row r="1734" spans="1:14">
      <c r="A1734" s="3">
        <f>prices!A1735</f>
        <v>46029</v>
      </c>
      <c r="B1734" s="5">
        <f>prices!B1735/prices!B1734-1</f>
        <v>-2.2523423027202005E-3</v>
      </c>
      <c r="C1734" s="5">
        <f>prices!C1735/prices!C1734-1</f>
        <v>1.2222367410419821E-2</v>
      </c>
      <c r="D1734" s="5">
        <f>prices!D1735/prices!D1734-1</f>
        <v>-1.3660278487966693E-2</v>
      </c>
      <c r="E1734" s="5">
        <f>prices!E1735/prices!E1734-1</f>
        <v>1.6621780044992152E-2</v>
      </c>
      <c r="F1734" s="5">
        <f>prices!F1735/prices!F1734-1</f>
        <v>-3.4913634693126694E-3</v>
      </c>
      <c r="G1734" s="5">
        <f>prices!G1735/prices!G1734-1</f>
        <v>-2.7931560987520032E-2</v>
      </c>
      <c r="H1734" s="5">
        <f>prices!H1735/prices!H1734-1</f>
        <v>1.2727387388420386E-2</v>
      </c>
      <c r="I1734" s="5">
        <f>prices!I1735/prices!I1734-1</f>
        <v>3.9604443306384685E-3</v>
      </c>
      <c r="J1734" s="5">
        <f>prices!J1735/prices!J1734-1</f>
        <v>-1.4496518161711824E-3</v>
      </c>
      <c r="K1734" s="8">
        <f>SUMPRODUCT(B1734:I1734,weights!$B$5:$I$5)</f>
        <v>-1.8419128392579366E-3</v>
      </c>
      <c r="L1734" s="4">
        <f t="shared" si="54"/>
        <v>318.11795297299119</v>
      </c>
      <c r="M1734" s="4">
        <f>L1734/MAX(L$2:L1734)-1</f>
        <v>-1.7899741276486081E-2</v>
      </c>
      <c r="N1734" s="4">
        <f t="shared" si="53"/>
        <v>4.0023060401992439E-3</v>
      </c>
    </row>
    <row r="1735" spans="1:14">
      <c r="A1735" s="3">
        <f>prices!A1736</f>
        <v>46030</v>
      </c>
      <c r="B1735" s="5">
        <f>prices!B1736/prices!B1735-1</f>
        <v>-2.2340510792904444E-2</v>
      </c>
      <c r="C1735" s="5">
        <f>prices!C1736/prices!C1735-1</f>
        <v>-2.7823956877117362E-2</v>
      </c>
      <c r="D1735" s="5">
        <f>prices!D1736/prices!D1735-1</f>
        <v>-2.474266556699356E-3</v>
      </c>
      <c r="E1735" s="5">
        <f>prices!E1736/prices!E1735-1</f>
        <v>-1.5676814521155769E-2</v>
      </c>
      <c r="F1735" s="5">
        <f>prices!F1736/prices!F1735-1</f>
        <v>-1.0141987829613841E-3</v>
      </c>
      <c r="G1735" s="5">
        <f>prices!G1736/prices!G1735-1</f>
        <v>-8.6264344091137035E-3</v>
      </c>
      <c r="H1735" s="5">
        <f>prices!H1736/prices!H1735-1</f>
        <v>-1.2290047382633174E-2</v>
      </c>
      <c r="I1735" s="5">
        <f>prices!I1736/prices!I1735-1</f>
        <v>-3.093672497261224E-2</v>
      </c>
      <c r="J1735" s="5">
        <f>prices!J1736/prices!J1735-1</f>
        <v>-1.0095349215305638E-2</v>
      </c>
      <c r="K1735" s="8">
        <f>SUMPRODUCT(B1735:I1735,weights!$B$5:$I$5)</f>
        <v>-1.6508533175993791E-2</v>
      </c>
      <c r="L1735" s="4">
        <f t="shared" si="54"/>
        <v>312.86629219245737</v>
      </c>
      <c r="M1735" s="4">
        <f>L1735/MAX(L$2:L1735)-1</f>
        <v>-3.4112775979775134E-2</v>
      </c>
      <c r="N1735" s="4">
        <f t="shared" si="53"/>
        <v>-1.2306597923249174E-2</v>
      </c>
    </row>
    <row r="1736" spans="1:14">
      <c r="A1736" s="3">
        <f>prices!A1737</f>
        <v>46031</v>
      </c>
      <c r="B1736" s="5">
        <f>prices!B1737/prices!B1736-1</f>
        <v>3.1970925585622645E-3</v>
      </c>
      <c r="C1736" s="5">
        <f>prices!C1737/prices!C1736-1</f>
        <v>1.2177467151606169E-3</v>
      </c>
      <c r="D1736" s="5">
        <f>prices!D1737/prices!D1736-1</f>
        <v>-8.1391603135401169E-3</v>
      </c>
      <c r="E1736" s="5">
        <f>prices!E1737/prices!E1736-1</f>
        <v>4.9394286727499903E-4</v>
      </c>
      <c r="F1736" s="5">
        <f>prices!F1737/prices!F1736-1</f>
        <v>-1.1013690201507442E-2</v>
      </c>
      <c r="G1736" s="5">
        <f>prices!G1737/prices!G1736-1</f>
        <v>-9.7816079343885365E-3</v>
      </c>
      <c r="H1736" s="5">
        <f>prices!H1737/prices!H1736-1</f>
        <v>-1.7492377175084228E-2</v>
      </c>
      <c r="I1736" s="5">
        <f>prices!I1737/prices!I1736-1</f>
        <v>-7.9459972978590532E-4</v>
      </c>
      <c r="J1736" s="5">
        <f>prices!J1737/prices!J1736-1</f>
        <v>-7.4796584592019544E-3</v>
      </c>
      <c r="K1736" s="8">
        <f>SUMPRODUCT(B1736:I1736,weights!$B$5:$I$5)</f>
        <v>-5.6665884991399995E-3</v>
      </c>
      <c r="L1736" s="4">
        <f t="shared" si="54"/>
        <v>311.09340765935099</v>
      </c>
      <c r="M1736" s="4">
        <f>L1736/MAX(L$2:L1736)-1</f>
        <v>-3.9586061414874529E-2</v>
      </c>
      <c r="N1736" s="4">
        <f t="shared" si="53"/>
        <v>-2.5137364512668348E-2</v>
      </c>
    </row>
    <row r="1737" spans="1:14">
      <c r="A1737" s="3">
        <f>prices!A1738</f>
        <v>46034</v>
      </c>
      <c r="B1737" s="5">
        <f>prices!B1738/prices!B1737-1</f>
        <v>5.3523639607493401E-3</v>
      </c>
      <c r="C1737" s="5">
        <f>prices!C1738/prices!C1737-1</f>
        <v>9.9145055847942309E-3</v>
      </c>
      <c r="D1737" s="5">
        <f>prices!D1738/prices!D1737-1</f>
        <v>-2.1759840644350881E-3</v>
      </c>
      <c r="E1737" s="5">
        <f>prices!E1738/prices!E1737-1</f>
        <v>-1.1272794019912658E-2</v>
      </c>
      <c r="F1737" s="5">
        <f>prices!F1738/prices!F1737-1</f>
        <v>3.7017451084082609E-3</v>
      </c>
      <c r="G1737" s="5">
        <f>prices!G1738/prices!G1737-1</f>
        <v>4.9085109625859324E-3</v>
      </c>
      <c r="H1737" s="5">
        <f>prices!H1738/prices!H1737-1</f>
        <v>3.5292607802874798E-3</v>
      </c>
      <c r="I1737" s="5">
        <f>prices!I1738/prices!I1737-1</f>
        <v>-1.5402908992390163E-3</v>
      </c>
      <c r="J1737" s="5">
        <f>prices!J1738/prices!J1737-1</f>
        <v>4.164184509000135E-3</v>
      </c>
      <c r="K1737" s="8">
        <f>SUMPRODUCT(B1737:I1737,weights!$B$5:$I$5)</f>
        <v>1.9268633694602419E-3</v>
      </c>
      <c r="L1737" s="4">
        <f t="shared" si="54"/>
        <v>311.69284215105034</v>
      </c>
      <c r="M1737" s="4">
        <f>L1737/MAX(L$2:L1737)-1</f>
        <v>-3.773547497709584E-2</v>
      </c>
      <c r="N1737" s="4">
        <f t="shared" si="53"/>
        <v>-2.9897036700778035E-2</v>
      </c>
    </row>
    <row r="1738" spans="1:14">
      <c r="A1738" s="3">
        <f>prices!A1739</f>
        <v>46035</v>
      </c>
      <c r="B1738" s="5">
        <f>prices!B1739/prices!B1738-1</f>
        <v>-2.0496217072956013E-2</v>
      </c>
      <c r="C1738" s="5">
        <f>prices!C1739/prices!C1738-1</f>
        <v>8.7665915031005515E-3</v>
      </c>
      <c r="D1738" s="5">
        <f>prices!D1739/prices!D1738-1</f>
        <v>4.2312657994370007E-4</v>
      </c>
      <c r="E1738" s="5">
        <f>prices!E1739/prices!E1738-1</f>
        <v>1.9396965623201812E-3</v>
      </c>
      <c r="F1738" s="5">
        <f>prices!F1739/prices!F1738-1</f>
        <v>-1.0909316308188255E-2</v>
      </c>
      <c r="G1738" s="5">
        <f>prices!G1739/prices!G1738-1</f>
        <v>-9.4078620367030741E-3</v>
      </c>
      <c r="H1738" s="5">
        <f>prices!H1739/prices!H1738-1</f>
        <v>-4.208592737271033E-3</v>
      </c>
      <c r="I1738" s="5">
        <f>prices!I1739/prices!I1738-1</f>
        <v>-3.2742731374933332E-2</v>
      </c>
      <c r="J1738" s="5">
        <f>prices!J1739/prices!J1738-1</f>
        <v>-2.2469731778482771E-3</v>
      </c>
      <c r="K1738" s="8">
        <f>SUMPRODUCT(B1738:I1738,weights!$B$5:$I$5)</f>
        <v>-1.1469181628130619E-2</v>
      </c>
      <c r="L1738" s="4">
        <f t="shared" si="54"/>
        <v>308.1179803322317</v>
      </c>
      <c r="M1738" s="4">
        <f>L1738/MAX(L$2:L1738)-1</f>
        <v>-4.8771861588890353E-2</v>
      </c>
      <c r="N1738" s="4">
        <f t="shared" si="53"/>
        <v>-4.1673424387794422E-2</v>
      </c>
    </row>
    <row r="1739" spans="1:14">
      <c r="A1739" s="3">
        <f>prices!A1740</f>
        <v>46036</v>
      </c>
      <c r="B1739" s="5">
        <f>prices!B1740/prices!B1739-1</f>
        <v>4.1352317596863308E-3</v>
      </c>
      <c r="C1739" s="5">
        <f>prices!C1740/prices!C1739-1</f>
        <v>-2.3105621616472671E-2</v>
      </c>
      <c r="D1739" s="5">
        <f>prices!D1740/prices!D1739-1</f>
        <v>-1.2699273397679289E-2</v>
      </c>
      <c r="E1739" s="5">
        <f>prices!E1740/prices!E1739-1</f>
        <v>4.9836115849810625E-4</v>
      </c>
      <c r="F1739" s="5">
        <f>prices!F1740/prices!F1739-1</f>
        <v>1.2533684276494483E-4</v>
      </c>
      <c r="G1739" s="5">
        <f>prices!G1740/prices!G1739-1</f>
        <v>-1.6680532778442947E-2</v>
      </c>
      <c r="H1739" s="5">
        <f>prices!H1740/prices!H1739-1</f>
        <v>-1.6193339365459303E-2</v>
      </c>
      <c r="I1739" s="5">
        <f>prices!I1740/prices!I1739-1</f>
        <v>-5.5561327861188836E-3</v>
      </c>
      <c r="J1739" s="5">
        <f>prices!J1740/prices!J1739-1</f>
        <v>-2.5920729977498835E-3</v>
      </c>
      <c r="K1739" s="8">
        <f>SUMPRODUCT(B1739:I1739,weights!$B$5:$I$5)</f>
        <v>-9.172731195727122E-3</v>
      </c>
      <c r="L1739" s="4">
        <f t="shared" si="54"/>
        <v>305.29169692207381</v>
      </c>
      <c r="M1739" s="4">
        <f>L1739/MAX(L$2:L1739)-1</f>
        <v>-5.749722160834736E-2</v>
      </c>
      <c r="N1739" s="4">
        <f t="shared" si="53"/>
        <v>-4.4509843089076018E-2</v>
      </c>
    </row>
    <row r="1740" spans="1:14">
      <c r="A1740" s="3">
        <f>prices!A1741</f>
        <v>46037</v>
      </c>
      <c r="B1740" s="5">
        <f>prices!B1741/prices!B1740-1</f>
        <v>0</v>
      </c>
      <c r="C1740" s="5">
        <f>prices!C1741/prices!C1740-1</f>
        <v>0</v>
      </c>
      <c r="D1740" s="5">
        <f>prices!D1741/prices!D1740-1</f>
        <v>0</v>
      </c>
      <c r="E1740" s="5">
        <f>prices!E1741/prices!E1740-1</f>
        <v>0</v>
      </c>
      <c r="F1740" s="5">
        <f>prices!F1741/prices!F1740-1</f>
        <v>0</v>
      </c>
      <c r="G1740" s="5">
        <f>prices!G1741/prices!G1740-1</f>
        <v>0</v>
      </c>
      <c r="H1740" s="5">
        <f>prices!H1741/prices!H1740-1</f>
        <v>0</v>
      </c>
      <c r="I1740" s="5">
        <f>prices!I1741/prices!I1740-1</f>
        <v>0</v>
      </c>
      <c r="J1740" s="5">
        <f>prices!J1741/prices!J1740-1</f>
        <v>0</v>
      </c>
      <c r="K1740" s="8">
        <f>SUMPRODUCT(B1740:I1740,weights!$B$5:$I$5)</f>
        <v>0</v>
      </c>
      <c r="L1740" s="4">
        <f t="shared" si="54"/>
        <v>305.29169692207381</v>
      </c>
      <c r="M1740" s="4">
        <f>L1740/MAX(L$2:L1740)-1</f>
        <v>-5.749722160834736E-2</v>
      </c>
      <c r="N1740" s="4">
        <f t="shared" si="53"/>
        <v>-4.5728524979480656E-2</v>
      </c>
    </row>
    <row r="1741" spans="1:14">
      <c r="A1741" s="3">
        <f>prices!A1742</f>
        <v>46038</v>
      </c>
      <c r="B1741" s="5">
        <f>prices!B1742/prices!B1741-1</f>
        <v>-6.1979629361808009E-4</v>
      </c>
      <c r="C1741" s="5">
        <f>prices!C1742/prices!C1741-1</f>
        <v>2.2709544053980402E-2</v>
      </c>
      <c r="D1741" s="5">
        <f>prices!D1742/prices!D1741-1</f>
        <v>6.10727270730127E-3</v>
      </c>
      <c r="E1741" s="5">
        <f>prices!E1742/prices!E1741-1</f>
        <v>5.6261215523242036E-2</v>
      </c>
      <c r="F1741" s="5">
        <f>prices!F1742/prices!F1741-1</f>
        <v>-1.6573720157904703E-2</v>
      </c>
      <c r="G1741" s="5">
        <f>prices!G1742/prices!G1741-1</f>
        <v>-1.8140375451805357E-2</v>
      </c>
      <c r="H1741" s="5">
        <f>prices!H1742/prices!H1741-1</f>
        <v>-1.8702790584521511E-2</v>
      </c>
      <c r="I1741" s="5">
        <f>prices!I1742/prices!I1741-1</f>
        <v>-2.4318189535603718E-3</v>
      </c>
      <c r="J1741" s="5">
        <f>prices!J1742/prices!J1741-1</f>
        <v>1.1201764229162858E-3</v>
      </c>
      <c r="K1741" s="8">
        <f>SUMPRODUCT(B1741:I1741,weights!$B$5:$I$5)</f>
        <v>-1.0743755753862946E-3</v>
      </c>
      <c r="L1741" s="4">
        <f t="shared" si="54"/>
        <v>304.96369897953252</v>
      </c>
      <c r="M1741" s="4">
        <f>L1741/MAX(L$2:L1741)-1</f>
        <v>-5.8509823573185016E-2</v>
      </c>
      <c r="N1741" s="4">
        <f t="shared" si="53"/>
        <v>-4.3445761846541697E-2</v>
      </c>
    </row>
    <row r="1742" spans="1:14">
      <c r="A1742" s="3">
        <f>prices!A1743</f>
        <v>46041</v>
      </c>
      <c r="B1742" s="5">
        <f>prices!B1743/prices!B1742-1</f>
        <v>-3.0388853285924111E-2</v>
      </c>
      <c r="C1742" s="5">
        <f>prices!C1743/prices!C1742-1</f>
        <v>-1.3440116953488679E-2</v>
      </c>
      <c r="D1742" s="5">
        <f>prices!D1743/prices!D1742-1</f>
        <v>-3.4390523500191783E-3</v>
      </c>
      <c r="E1742" s="5">
        <f>prices!E1743/prices!E1742-1</f>
        <v>-5.0906584603479521E-3</v>
      </c>
      <c r="F1742" s="5">
        <f>prices!F1743/prices!F1742-1</f>
        <v>1.2138010130937626E-2</v>
      </c>
      <c r="G1742" s="5">
        <f>prices!G1743/prices!G1742-1</f>
        <v>1.9988778006421182E-2</v>
      </c>
      <c r="H1742" s="5">
        <f>prices!H1743/prices!H1742-1</f>
        <v>3.9001324231009438E-3</v>
      </c>
      <c r="I1742" s="5">
        <f>prices!I1743/prices!I1742-1</f>
        <v>3.4746406221362047E-3</v>
      </c>
      <c r="J1742" s="5">
        <f>prices!J1743/prices!J1742-1</f>
        <v>-4.2363398957357967E-3</v>
      </c>
      <c r="K1742" s="8">
        <f>SUMPRODUCT(B1742:I1742,weights!$B$5:$I$5)</f>
        <v>4.3792480987074318E-4</v>
      </c>
      <c r="L1742" s="4">
        <f t="shared" si="54"/>
        <v>305.09725014942558</v>
      </c>
      <c r="M1742" s="4">
        <f>L1742/MAX(L$2:L1742)-1</f>
        <v>-5.8097521666678253E-2</v>
      </c>
      <c r="N1742" s="4">
        <f t="shared" si="53"/>
        <v>-4.8670741143837848E-2</v>
      </c>
    </row>
    <row r="1743" spans="1:14">
      <c r="A1743" s="3">
        <f>prices!A1744</f>
        <v>46042</v>
      </c>
      <c r="B1743" s="5">
        <f>prices!B1744/prices!B1743-1</f>
        <v>-1.3865495455159249E-2</v>
      </c>
      <c r="C1743" s="5">
        <f>prices!C1744/prices!C1743-1</f>
        <v>-1.9376598609652573E-2</v>
      </c>
      <c r="D1743" s="5">
        <f>prices!D1744/prices!D1743-1</f>
        <v>3.5604732690621699E-3</v>
      </c>
      <c r="E1743" s="5">
        <f>prices!E1744/prices!E1743-1</f>
        <v>-1.3265758785602655E-2</v>
      </c>
      <c r="F1743" s="5">
        <f>prices!F1744/prices!F1743-1</f>
        <v>-2.0679886685552429E-2</v>
      </c>
      <c r="G1743" s="5">
        <f>prices!G1744/prices!G1743-1</f>
        <v>-1.8360728210020993E-2</v>
      </c>
      <c r="H1743" s="5">
        <f>prices!H1744/prices!H1743-1</f>
        <v>-3.6771792030067862E-2</v>
      </c>
      <c r="I1743" s="5">
        <f>prices!I1744/prices!I1743-1</f>
        <v>-1.532472073416713E-2</v>
      </c>
      <c r="J1743" s="5">
        <f>prices!J1744/prices!J1743-1</f>
        <v>-1.3796877137441155E-2</v>
      </c>
      <c r="K1743" s="8">
        <f>SUMPRODUCT(B1743:I1743,weights!$B$5:$I$5)</f>
        <v>-1.8188804327541525E-2</v>
      </c>
      <c r="L1743" s="4">
        <f t="shared" si="54"/>
        <v>299.54789596558669</v>
      </c>
      <c r="M1743" s="4">
        <f>L1743/MAX(L$2:L1743)-1</f>
        <v>-7.5229601540709345E-2</v>
      </c>
      <c r="N1743" s="4">
        <f t="shared" si="53"/>
        <v>-7.5229601540709345E-2</v>
      </c>
    </row>
    <row r="1744" spans="1:14">
      <c r="A1744" s="3">
        <f>prices!A1745</f>
        <v>46043</v>
      </c>
      <c r="B1744" s="5">
        <f>prices!B1745/prices!B1744-1</f>
        <v>7.6103720145865861E-3</v>
      </c>
      <c r="C1744" s="5">
        <f>prices!C1745/prices!C1744-1</f>
        <v>6.5437845544347173E-3</v>
      </c>
      <c r="D1744" s="5">
        <f>prices!D1745/prices!D1744-1</f>
        <v>-1.1647835816822161E-2</v>
      </c>
      <c r="E1744" s="5">
        <f>prices!E1745/prices!E1744-1</f>
        <v>-2.7097600630635599E-3</v>
      </c>
      <c r="F1744" s="5">
        <f>prices!F1745/prices!F1744-1</f>
        <v>-4.7568540481471855E-3</v>
      </c>
      <c r="G1744" s="5">
        <f>prices!G1745/prices!G1744-1</f>
        <v>-6.8640191436863951E-3</v>
      </c>
      <c r="H1744" s="5">
        <f>prices!H1745/prices!H1744-1</f>
        <v>-5.5653174419556528E-4</v>
      </c>
      <c r="I1744" s="5">
        <f>prices!I1745/prices!I1744-1</f>
        <v>-1.1545881430131022E-2</v>
      </c>
      <c r="J1744" s="5">
        <f>prices!J1745/prices!J1744-1</f>
        <v>-2.9723570791637677E-3</v>
      </c>
      <c r="K1744" s="8">
        <f>SUMPRODUCT(B1744:I1744,weights!$B$5:$I$5)</f>
        <v>-3.6429149199934899E-3</v>
      </c>
      <c r="L1744" s="4">
        <f t="shared" si="54"/>
        <v>298.45666846612102</v>
      </c>
      <c r="M1744" s="4">
        <f>L1744/MAX(L$2:L1744)-1</f>
        <v>-7.8598461422825006E-2</v>
      </c>
      <c r="N1744" s="4">
        <f t="shared" si="53"/>
        <v>-7.6015966530632584E-2</v>
      </c>
    </row>
    <row r="1745" spans="1:14">
      <c r="A1745" s="3">
        <f>prices!A1746</f>
        <v>46044</v>
      </c>
      <c r="B1745" s="5">
        <f>prices!B1746/prices!B1745-1</f>
        <v>-1.4948431487549207E-3</v>
      </c>
      <c r="C1745" s="5">
        <f>prices!C1746/prices!C1745-1</f>
        <v>8.9033070825024208E-3</v>
      </c>
      <c r="D1745" s="5">
        <f>prices!D1746/prices!D1745-1</f>
        <v>-1.800349024718928E-3</v>
      </c>
      <c r="E1745" s="5">
        <f>prices!E1746/prices!E1745-1</f>
        <v>5.5021736982512337E-3</v>
      </c>
      <c r="F1745" s="5">
        <f>prices!F1746/prices!F1745-1</f>
        <v>2.9065073470047054E-4</v>
      </c>
      <c r="G1745" s="5">
        <f>prices!G1746/prices!G1745-1</f>
        <v>-3.1703942817618014E-4</v>
      </c>
      <c r="H1745" s="5">
        <f>prices!H1746/prices!H1745-1</f>
        <v>1.320778326972416E-2</v>
      </c>
      <c r="I1745" s="5">
        <f>prices!I1746/prices!I1745-1</f>
        <v>7.24651280002786E-3</v>
      </c>
      <c r="J1745" s="5">
        <f>prices!J1746/prices!J1745-1</f>
        <v>5.2628440822817257E-3</v>
      </c>
      <c r="K1745" s="8">
        <f>SUMPRODUCT(B1745:I1745,weights!$B$5:$I$5)</f>
        <v>4.3061295493077075E-3</v>
      </c>
      <c r="L1745" s="4">
        <f t="shared" si="54"/>
        <v>299.74186154539092</v>
      </c>
      <c r="M1745" s="4">
        <f>L1745/MAX(L$2:L1745)-1</f>
        <v>-7.4630787030780188E-2</v>
      </c>
      <c r="N1745" s="4">
        <f t="shared" si="53"/>
        <v>-7.0526781248127168E-2</v>
      </c>
    </row>
    <row r="1746" spans="1:14">
      <c r="A1746" s="3">
        <f>prices!A1747</f>
        <v>46045</v>
      </c>
      <c r="B1746" s="5">
        <f>prices!B1747/prices!B1746-1</f>
        <v>-1.1697288779055182E-2</v>
      </c>
      <c r="C1746" s="5">
        <f>prices!C1747/prices!C1746-1</f>
        <v>3.8397960735092607E-3</v>
      </c>
      <c r="D1746" s="5">
        <f>prices!D1747/prices!D1746-1</f>
        <v>-2.8326417704011009E-3</v>
      </c>
      <c r="E1746" s="5">
        <f>prices!E1747/prices!E1746-1</f>
        <v>4.3850221400627554E-3</v>
      </c>
      <c r="F1746" s="5">
        <f>prices!F1747/prices!F1746-1</f>
        <v>-4.4553496480919108E-3</v>
      </c>
      <c r="G1746" s="5">
        <f>prices!G1747/prices!G1746-1</f>
        <v>-1.8775967837521779E-2</v>
      </c>
      <c r="H1746" s="5">
        <f>prices!H1747/prices!H1746-1</f>
        <v>-1.4079201684563669E-3</v>
      </c>
      <c r="I1746" s="5">
        <f>prices!I1747/prices!I1746-1</f>
        <v>-1.3177716856085708E-2</v>
      </c>
      <c r="J1746" s="5">
        <f>prices!J1747/prices!J1746-1</f>
        <v>-9.5393813340503009E-3</v>
      </c>
      <c r="K1746" s="8">
        <f>SUMPRODUCT(B1746:I1746,weights!$B$5:$I$5)</f>
        <v>-7.8212244641250993E-3</v>
      </c>
      <c r="L1746" s="4">
        <f t="shared" si="54"/>
        <v>297.39751316494971</v>
      </c>
      <c r="M1746" s="4">
        <f>L1746/MAX(L$2:L1746)-1</f>
        <v>-8.1868307357603309E-2</v>
      </c>
      <c r="N1746" s="4">
        <f t="shared" si="53"/>
        <v>-7.2904562991366051E-2</v>
      </c>
    </row>
    <row r="1747" spans="1:14">
      <c r="A1747" s="3">
        <f>prices!A1748</f>
        <v>46049</v>
      </c>
      <c r="B1747" s="5">
        <f>prices!B1748/prices!B1747-1</f>
        <v>-4.0370509958541634E-3</v>
      </c>
      <c r="C1747" s="5">
        <f>prices!C1748/prices!C1747-1</f>
        <v>-1.4243453489645175E-3</v>
      </c>
      <c r="D1747" s="5">
        <f>prices!D1748/prices!D1747-1</f>
        <v>1.1251789300813275E-2</v>
      </c>
      <c r="E1747" s="5">
        <f>prices!E1748/prices!E1747-1</f>
        <v>7.1235959178430619E-3</v>
      </c>
      <c r="F1747" s="5">
        <f>prices!F1748/prices!F1747-1</f>
        <v>-1.4690621351666988E-2</v>
      </c>
      <c r="G1747" s="5">
        <f>prices!G1748/prices!G1747-1</f>
        <v>-1.4480394954290543E-2</v>
      </c>
      <c r="H1747" s="5">
        <f>prices!H1748/prices!H1747-1</f>
        <v>4.2915535547543016E-3</v>
      </c>
      <c r="I1747" s="5">
        <f>prices!I1748/prices!I1747-1</f>
        <v>1.1751569078565671E-2</v>
      </c>
      <c r="J1747" s="5">
        <f>prices!J1748/prices!J1747-1</f>
        <v>5.0601529423741631E-3</v>
      </c>
      <c r="K1747" s="8">
        <f>SUMPRODUCT(B1747:I1747,weights!$B$5:$I$5)</f>
        <v>-2.7929682292130407E-4</v>
      </c>
      <c r="L1747" s="4">
        <f t="shared" si="54"/>
        <v>297.31445098437808</v>
      </c>
      <c r="M1747" s="4">
        <f>L1747/MAX(L$2:L1747)-1</f>
        <v>-8.2124738622381566E-2</v>
      </c>
      <c r="N1747" s="4">
        <f t="shared" si="53"/>
        <v>-6.9384583086480989E-2</v>
      </c>
    </row>
    <row r="1748" spans="1:14">
      <c r="A1748" s="3">
        <f>prices!A1749</f>
        <v>46050</v>
      </c>
      <c r="B1748" s="5">
        <f>prices!B1749/prices!B1748-1</f>
        <v>1.1730888185423671E-2</v>
      </c>
      <c r="C1748" s="5">
        <f>prices!C1749/prices!C1748-1</f>
        <v>1.3331138907175744E-2</v>
      </c>
      <c r="D1748" s="5">
        <f>prices!D1749/prices!D1748-1</f>
        <v>6.7922706374199393E-3</v>
      </c>
      <c r="E1748" s="5">
        <f>prices!E1749/prices!E1748-1</f>
        <v>-9.6292788362293269E-3</v>
      </c>
      <c r="F1748" s="5">
        <f>prices!F1749/prices!F1748-1</f>
        <v>7.8662409900274177E-3</v>
      </c>
      <c r="G1748" s="5">
        <f>prices!G1749/prices!G1748-1</f>
        <v>-2.4138995668311125E-2</v>
      </c>
      <c r="H1748" s="5">
        <f>prices!H1749/prices!H1748-1</f>
        <v>-1.7271423029795452E-2</v>
      </c>
      <c r="I1748" s="5">
        <f>prices!I1749/prices!I1748-1</f>
        <v>1.6368270081787983E-3</v>
      </c>
      <c r="J1748" s="5">
        <f>prices!J1749/prices!J1748-1</f>
        <v>6.6473621074540912E-3</v>
      </c>
      <c r="K1748" s="8">
        <f>SUMPRODUCT(B1748:I1748,weights!$B$5:$I$5)</f>
        <v>-3.9647367452078355E-3</v>
      </c>
      <c r="L1748" s="4">
        <f t="shared" si="54"/>
        <v>296.13567745567906</v>
      </c>
      <c r="M1748" s="4">
        <f>L1748/MAX(L$2:L1748)-1</f>
        <v>-8.576387239868255E-2</v>
      </c>
      <c r="N1748" s="4">
        <f t="shared" si="53"/>
        <v>-7.2958817513380514E-2</v>
      </c>
    </row>
    <row r="1749" spans="1:14">
      <c r="A1749" s="3">
        <f>prices!A1750</f>
        <v>46051</v>
      </c>
      <c r="B1749" s="5">
        <f>prices!B1750/prices!B1749-1</f>
        <v>-4.0783444942349423E-3</v>
      </c>
      <c r="C1749" s="5">
        <f>prices!C1750/prices!C1749-1</f>
        <v>-1.7404070609890909E-2</v>
      </c>
      <c r="D1749" s="5">
        <f>prices!D1750/prices!D1749-1</f>
        <v>3.0081088150666346E-3</v>
      </c>
      <c r="E1749" s="5">
        <f>prices!E1750/prices!E1749-1</f>
        <v>-4.1993624325650236E-3</v>
      </c>
      <c r="F1749" s="5">
        <f>prices!F1750/prices!F1749-1</f>
        <v>-7.9681274900400556E-3</v>
      </c>
      <c r="G1749" s="5">
        <f>prices!G1750/prices!G1749-1</f>
        <v>-2.5207277032917252E-2</v>
      </c>
      <c r="H1749" s="5">
        <f>prices!H1750/prices!H1749-1</f>
        <v>-1.3220385709452165E-2</v>
      </c>
      <c r="I1749" s="5">
        <f>prices!I1750/prices!I1749-1</f>
        <v>3.6611396481516012E-2</v>
      </c>
      <c r="J1749" s="5">
        <f>prices!J1750/prices!J1749-1</f>
        <v>3.004804135305017E-3</v>
      </c>
      <c r="K1749" s="8">
        <f>SUMPRODUCT(B1749:I1749,weights!$B$5:$I$5)</f>
        <v>-2.5271230241166219E-3</v>
      </c>
      <c r="L1749" s="4">
        <f t="shared" si="54"/>
        <v>295.38730616691845</v>
      </c>
      <c r="M1749" s="4">
        <f>L1749/MAX(L$2:L1749)-1</f>
        <v>-8.8074259566223057E-2</v>
      </c>
      <c r="N1749" s="4">
        <f t="shared" si="53"/>
        <v>-7.8712785699455612E-2</v>
      </c>
    </row>
    <row r="1750" spans="1:14">
      <c r="A1750" s="3">
        <f>prices!A1751</f>
        <v>46052</v>
      </c>
      <c r="B1750" s="5">
        <f>prices!B1751/prices!B1750-1</f>
        <v>3.163368481872153E-3</v>
      </c>
      <c r="C1750" s="5">
        <f>prices!C1751/prices!C1750-1</f>
        <v>-6.5209922798192821E-3</v>
      </c>
      <c r="D1750" s="5">
        <f>prices!D1751/prices!D1750-1</f>
        <v>-6.6827487286478249E-3</v>
      </c>
      <c r="E1750" s="5">
        <f>prices!E1751/prices!E1750-1</f>
        <v>-1.1149075014621146E-2</v>
      </c>
      <c r="F1750" s="5">
        <f>prices!F1751/prices!F1750-1</f>
        <v>1.1159391665020779E-2</v>
      </c>
      <c r="G1750" s="5">
        <f>prices!G1751/prices!G1750-1</f>
        <v>6.689047068492382E-3</v>
      </c>
      <c r="H1750" s="5">
        <f>prices!H1751/prices!H1750-1</f>
        <v>3.7716201457851373E-3</v>
      </c>
      <c r="I1750" s="5">
        <f>prices!I1751/prices!I1750-1</f>
        <v>-1.5404918276906709E-4</v>
      </c>
      <c r="J1750" s="5">
        <f>prices!J1751/prices!J1750-1</f>
        <v>-3.8652341368037302E-3</v>
      </c>
      <c r="K1750" s="8">
        <f>SUMPRODUCT(B1750:I1750,weights!$B$5:$I$5)</f>
        <v>1.1601628589969716E-3</v>
      </c>
      <c r="L1750" s="4">
        <f t="shared" si="54"/>
        <v>295.73000354855247</v>
      </c>
      <c r="M1750" s="4">
        <f>L1750/MAX(L$2:L1750)-1</f>
        <v>-8.701627719200844E-2</v>
      </c>
      <c r="N1750" s="4">
        <f t="shared" si="53"/>
        <v>-7.4521770316321456E-2</v>
      </c>
    </row>
    <row r="1751" spans="1:14">
      <c r="A1751" s="3">
        <f>prices!A1752</f>
        <v>46055</v>
      </c>
      <c r="B1751" s="5">
        <f>prices!B1752/prices!B1751-1</f>
        <v>-3.5853648000691019E-3</v>
      </c>
      <c r="C1751" s="5">
        <f>prices!C1752/prices!C1751-1</f>
        <v>1.4631520568949119E-2</v>
      </c>
      <c r="D1751" s="5">
        <f>prices!D1752/prices!D1751-1</f>
        <v>-1.2361480314615481E-3</v>
      </c>
      <c r="E1751" s="5">
        <f>prices!E1752/prices!E1751-1</f>
        <v>-7.0661918517780364E-3</v>
      </c>
      <c r="F1751" s="5">
        <f>prices!F1752/prices!F1751-1</f>
        <v>-2.3114236416316825E-2</v>
      </c>
      <c r="G1751" s="5">
        <f>prices!G1752/prices!G1751-1</f>
        <v>-1.4726882267964814E-2</v>
      </c>
      <c r="H1751" s="5">
        <f>prices!H1752/prices!H1751-1</f>
        <v>2.0438242475614654E-2</v>
      </c>
      <c r="I1751" s="5">
        <f>prices!I1752/prices!I1751-1</f>
        <v>-2.7964234540067689E-3</v>
      </c>
      <c r="J1751" s="5">
        <f>prices!J1752/prices!J1751-1</f>
        <v>-9.1723553700240323E-3</v>
      </c>
      <c r="K1751" s="8">
        <f>SUMPRODUCT(B1751:I1751,weights!$B$5:$I$5)</f>
        <v>-2.1262666947852614E-3</v>
      </c>
      <c r="L1751" s="4">
        <f t="shared" si="54"/>
        <v>295.10120269135848</v>
      </c>
      <c r="M1751" s="4">
        <f>L1751/MAX(L$2:L1751)-1</f>
        <v>-8.8957524074696037E-2</v>
      </c>
      <c r="N1751" s="4">
        <f t="shared" ref="N1751:N1814" si="55">L1751/L1731-1</f>
        <v>-8.0879923384395869E-2</v>
      </c>
    </row>
    <row r="1752" spans="1:14">
      <c r="A1752" s="3">
        <f>prices!A1753</f>
        <v>46056</v>
      </c>
      <c r="B1752" s="5">
        <f>prices!B1753/prices!B1752-1</f>
        <v>3.3591040462427779E-2</v>
      </c>
      <c r="C1752" s="5">
        <f>prices!C1753/prices!C1752-1</f>
        <v>1.7571499766892318E-2</v>
      </c>
      <c r="D1752" s="5">
        <f>prices!D1753/prices!D1752-1</f>
        <v>2.2190580503833601E-2</v>
      </c>
      <c r="E1752" s="5">
        <f>prices!E1753/prices!E1752-1</f>
        <v>1.6320874793873008E-2</v>
      </c>
      <c r="F1752" s="5">
        <f>prices!F1753/prices!F1752-1</f>
        <v>6.1652281134403353E-3</v>
      </c>
      <c r="G1752" s="5">
        <f>prices!G1753/prices!G1752-1</f>
        <v>2.7669444097246254E-2</v>
      </c>
      <c r="H1752" s="5">
        <f>prices!H1753/prices!H1752-1</f>
        <v>4.5574861917838883E-2</v>
      </c>
      <c r="I1752" s="5">
        <f>prices!I1753/prices!I1752-1</f>
        <v>2.9963665579123333E-2</v>
      </c>
      <c r="J1752" s="5">
        <f>prices!J1753/prices!J1752-1</f>
        <v>2.5475917156932981E-2</v>
      </c>
      <c r="K1752" s="8">
        <f>SUMPRODUCT(B1752:I1752,weights!$B$5:$I$5)</f>
        <v>2.7522019966178087E-2</v>
      </c>
      <c r="L1752" s="4">
        <f t="shared" si="54"/>
        <v>303.22298388387321</v>
      </c>
      <c r="M1752" s="4">
        <f>L1752/MAX(L$2:L1752)-1</f>
        <v>-6.3883794862243493E-2</v>
      </c>
      <c r="N1752" s="4">
        <f t="shared" si="55"/>
        <v>-5.1792014343207904E-2</v>
      </c>
    </row>
    <row r="1753" spans="1:14">
      <c r="A1753" s="3">
        <f>prices!A1754</f>
        <v>46057</v>
      </c>
      <c r="B1753" s="5">
        <f>prices!B1754/prices!B1753-1</f>
        <v>1.3708589364483492E-2</v>
      </c>
      <c r="C1753" s="5">
        <f>prices!C1754/prices!C1753-1</f>
        <v>-7.0133973710818975E-2</v>
      </c>
      <c r="D1753" s="5">
        <f>prices!D1754/prices!D1753-1</f>
        <v>4.639650258234651E-3</v>
      </c>
      <c r="E1753" s="5">
        <f>prices!E1754/prices!E1753-1</f>
        <v>-7.2582237247982628E-2</v>
      </c>
      <c r="F1753" s="5">
        <f>prices!F1754/prices!F1753-1</f>
        <v>1.1956809750927277E-2</v>
      </c>
      <c r="G1753" s="5">
        <f>prices!G1754/prices!G1753-1</f>
        <v>1.9551049469013204E-2</v>
      </c>
      <c r="H1753" s="5">
        <f>prices!H1754/prices!H1753-1</f>
        <v>1.3517599558898752E-3</v>
      </c>
      <c r="I1753" s="5">
        <f>prices!I1754/prices!I1753-1</f>
        <v>1.1960807354496561E-2</v>
      </c>
      <c r="J1753" s="5">
        <f>prices!J1754/prices!J1753-1</f>
        <v>1.8831952517825989E-3</v>
      </c>
      <c r="K1753" s="8">
        <f>SUMPRODUCT(B1753:I1753,weights!$B$5:$I$5)</f>
        <v>-2.8588326586388123E-3</v>
      </c>
      <c r="L1753" s="4">
        <f t="shared" si="54"/>
        <v>302.35612011469607</v>
      </c>
      <c r="M1753" s="4">
        <f>L1753/MAX(L$2:L1753)-1</f>
        <v>-6.6559994441772408E-2</v>
      </c>
      <c r="N1753" s="4">
        <f t="shared" si="55"/>
        <v>-5.1297785382606542E-2</v>
      </c>
    </row>
    <row r="1754" spans="1:14">
      <c r="A1754" s="3">
        <f>prices!A1755</f>
        <v>46058</v>
      </c>
      <c r="B1754" s="5">
        <f>prices!B1755/prices!B1754-1</f>
        <v>-9.1993655609957647E-3</v>
      </c>
      <c r="C1754" s="5">
        <f>prices!C1755/prices!C1754-1</f>
        <v>-2.5315681450572836E-3</v>
      </c>
      <c r="D1754" s="5">
        <f>prices!D1755/prices!D1754-1</f>
        <v>-3.5623246834970423E-3</v>
      </c>
      <c r="E1754" s="5">
        <f>prices!E1755/prices!E1754-1</f>
        <v>-1.0157855874194266E-2</v>
      </c>
      <c r="F1754" s="5">
        <f>prices!F1755/prices!F1754-1</f>
        <v>-1.1651883612083691E-2</v>
      </c>
      <c r="G1754" s="5">
        <f>prices!G1755/prices!G1754-1</f>
        <v>-7.9618528062508354E-4</v>
      </c>
      <c r="H1754" s="5">
        <f>prices!H1755/prices!H1754-1</f>
        <v>5.4352652800226942E-3</v>
      </c>
      <c r="I1754" s="5">
        <f>prices!I1755/prices!I1754-1</f>
        <v>-5.8232470346405441E-3</v>
      </c>
      <c r="J1754" s="5">
        <f>prices!J1755/prices!J1754-1</f>
        <v>-5.16759776536313E-3</v>
      </c>
      <c r="K1754" s="8">
        <f>SUMPRODUCT(B1754:I1754,weights!$B$5:$I$5)</f>
        <v>-3.9754143178892375E-3</v>
      </c>
      <c r="L1754" s="4">
        <f t="shared" si="54"/>
        <v>301.15412926569064</v>
      </c>
      <c r="M1754" s="4">
        <f>L1754/MAX(L$2:L1754)-1</f>
        <v>-7.0270805204759257E-2</v>
      </c>
      <c r="N1754" s="4">
        <f t="shared" si="55"/>
        <v>-5.332557797748938E-2</v>
      </c>
    </row>
    <row r="1755" spans="1:14">
      <c r="A1755" s="3">
        <f>prices!A1756</f>
        <v>46059</v>
      </c>
      <c r="B1755" s="5">
        <f>prices!B1756/prices!B1755-1</f>
        <v>5.1226370444610314E-3</v>
      </c>
      <c r="C1755" s="5">
        <f>prices!C1756/prices!C1755-1</f>
        <v>-1.6682621389321306E-2</v>
      </c>
      <c r="D1755" s="5">
        <f>prices!D1756/prices!D1755-1</f>
        <v>-9.0553920256890574E-3</v>
      </c>
      <c r="E1755" s="5">
        <f>prices!E1756/prices!E1755-1</f>
        <v>-8.6155913978493981E-3</v>
      </c>
      <c r="F1755" s="5">
        <f>prices!F1756/prices!F1755-1</f>
        <v>5.030301023280459E-2</v>
      </c>
      <c r="G1755" s="5">
        <f>prices!G1756/prices!G1755-1</f>
        <v>-4.117572490135446E-3</v>
      </c>
      <c r="H1755" s="5">
        <f>prices!H1756/prices!H1755-1</f>
        <v>-4.4047934516974196E-3</v>
      </c>
      <c r="I1755" s="5">
        <f>prices!I1756/prices!I1755-1</f>
        <v>1.1804174950298396E-3</v>
      </c>
      <c r="J1755" s="5">
        <f>prices!J1756/prices!J1755-1</f>
        <v>1.9849626405852305E-3</v>
      </c>
      <c r="K1755" s="8">
        <f>SUMPRODUCT(B1755:I1755,weights!$B$5:$I$5)</f>
        <v>7.5787814560486976E-4</v>
      </c>
      <c r="L1755" s="4">
        <f t="shared" si="54"/>
        <v>301.38236739871974</v>
      </c>
      <c r="M1755" s="4">
        <f>L1755/MAX(L$2:L1755)-1</f>
        <v>-6.9566183766693324E-2</v>
      </c>
      <c r="N1755" s="4">
        <f t="shared" si="55"/>
        <v>-3.6705535496528885E-2</v>
      </c>
    </row>
    <row r="1756" spans="1:14">
      <c r="A1756" s="3">
        <f>prices!A1757</f>
        <v>46062</v>
      </c>
      <c r="B1756" s="5">
        <f>prices!B1757/prices!B1756-1</f>
        <v>7.443979724676586E-3</v>
      </c>
      <c r="C1756" s="5">
        <f>prices!C1757/prices!C1756-1</f>
        <v>2.2449955307959346E-3</v>
      </c>
      <c r="D1756" s="5">
        <f>prices!D1757/prices!D1756-1</f>
        <v>-4.093800969982353E-3</v>
      </c>
      <c r="E1756" s="5">
        <f>prices!E1757/prices!E1756-1</f>
        <v>-6.5686899225857465E-3</v>
      </c>
      <c r="F1756" s="5">
        <f>prices!F1757/prices!F1756-1</f>
        <v>-9.206709547231684E-3</v>
      </c>
      <c r="G1756" s="5">
        <f>prices!G1757/prices!G1756-1</f>
        <v>-1.2668475230133147E-3</v>
      </c>
      <c r="H1756" s="5">
        <f>prices!H1757/prices!H1756-1</f>
        <v>5.6013296503754084E-3</v>
      </c>
      <c r="I1756" s="5">
        <f>prices!I1757/prices!I1756-1</f>
        <v>1.118461061123166E-2</v>
      </c>
      <c r="J1756" s="5">
        <f>prices!J1757/prices!J1756-1</f>
        <v>6.7565200807979675E-3</v>
      </c>
      <c r="K1756" s="8">
        <f>SUMPRODUCT(B1756:I1756,weights!$B$5:$I$5)</f>
        <v>2.3155144302162457E-3</v>
      </c>
      <c r="L1756" s="4">
        <f t="shared" si="54"/>
        <v>302.08022261944421</v>
      </c>
      <c r="M1756" s="4">
        <f>L1756/MAX(L$2:L1756)-1</f>
        <v>-6.7411750838843876E-2</v>
      </c>
      <c r="N1756" s="4">
        <f t="shared" si="55"/>
        <v>-2.8972600569460716E-2</v>
      </c>
    </row>
    <row r="1757" spans="1:14">
      <c r="A1757" s="3">
        <f>prices!A1758</f>
        <v>46063</v>
      </c>
      <c r="B1757" s="5">
        <f>prices!B1758/prices!B1757-1</f>
        <v>-2.1170276382082021E-3</v>
      </c>
      <c r="C1757" s="5">
        <f>prices!C1758/prices!C1757-1</f>
        <v>1.2347471395485421E-2</v>
      </c>
      <c r="D1757" s="5">
        <f>prices!D1758/prices!D1757-1</f>
        <v>-5.1735357917570557E-3</v>
      </c>
      <c r="E1757" s="5">
        <f>prices!E1758/prices!E1757-1</f>
        <v>4.0259571883805023E-4</v>
      </c>
      <c r="F1757" s="5">
        <f>prices!F1758/prices!F1757-1</f>
        <v>-4.3279022403258649E-3</v>
      </c>
      <c r="G1757" s="5">
        <f>prices!G1758/prices!G1757-1</f>
        <v>1.1216482220395507E-2</v>
      </c>
      <c r="H1757" s="5">
        <f>prices!H1758/prices!H1757-1</f>
        <v>1.8821979366403507E-3</v>
      </c>
      <c r="I1757" s="5">
        <f>prices!I1758/prices!I1757-1</f>
        <v>1.3466509238280633E-2</v>
      </c>
      <c r="J1757" s="5">
        <f>prices!J1758/prices!J1757-1</f>
        <v>2.6230027873028749E-3</v>
      </c>
      <c r="K1757" s="8">
        <f>SUMPRODUCT(B1757:I1757,weights!$B$5:$I$5)</f>
        <v>5.2189823611115543E-3</v>
      </c>
      <c r="L1757" s="4">
        <f t="shared" si="54"/>
        <v>303.65677397293575</v>
      </c>
      <c r="M1757" s="4">
        <f>L1757/MAX(L$2:L1757)-1</f>
        <v>-6.2544589216291913E-2</v>
      </c>
      <c r="N1757" s="4">
        <f t="shared" si="55"/>
        <v>-2.5782010657210419E-2</v>
      </c>
    </row>
    <row r="1758" spans="1:14">
      <c r="A1758" s="3">
        <f>prices!A1759</f>
        <v>46064</v>
      </c>
      <c r="B1758" s="5">
        <f>prices!B1759/prices!B1758-1</f>
        <v>6.9913692751706336E-3</v>
      </c>
      <c r="C1758" s="5">
        <f>prices!C1759/prices!C1758-1</f>
        <v>-2.5062998955139304E-2</v>
      </c>
      <c r="D1758" s="5">
        <f>prices!D1759/prices!D1758-1</f>
        <v>-5.6801456559424368E-3</v>
      </c>
      <c r="E1758" s="5">
        <f>prices!E1759/prices!E1758-1</f>
        <v>-1.7297828222197942E-2</v>
      </c>
      <c r="F1758" s="5">
        <f>prices!F1759/prices!F1758-1</f>
        <v>-9.8120685246739781E-3</v>
      </c>
      <c r="G1758" s="5">
        <f>prices!G1759/prices!G1758-1</f>
        <v>1.7562719233898516E-2</v>
      </c>
      <c r="H1758" s="5">
        <f>prices!H1759/prices!H1758-1</f>
        <v>1.9314992896311001E-3</v>
      </c>
      <c r="I1758" s="5">
        <f>prices!I1759/prices!I1758-1</f>
        <v>3.3667016254645965E-4</v>
      </c>
      <c r="J1758" s="5">
        <f>prices!J1759/prices!J1758-1</f>
        <v>7.2102918240291025E-4</v>
      </c>
      <c r="K1758" s="8">
        <f>SUMPRODUCT(B1758:I1758,weights!$B$5:$I$5)</f>
        <v>-2.476932259725819E-4</v>
      </c>
      <c r="L1758" s="4">
        <f t="shared" si="54"/>
        <v>303.58156024700196</v>
      </c>
      <c r="M1758" s="4">
        <f>L1758/MAX(L$2:L1758)-1</f>
        <v>-6.2776790571194341E-2</v>
      </c>
      <c r="N1758" s="4">
        <f t="shared" si="55"/>
        <v>-1.4722996951811451E-2</v>
      </c>
    </row>
    <row r="1759" spans="1:14">
      <c r="A1759" s="3">
        <f>prices!A1760</f>
        <v>46065</v>
      </c>
      <c r="B1759" s="5">
        <f>prices!B1760/prices!B1759-1</f>
        <v>-1.3482085448103254E-2</v>
      </c>
      <c r="C1759" s="5">
        <f>prices!C1760/prices!C1759-1</f>
        <v>-5.4885437899706346E-2</v>
      </c>
      <c r="D1759" s="5">
        <f>prices!D1760/prices!D1759-1</f>
        <v>-7.017389969518173E-3</v>
      </c>
      <c r="E1759" s="5">
        <f>prices!E1760/prices!E1759-1</f>
        <v>-5.8359709034371599E-2</v>
      </c>
      <c r="F1759" s="5">
        <f>prices!F1760/prices!F1759-1</f>
        <v>-2.5176721216230158E-3</v>
      </c>
      <c r="G1759" s="5">
        <f>prices!G1760/prices!G1759-1</f>
        <v>-5.5804010286549799E-3</v>
      </c>
      <c r="H1759" s="5">
        <f>prices!H1760/prices!H1759-1</f>
        <v>2.2207508364437967E-3</v>
      </c>
      <c r="I1759" s="5">
        <f>prices!I1760/prices!I1759-1</f>
        <v>3.7166530268324394E-3</v>
      </c>
      <c r="J1759" s="5">
        <f>prices!J1760/prices!J1759-1</f>
        <v>-5.6504141004127817E-3</v>
      </c>
      <c r="K1759" s="8">
        <f>SUMPRODUCT(B1759:I1759,weights!$B$5:$I$5)</f>
        <v>-1.2230728679020078E-2</v>
      </c>
      <c r="L1759" s="4">
        <f t="shared" si="54"/>
        <v>299.86853655166726</v>
      </c>
      <c r="M1759" s="4">
        <f>L1759/MAX(L$2:L1759)-1</f>
        <v>-7.423971335739854E-2</v>
      </c>
      <c r="N1759" s="4">
        <f t="shared" si="55"/>
        <v>-1.7763864609101399E-2</v>
      </c>
    </row>
    <row r="1760" spans="1:14">
      <c r="A1760" s="3">
        <f>prices!A1761</f>
        <v>46066</v>
      </c>
      <c r="B1760" s="5">
        <f>prices!B1761/prices!B1760-1</f>
        <v>-2.0218689113386978E-2</v>
      </c>
      <c r="C1760" s="5">
        <f>prices!C1761/prices!C1760-1</f>
        <v>-2.105235852377807E-2</v>
      </c>
      <c r="D1760" s="5">
        <f>prices!D1761/prices!D1760-1</f>
        <v>-1.8142267176078253E-2</v>
      </c>
      <c r="E1760" s="5">
        <f>prices!E1761/prices!E1760-1</f>
        <v>-1.2191885835593941E-2</v>
      </c>
      <c r="F1760" s="5">
        <f>prices!F1761/prices!F1760-1</f>
        <v>-1.1649354431608527E-2</v>
      </c>
      <c r="G1760" s="5">
        <f>prices!G1761/prices!G1760-1</f>
        <v>-5.8067921872251294E-3</v>
      </c>
      <c r="H1760" s="5">
        <f>prices!H1761/prices!H1760-1</f>
        <v>-1.0149553910735465E-2</v>
      </c>
      <c r="I1760" s="5">
        <f>prices!I1761/prices!I1760-1</f>
        <v>-2.8658202686827616E-3</v>
      </c>
      <c r="J1760" s="5">
        <f>prices!J1761/prices!J1760-1</f>
        <v>-1.3023497318577881E-2</v>
      </c>
      <c r="K1760" s="8">
        <f>SUMPRODUCT(B1760:I1760,weights!$B$5:$I$5)</f>
        <v>-1.1002115870016056E-2</v>
      </c>
      <c r="L1760" s="4">
        <f t="shared" si="54"/>
        <v>296.56934816675368</v>
      </c>
      <c r="M1760" s="4">
        <f>L1760/MAX(L$2:L1760)-1</f>
        <v>-8.4425035298899775E-2</v>
      </c>
      <c r="N1760" s="4">
        <f t="shared" si="55"/>
        <v>-2.857054038238882E-2</v>
      </c>
    </row>
    <row r="1761" spans="1:14">
      <c r="A1761" s="3">
        <f>prices!A1762</f>
        <v>46069</v>
      </c>
      <c r="B1761" s="5">
        <f>prices!B1762/prices!B1761-1</f>
        <v>1.2327768617266033E-2</v>
      </c>
      <c r="C1761" s="5">
        <f>prices!C1762/prices!C1761-1</f>
        <v>5.3488284059508562E-3</v>
      </c>
      <c r="D1761" s="5">
        <f>prices!D1762/prices!D1761-1</f>
        <v>2.423554021075347E-2</v>
      </c>
      <c r="E1761" s="5">
        <f>prices!E1762/prices!E1761-1</f>
        <v>-2.5520483546003225E-3</v>
      </c>
      <c r="F1761" s="5">
        <f>prices!F1762/prices!F1761-1</f>
        <v>1.3390957011426341E-2</v>
      </c>
      <c r="G1761" s="5">
        <f>prices!G1762/prices!G1761-1</f>
        <v>-1.2207749163103632E-2</v>
      </c>
      <c r="H1761" s="5">
        <f>prices!H1762/prices!H1761-1</f>
        <v>1.7660330998310325E-3</v>
      </c>
      <c r="I1761" s="5">
        <f>prices!I1762/prices!I1761-1</f>
        <v>6.6117821813316269E-3</v>
      </c>
      <c r="J1761" s="5">
        <f>prices!J1762/prices!J1761-1</f>
        <v>8.3094173396516258E-3</v>
      </c>
      <c r="K1761" s="8">
        <f>SUMPRODUCT(B1761:I1761,weights!$B$5:$I$5)</f>
        <v>3.9398927010415793E-3</v>
      </c>
      <c r="L1761" s="4">
        <f t="shared" si="54"/>
        <v>297.73779957694859</v>
      </c>
      <c r="M1761" s="4">
        <f>L1761/MAX(L$2:L1761)-1</f>
        <v>-8.0817768178217286E-2</v>
      </c>
      <c r="N1761" s="4">
        <f t="shared" si="55"/>
        <v>-2.3694293539733402E-2</v>
      </c>
    </row>
    <row r="1762" spans="1:14">
      <c r="A1762" s="3">
        <f>prices!A1763</f>
        <v>46070</v>
      </c>
      <c r="B1762" s="5">
        <f>prices!B1763/prices!B1762-1</f>
        <v>-9.8148186984878816E-3</v>
      </c>
      <c r="C1762" s="5">
        <f>prices!C1763/prices!C1762-1</f>
        <v>3.9912193175015709E-3</v>
      </c>
      <c r="D1762" s="5">
        <f>prices!D1763/prices!D1762-1</f>
        <v>-1.0980082131017976E-4</v>
      </c>
      <c r="E1762" s="5">
        <f>prices!E1763/prices!E1762-1</f>
        <v>1.8740461441780987E-2</v>
      </c>
      <c r="F1762" s="5">
        <f>prices!F1763/prices!F1762-1</f>
        <v>2.3584905660377409E-2</v>
      </c>
      <c r="G1762" s="5">
        <f>prices!G1763/prices!G1762-1</f>
        <v>8.5046042839100888E-3</v>
      </c>
      <c r="H1762" s="5">
        <f>prices!H1763/prices!H1762-1</f>
        <v>9.7638630936587312E-3</v>
      </c>
      <c r="I1762" s="5">
        <f>prices!I1763/prices!I1762-1</f>
        <v>1.8635570531092105E-2</v>
      </c>
      <c r="J1762" s="5">
        <f>prices!J1763/prices!J1762-1</f>
        <v>1.6606477110123752E-3</v>
      </c>
      <c r="K1762" s="8">
        <f>SUMPRODUCT(B1762:I1762,weights!$B$5:$I$5)</f>
        <v>9.4502881193037451E-3</v>
      </c>
      <c r="L1762" s="4">
        <f t="shared" si="54"/>
        <v>300.55150756695826</v>
      </c>
      <c r="M1762" s="4">
        <f>L1762/MAX(L$2:L1762)-1</f>
        <v>-7.2131231253356853E-2</v>
      </c>
      <c r="N1762" s="4">
        <f t="shared" si="55"/>
        <v>-1.4899323347689841E-2</v>
      </c>
    </row>
    <row r="1763" spans="1:14">
      <c r="A1763" s="3">
        <f>prices!A1764</f>
        <v>46071</v>
      </c>
      <c r="B1763" s="5">
        <f>prices!B1764/prices!B1763-1</f>
        <v>1.2863143774930252E-2</v>
      </c>
      <c r="C1763" s="5">
        <f>prices!C1764/prices!C1763-1</f>
        <v>-8.2807349152237419E-3</v>
      </c>
      <c r="D1763" s="5">
        <f>prices!D1764/prices!D1763-1</f>
        <v>-1.0871475006588582E-3</v>
      </c>
      <c r="E1763" s="5">
        <f>prices!E1764/prices!E1763-1</f>
        <v>-1.2579586261593834E-2</v>
      </c>
      <c r="F1763" s="5">
        <f>prices!F1764/prices!F1763-1</f>
        <v>2.1494855122782708E-2</v>
      </c>
      <c r="G1763" s="5">
        <f>prices!G1764/prices!G1763-1</f>
        <v>-9.881508403940531E-4</v>
      </c>
      <c r="H1763" s="5">
        <f>prices!H1764/prices!H1763-1</f>
        <v>4.2508218450203472E-3</v>
      </c>
      <c r="I1763" s="5">
        <f>prices!I1764/prices!I1763-1</f>
        <v>1.0772933182333189E-2</v>
      </c>
      <c r="J1763" s="5">
        <f>prices!J1764/prices!J1763-1</f>
        <v>3.6520326214557475E-3</v>
      </c>
      <c r="K1763" s="8">
        <f>SUMPRODUCT(B1763:I1763,weights!$B$5:$I$5)</f>
        <v>4.1318361335266358E-3</v>
      </c>
      <c r="L1763" s="4">
        <f t="shared" si="54"/>
        <v>301.79333714590933</v>
      </c>
      <c r="M1763" s="4">
        <f>L1763/MAX(L$2:L1763)-1</f>
        <v>-6.8297429547478528E-2</v>
      </c>
      <c r="N1763" s="4">
        <f t="shared" si="55"/>
        <v>7.4961006589095991E-3</v>
      </c>
    </row>
    <row r="1764" spans="1:14">
      <c r="A1764" s="3">
        <f>prices!A1765</f>
        <v>46072</v>
      </c>
      <c r="B1764" s="5">
        <f>prices!B1765/prices!B1764-1</f>
        <v>-2.2067792593418734E-2</v>
      </c>
      <c r="C1764" s="5">
        <f>prices!C1765/prices!C1764-1</f>
        <v>-6.3077883033637594E-3</v>
      </c>
      <c r="D1764" s="5">
        <f>prices!D1765/prices!D1764-1</f>
        <v>-9.8389490463364204E-3</v>
      </c>
      <c r="E1764" s="5">
        <f>prices!E1765/prices!E1764-1</f>
        <v>-2.3278298378699436E-3</v>
      </c>
      <c r="F1764" s="5">
        <f>prices!F1765/prices!F1764-1</f>
        <v>-1.9404875938571764E-2</v>
      </c>
      <c r="G1764" s="5">
        <f>prices!G1765/prices!G1764-1</f>
        <v>-1.7211497600115089E-2</v>
      </c>
      <c r="H1764" s="5">
        <f>prices!H1765/prices!H1764-1</f>
        <v>-6.3783148922315069E-3</v>
      </c>
      <c r="I1764" s="5">
        <f>prices!I1765/prices!I1764-1</f>
        <v>-1.0494717627670958E-2</v>
      </c>
      <c r="J1764" s="5">
        <f>prices!J1765/prices!J1764-1</f>
        <v>-1.4136684308474035E-2</v>
      </c>
      <c r="K1764" s="8">
        <f>SUMPRODUCT(B1764:I1764,weights!$B$5:$I$5)</f>
        <v>-1.228902287700586E-2</v>
      </c>
      <c r="L1764" s="4">
        <f t="shared" si="54"/>
        <v>298.08459192159529</v>
      </c>
      <c r="M1764" s="4">
        <f>L1764/MAX(L$2:L1764)-1</f>
        <v>-7.9747143750334759E-2</v>
      </c>
      <c r="N1764" s="4">
        <f t="shared" si="55"/>
        <v>-1.2466685580789783E-3</v>
      </c>
    </row>
    <row r="1765" spans="1:14">
      <c r="A1765" s="3">
        <f>prices!A1766</f>
        <v>46073</v>
      </c>
      <c r="B1765" s="5">
        <f>prices!B1766/prices!B1765-1</f>
        <v>7.0277474857627364E-3</v>
      </c>
      <c r="C1765" s="5">
        <f>prices!C1766/prices!C1765-1</f>
        <v>3.0978014743099358E-3</v>
      </c>
      <c r="D1765" s="5">
        <f>prices!D1766/prices!D1765-1</f>
        <v>-4.0968135894304814E-3</v>
      </c>
      <c r="E1765" s="5">
        <f>prices!E1766/prices!E1765-1</f>
        <v>-1.2620483499444668E-2</v>
      </c>
      <c r="F1765" s="5">
        <f>prices!F1766/prices!F1765-1</f>
        <v>3.0880731054039323E-3</v>
      </c>
      <c r="G1765" s="5">
        <f>prices!G1766/prices!G1765-1</f>
        <v>4.9651571486470925E-3</v>
      </c>
      <c r="H1765" s="5">
        <f>prices!H1766/prices!H1765-1</f>
        <v>6.4192589471714356E-3</v>
      </c>
      <c r="I1765" s="5">
        <f>prices!I1766/prices!I1765-1</f>
        <v>2.3384680710528016E-2</v>
      </c>
      <c r="J1765" s="5">
        <f>prices!J1766/prices!J1765-1</f>
        <v>4.5925352641100758E-3</v>
      </c>
      <c r="K1765" s="8">
        <f>SUMPRODUCT(B1765:I1765,weights!$B$5:$I$5)</f>
        <v>6.5902930084916298E-3</v>
      </c>
      <c r="L1765" s="4">
        <f t="shared" si="54"/>
        <v>300.04905672367522</v>
      </c>
      <c r="M1765" s="4">
        <f>L1765/MAX(L$2:L1765)-1</f>
        <v>-7.3682407785748305E-2</v>
      </c>
      <c r="N1765" s="4">
        <f t="shared" si="55"/>
        <v>1.0248657851807952E-3</v>
      </c>
    </row>
    <row r="1766" spans="1:14">
      <c r="A1766" s="3">
        <f>prices!A1767</f>
        <v>46076</v>
      </c>
      <c r="B1766" s="5">
        <f>prices!B1767/prices!B1766-1</f>
        <v>6.0585899622755957E-3</v>
      </c>
      <c r="C1766" s="5">
        <f>prices!C1767/prices!C1766-1</f>
        <v>-3.6838770624589845E-3</v>
      </c>
      <c r="D1766" s="5">
        <f>prices!D1767/prices!D1766-1</f>
        <v>1.2887258781953514E-2</v>
      </c>
      <c r="E1766" s="5">
        <f>prices!E1767/prices!E1766-1</f>
        <v>-1.8995273830914816E-2</v>
      </c>
      <c r="F1766" s="5">
        <f>prices!F1767/prices!F1766-1</f>
        <v>-4.9005748751296263E-3</v>
      </c>
      <c r="G1766" s="5">
        <f>prices!G1767/prices!G1766-1</f>
        <v>6.3433701463708747E-3</v>
      </c>
      <c r="H1766" s="5">
        <f>prices!H1767/prices!H1766-1</f>
        <v>4.5816883637905814E-3</v>
      </c>
      <c r="I1766" s="5">
        <f>prices!I1767/prices!I1766-1</f>
        <v>8.558790105642089E-3</v>
      </c>
      <c r="J1766" s="5">
        <f>prices!J1767/prices!J1766-1</f>
        <v>5.5433347998239402E-3</v>
      </c>
      <c r="K1766" s="8">
        <f>SUMPRODUCT(B1766:I1766,weights!$B$5:$I$5)</f>
        <v>2.9962196790140347E-3</v>
      </c>
      <c r="L1766" s="4">
        <f t="shared" si="54"/>
        <v>300.94806961210031</v>
      </c>
      <c r="M1766" s="4">
        <f>L1766/MAX(L$2:L1766)-1</f>
        <v>-7.0906956786939035E-2</v>
      </c>
      <c r="N1766" s="4">
        <f t="shared" si="55"/>
        <v>1.1938756344547219E-2</v>
      </c>
    </row>
    <row r="1767" spans="1:14">
      <c r="A1767" s="3">
        <f>prices!A1768</f>
        <v>46077</v>
      </c>
      <c r="B1767" s="5">
        <f>prices!B1768/prices!B1767-1</f>
        <v>5.55778335901147E-4</v>
      </c>
      <c r="C1767" s="5">
        <f>prices!C1768/prices!C1767-1</f>
        <v>-3.8338220174403026E-2</v>
      </c>
      <c r="D1767" s="5">
        <f>prices!D1768/prices!D1767-1</f>
        <v>-1.4176122918432288E-2</v>
      </c>
      <c r="E1767" s="5">
        <f>prices!E1768/prices!E1767-1</f>
        <v>-3.9172528436639098E-2</v>
      </c>
      <c r="F1767" s="5">
        <f>prices!F1768/prices!F1767-1</f>
        <v>-5.8401995138427365E-3</v>
      </c>
      <c r="G1767" s="5">
        <f>prices!G1768/prices!G1767-1</f>
        <v>-9.6869483867595418E-3</v>
      </c>
      <c r="H1767" s="5">
        <f>prices!H1768/prices!H1767-1</f>
        <v>-2.8939037024600101E-4</v>
      </c>
      <c r="I1767" s="5">
        <f>prices!I1768/prices!I1767-1</f>
        <v>-3.5965040590945629E-2</v>
      </c>
      <c r="J1767" s="5">
        <f>prices!J1768/prices!J1767-1</f>
        <v>-1.1214171819702079E-2</v>
      </c>
      <c r="K1767" s="8">
        <f>SUMPRODUCT(B1767:I1767,weights!$B$5:$I$5)</f>
        <v>-1.7168837874530989E-2</v>
      </c>
      <c r="L1767" s="4">
        <f t="shared" si="54"/>
        <v>295.78114099627709</v>
      </c>
      <c r="M1767" s="4">
        <f>L1767/MAX(L$2:L1767)-1</f>
        <v>-8.6858404616218743E-2</v>
      </c>
      <c r="N1767" s="4">
        <f t="shared" si="55"/>
        <v>-5.1571996686483601E-3</v>
      </c>
    </row>
    <row r="1768" spans="1:14">
      <c r="A1768" s="3">
        <f>prices!A1769</f>
        <v>46078</v>
      </c>
      <c r="B1768" s="5">
        <f>prices!B1769/prices!B1768-1</f>
        <v>-2.1206283134817427E-2</v>
      </c>
      <c r="C1768" s="5">
        <f>prices!C1769/prices!C1768-1</f>
        <v>2.1604327201020013E-2</v>
      </c>
      <c r="D1768" s="5">
        <f>prices!D1769/prices!D1768-1</f>
        <v>-3.1930690305798093E-3</v>
      </c>
      <c r="E1768" s="5">
        <f>prices!E1769/prices!E1768-1</f>
        <v>1.1445918236575592E-2</v>
      </c>
      <c r="F1768" s="5">
        <f>prices!F1769/prices!F1768-1</f>
        <v>-1.1590245141623323E-2</v>
      </c>
      <c r="G1768" s="5">
        <f>prices!G1769/prices!G1768-1</f>
        <v>9.6477165762482997E-3</v>
      </c>
      <c r="H1768" s="5">
        <f>prices!H1769/prices!H1768-1</f>
        <v>1.8711608492013365E-2</v>
      </c>
      <c r="I1768" s="5">
        <f>prices!I1769/prices!I1768-1</f>
        <v>9.2271218587007819E-3</v>
      </c>
      <c r="J1768" s="5">
        <f>prices!J1769/prices!J1768-1</f>
        <v>2.275350889786143E-3</v>
      </c>
      <c r="K1768" s="8">
        <f>SUMPRODUCT(B1768:I1768,weights!$B$5:$I$5)</f>
        <v>5.476155705736385E-3</v>
      </c>
      <c r="L1768" s="4">
        <f t="shared" si="54"/>
        <v>297.40088457919308</v>
      </c>
      <c r="M1768" s="4">
        <f>L1768/MAX(L$2:L1768)-1</f>
        <v>-8.1857899058512595E-2</v>
      </c>
      <c r="N1768" s="4">
        <f t="shared" si="55"/>
        <v>4.2723900557486427E-3</v>
      </c>
    </row>
    <row r="1769" spans="1:14">
      <c r="A1769" s="3">
        <f>prices!A1770</f>
        <v>46079</v>
      </c>
      <c r="B1769" s="5">
        <f>prices!B1770/prices!B1769-1</f>
        <v>5.9408358835106867E-3</v>
      </c>
      <c r="C1769" s="5">
        <f>prices!C1770/prices!C1769-1</f>
        <v>7.0000542639865326E-3</v>
      </c>
      <c r="D1769" s="5">
        <f>prices!D1770/prices!D1769-1</f>
        <v>-9.9123013339605937E-3</v>
      </c>
      <c r="E1769" s="5">
        <f>prices!E1770/prices!E1769-1</f>
        <v>-7.681525535133682E-4</v>
      </c>
      <c r="F1769" s="5">
        <f>prices!F1770/prices!F1769-1</f>
        <v>-4.5298294085519553E-3</v>
      </c>
      <c r="G1769" s="5">
        <f>prices!G1770/prices!G1769-1</f>
        <v>9.488504144727683E-3</v>
      </c>
      <c r="H1769" s="5">
        <f>prices!H1770/prices!H1769-1</f>
        <v>1.2184656652970416E-2</v>
      </c>
      <c r="I1769" s="5">
        <f>prices!I1770/prices!I1769-1</f>
        <v>-2.7907501198050078E-3</v>
      </c>
      <c r="J1769" s="5">
        <f>prices!J1770/prices!J1769-1</f>
        <v>5.5135877563028401E-4</v>
      </c>
      <c r="K1769" s="8">
        <f>SUMPRODUCT(B1769:I1769,weights!$B$5:$I$5)</f>
        <v>3.3222647311337014E-3</v>
      </c>
      <c r="L1769" s="4">
        <f t="shared" si="54"/>
        <v>298.3889290490385</v>
      </c>
      <c r="M1769" s="4">
        <f>L1769/MAX(L$2:L1769)-1</f>
        <v>-7.8807587938385604E-2</v>
      </c>
      <c r="N1769" s="4">
        <f t="shared" si="55"/>
        <v>1.0161651565432805E-2</v>
      </c>
    </row>
    <row r="1770" spans="1:14">
      <c r="A1770" s="3">
        <f>prices!A1771</f>
        <v>46080</v>
      </c>
      <c r="B1770" s="5">
        <f>prices!B1771/prices!B1770-1</f>
        <v>-9.1764084180157024E-3</v>
      </c>
      <c r="C1770" s="5">
        <f>prices!C1771/prices!C1770-1</f>
        <v>-3.8913950516543672E-3</v>
      </c>
      <c r="D1770" s="5">
        <f>prices!D1771/prices!D1770-1</f>
        <v>-1.20704088327791E-2</v>
      </c>
      <c r="E1770" s="5">
        <f>prices!E1771/prices!E1770-1</f>
        <v>8.5275003962592688E-3</v>
      </c>
      <c r="F1770" s="5">
        <f>prices!F1771/prices!F1770-1</f>
        <v>-1.4780868779448952E-2</v>
      </c>
      <c r="G1770" s="5">
        <f>prices!G1771/prices!G1770-1</f>
        <v>-2.3401030293332736E-2</v>
      </c>
      <c r="H1770" s="5">
        <f>prices!H1771/prices!H1770-1</f>
        <v>-2.7270736596239242E-2</v>
      </c>
      <c r="I1770" s="5">
        <f>prices!I1771/prices!I1770-1</f>
        <v>-1.9128206094641831E-3</v>
      </c>
      <c r="J1770" s="5">
        <f>prices!J1771/prices!J1770-1</f>
        <v>-1.2468353561560175E-2</v>
      </c>
      <c r="K1770" s="8">
        <f>SUMPRODUCT(B1770:I1770,weights!$B$5:$I$5)</f>
        <v>-1.1958907509707132E-2</v>
      </c>
      <c r="L1770" s="4">
        <f t="shared" si="54"/>
        <v>294.82052344462045</v>
      </c>
      <c r="M1770" s="4">
        <f>L1770/MAX(L$2:L1770)-1</f>
        <v>-8.9824042792874592E-2</v>
      </c>
      <c r="N1770" s="4">
        <f t="shared" si="55"/>
        <v>-3.0753731208159607E-3</v>
      </c>
    </row>
    <row r="1771" spans="1:14">
      <c r="A1771" s="3">
        <f>prices!A1772</f>
        <v>46083</v>
      </c>
      <c r="B1771" s="5">
        <f>prices!B1772/prices!B1771-1</f>
        <v>-2.5751722547352029E-2</v>
      </c>
      <c r="C1771" s="5">
        <f>prices!C1772/prices!C1771-1</f>
        <v>-9.0612960937891396E-3</v>
      </c>
      <c r="D1771" s="5">
        <f>prices!D1772/prices!D1771-1</f>
        <v>-9.4124652185362256E-3</v>
      </c>
      <c r="E1771" s="5">
        <f>prices!E1772/prices!E1771-1</f>
        <v>-8.6125605079524492E-3</v>
      </c>
      <c r="F1771" s="5">
        <f>prices!F1772/prices!F1771-1</f>
        <v>4.1601153039834138E-3</v>
      </c>
      <c r="G1771" s="5">
        <f>prices!G1772/prices!G1771-1</f>
        <v>-3.1567168187136452E-2</v>
      </c>
      <c r="H1771" s="5">
        <f>prices!H1772/prices!H1771-1</f>
        <v>8.9237269547348674E-3</v>
      </c>
      <c r="I1771" s="5">
        <f>prices!I1772/prices!I1771-1</f>
        <v>-4.9460457124514967E-2</v>
      </c>
      <c r="J1771" s="5">
        <f>prices!J1772/prices!J1771-1</f>
        <v>-1.2429181072059148E-2</v>
      </c>
      <c r="K1771" s="8">
        <f>SUMPRODUCT(B1771:I1771,weights!$B$5:$I$5)</f>
        <v>-1.9688659455655136E-2</v>
      </c>
      <c r="L1771" s="4">
        <f t="shared" si="54"/>
        <v>289.01590255798135</v>
      </c>
      <c r="M1771" s="4">
        <f>L1771/MAX(L$2:L1771)-1</f>
        <v>-0.10774418725905055</v>
      </c>
      <c r="N1771" s="4">
        <f t="shared" si="55"/>
        <v>-2.0621061784494521E-2</v>
      </c>
    </row>
    <row r="1772" spans="1:14">
      <c r="A1772" s="3">
        <f>prices!A1773</f>
        <v>46085</v>
      </c>
      <c r="B1772" s="5">
        <f>prices!B1773/prices!B1772-1</f>
        <v>-9.5727760310708732E-3</v>
      </c>
      <c r="C1772" s="5">
        <f>prices!C1773/prices!C1772-1</f>
        <v>-9.8343523833290813E-3</v>
      </c>
      <c r="D1772" s="5">
        <f>prices!D1773/prices!D1772-1</f>
        <v>-1.2218381902461051E-2</v>
      </c>
      <c r="E1772" s="5">
        <f>prices!E1773/prices!E1772-1</f>
        <v>1.4354787571338123E-2</v>
      </c>
      <c r="F1772" s="5">
        <f>prices!F1773/prices!F1772-1</f>
        <v>-9.3622573805252074E-3</v>
      </c>
      <c r="G1772" s="5">
        <f>prices!G1773/prices!G1772-1</f>
        <v>-1.5986027319174423E-2</v>
      </c>
      <c r="H1772" s="5">
        <f>prices!H1773/prices!H1772-1</f>
        <v>-1.1442171266419221E-3</v>
      </c>
      <c r="I1772" s="5">
        <f>prices!I1773/prices!I1772-1</f>
        <v>-4.5270350800524439E-2</v>
      </c>
      <c r="J1772" s="5">
        <f>prices!J1773/prices!J1772-1</f>
        <v>-1.5491218827541564E-2</v>
      </c>
      <c r="K1772" s="8">
        <f>SUMPRODUCT(B1772:I1772,weights!$B$5:$I$5)</f>
        <v>-1.4754154214674055E-2</v>
      </c>
      <c r="L1772" s="4">
        <f t="shared" si="54"/>
        <v>284.75171736114766</v>
      </c>
      <c r="M1772" s="4">
        <f>L1772/MAX(L$2:L1772)-1</f>
        <v>-0.12090866711916992</v>
      </c>
      <c r="N1772" s="4">
        <f t="shared" si="55"/>
        <v>-6.0916445996717639E-2</v>
      </c>
    </row>
    <row r="1773" spans="1:14">
      <c r="A1773" s="3">
        <f>prices!A1774</f>
        <v>46086</v>
      </c>
      <c r="B1773" s="5">
        <f>prices!B1774/prices!B1773-1</f>
        <v>3.3014393379195095E-2</v>
      </c>
      <c r="C1773" s="5">
        <f>prices!C1774/prices!C1773-1</f>
        <v>-3.4773910509362516E-3</v>
      </c>
      <c r="D1773" s="5">
        <f>prices!D1774/prices!D1773-1</f>
        <v>1.0473716238356134E-2</v>
      </c>
      <c r="E1773" s="5">
        <f>prices!E1774/prices!E1773-1</f>
        <v>-1.226840456040823E-3</v>
      </c>
      <c r="F1773" s="5">
        <f>prices!F1774/prices!F1773-1</f>
        <v>-1.4488935721812535E-3</v>
      </c>
      <c r="G1773" s="5">
        <f>prices!G1774/prices!G1773-1</f>
        <v>1.8152672213177734E-2</v>
      </c>
      <c r="H1773" s="5">
        <f>prices!H1774/prices!H1773-1</f>
        <v>1.9428152492668493E-2</v>
      </c>
      <c r="I1773" s="5">
        <f>prices!I1774/prices!I1773-1</f>
        <v>4.0205043380562966E-2</v>
      </c>
      <c r="J1773" s="5">
        <f>prices!J1774/prices!J1773-1</f>
        <v>1.1658258613999051E-2</v>
      </c>
      <c r="K1773" s="8">
        <f>SUMPRODUCT(B1773:I1773,weights!$B$5:$I$5)</f>
        <v>1.8829570304784368E-2</v>
      </c>
      <c r="L1773" s="4">
        <f t="shared" si="54"/>
        <v>290.11346984260746</v>
      </c>
      <c r="M1773" s="4">
        <f>L1773/MAX(L$2:L1773)-1</f>
        <v>-0.10435575506236383</v>
      </c>
      <c r="N1773" s="4">
        <f t="shared" si="55"/>
        <v>-4.0490830043210191E-2</v>
      </c>
    </row>
    <row r="1774" spans="1:14">
      <c r="A1774" s="3">
        <f>prices!A1775</f>
        <v>46087</v>
      </c>
      <c r="B1774" s="5">
        <f>prices!B1775/prices!B1774-1</f>
        <v>1.1077287944410985E-2</v>
      </c>
      <c r="C1774" s="5">
        <f>prices!C1775/prices!C1774-1</f>
        <v>-8.2199468074595217E-3</v>
      </c>
      <c r="D1774" s="5">
        <f>prices!D1775/prices!D1774-1</f>
        <v>-2.3579278955840999E-2</v>
      </c>
      <c r="E1774" s="5">
        <f>prices!E1775/prices!E1774-1</f>
        <v>1.995086610230512E-3</v>
      </c>
      <c r="F1774" s="5">
        <f>prices!F1775/prices!F1774-1</f>
        <v>-5.7710064635272396E-3</v>
      </c>
      <c r="G1774" s="5">
        <f>prices!G1775/prices!G1774-1</f>
        <v>-1.775965952127545E-2</v>
      </c>
      <c r="H1774" s="5">
        <f>prices!H1775/prices!H1774-1</f>
        <v>8.3490650845019498E-3</v>
      </c>
      <c r="I1774" s="5">
        <f>prices!I1775/prices!I1774-1</f>
        <v>-2.2012036113340461E-2</v>
      </c>
      <c r="J1774" s="5">
        <f>prices!J1775/prices!J1774-1</f>
        <v>-1.2737271813259343E-2</v>
      </c>
      <c r="K1774" s="8">
        <f>SUMPRODUCT(B1774:I1774,weights!$B$5:$I$5)</f>
        <v>-7.9071618571820625E-3</v>
      </c>
      <c r="L1774" s="4">
        <f t="shared" si="54"/>
        <v>287.81949567961323</v>
      </c>
      <c r="M1774" s="4">
        <f>L1774/MAX(L$2:L1774)-1</f>
        <v>-0.11143775907353937</v>
      </c>
      <c r="N1774" s="4">
        <f t="shared" si="55"/>
        <v>-4.4278435160731489E-2</v>
      </c>
    </row>
    <row r="1775" spans="1:14">
      <c r="A1775" s="3">
        <f>prices!A1776</f>
        <v>46090</v>
      </c>
      <c r="B1775" s="5">
        <f>prices!B1776/prices!B1775-1</f>
        <v>1.3673453333619578E-2</v>
      </c>
      <c r="C1775" s="5">
        <f>prices!C1776/prices!C1775-1</f>
        <v>-1.1810505931153292E-2</v>
      </c>
      <c r="D1775" s="5">
        <f>prices!D1776/prices!D1775-1</f>
        <v>-1.9084105276891528E-2</v>
      </c>
      <c r="E1775" s="5">
        <f>prices!E1776/prices!E1775-1</f>
        <v>5.0441558847185153E-3</v>
      </c>
      <c r="F1775" s="5">
        <f>prices!F1776/prices!F1775-1</f>
        <v>-1.1973863146373054E-2</v>
      </c>
      <c r="G1775" s="5">
        <f>prices!G1776/prices!G1775-1</f>
        <v>-4.5977339474868706E-2</v>
      </c>
      <c r="H1775" s="5">
        <f>prices!H1776/prices!H1775-1</f>
        <v>4.4464255864489211E-3</v>
      </c>
      <c r="I1775" s="5">
        <f>prices!I1776/prices!I1775-1</f>
        <v>-2.7265127480129547E-2</v>
      </c>
      <c r="J1775" s="5">
        <f>prices!J1776/prices!J1775-1</f>
        <v>-1.7275755660938863E-2</v>
      </c>
      <c r="K1775" s="8">
        <f>SUMPRODUCT(B1775:I1775,weights!$B$5:$I$5)</f>
        <v>-1.492627677263034E-2</v>
      </c>
      <c r="L1775" s="4">
        <f t="shared" si="54"/>
        <v>283.52342222654045</v>
      </c>
      <c r="M1775" s="4">
        <f>L1775/MAX(L$2:L1775)-1</f>
        <v>-0.12470068501131637</v>
      </c>
      <c r="N1775" s="4">
        <f t="shared" si="55"/>
        <v>-5.9256768490880019E-2</v>
      </c>
    </row>
    <row r="1776" spans="1:14">
      <c r="A1776" s="3">
        <f>prices!A1777</f>
        <v>46091</v>
      </c>
      <c r="B1776" s="5">
        <f>prices!B1777/prices!B1776-1</f>
        <v>-1.0674097851776199E-2</v>
      </c>
      <c r="C1776" s="5">
        <f>prices!C1777/prices!C1776-1</f>
        <v>-5.6572808761324866E-3</v>
      </c>
      <c r="D1776" s="5">
        <f>prices!D1777/prices!D1776-1</f>
        <v>1.0410872772121715E-2</v>
      </c>
      <c r="E1776" s="5">
        <f>prices!E1777/prices!E1776-1</f>
        <v>-1.4753525230159714E-2</v>
      </c>
      <c r="F1776" s="5">
        <f>prices!F1777/prices!F1776-1</f>
        <v>9.9704579025112761E-3</v>
      </c>
      <c r="G1776" s="5">
        <f>prices!G1777/prices!G1776-1</f>
        <v>2.6576808644435568E-2</v>
      </c>
      <c r="H1776" s="5">
        <f>prices!H1777/prices!H1776-1</f>
        <v>2.9844453813210325E-3</v>
      </c>
      <c r="I1776" s="5">
        <f>prices!I1777/prices!I1776-1</f>
        <v>8.822740963063902E-3</v>
      </c>
      <c r="J1776" s="5">
        <f>prices!J1777/prices!J1776-1</f>
        <v>9.7198898787043131E-3</v>
      </c>
      <c r="K1776" s="8">
        <f>SUMPRODUCT(B1776:I1776,weights!$B$5:$I$5)</f>
        <v>5.8560320415189668E-3</v>
      </c>
      <c r="L1776" s="4">
        <f t="shared" si="54"/>
        <v>285.18374447162023</v>
      </c>
      <c r="M1776" s="4">
        <f>L1776/MAX(L$2:L1776)-1</f>
        <v>-0.11957490417682293</v>
      </c>
      <c r="N1776" s="4">
        <f t="shared" si="55"/>
        <v>-5.5933745020804948E-2</v>
      </c>
    </row>
    <row r="1777" spans="1:14">
      <c r="A1777" s="3">
        <f>prices!A1778</f>
        <v>46092</v>
      </c>
      <c r="B1777" s="5">
        <f>prices!B1778/prices!B1777-1</f>
        <v>-1.3206686063095385E-2</v>
      </c>
      <c r="C1777" s="5">
        <f>prices!C1778/prices!C1777-1</f>
        <v>-1.9181170821911175E-2</v>
      </c>
      <c r="D1777" s="5">
        <f>prices!D1778/prices!D1777-1</f>
        <v>-1.8249703816282326E-2</v>
      </c>
      <c r="E1777" s="5">
        <f>prices!E1778/prices!E1777-1</f>
        <v>-1.4895596770123753E-2</v>
      </c>
      <c r="F1777" s="5">
        <f>prices!F1778/prices!F1777-1</f>
        <v>-1.329566229018031E-4</v>
      </c>
      <c r="G1777" s="5">
        <f>prices!G1778/prices!G1777-1</f>
        <v>-2.668197233325964E-2</v>
      </c>
      <c r="H1777" s="5">
        <f>prices!H1778/prices!H1777-1</f>
        <v>7.2287424089909624E-3</v>
      </c>
      <c r="I1777" s="5">
        <f>prices!I1778/prices!I1777-1</f>
        <v>-9.5974740198671027E-3</v>
      </c>
      <c r="J1777" s="5">
        <f>prices!J1778/prices!J1777-1</f>
        <v>-1.6270567481122433E-2</v>
      </c>
      <c r="K1777" s="8">
        <f>SUMPRODUCT(B1777:I1777,weights!$B$5:$I$5)</f>
        <v>-1.1982157407783047E-2</v>
      </c>
      <c r="L1777" s="4">
        <f t="shared" si="54"/>
        <v>281.76662795522032</v>
      </c>
      <c r="M1777" s="4">
        <f>L1777/MAX(L$2:L1777)-1</f>
        <v>-0.13012429626073863</v>
      </c>
      <c r="N1777" s="4">
        <f t="shared" si="55"/>
        <v>-7.2088449506041541E-2</v>
      </c>
    </row>
    <row r="1778" spans="1:14">
      <c r="A1778" s="3">
        <f>prices!A1779</f>
        <v>46093</v>
      </c>
      <c r="B1778" s="5">
        <f>prices!B1779/prices!B1778-1</f>
        <v>1.438069085127891E-3</v>
      </c>
      <c r="C1778" s="5">
        <f>prices!C1779/prices!C1778-1</f>
        <v>-9.1248873343089398E-3</v>
      </c>
      <c r="D1778" s="5">
        <f>prices!D1779/prices!D1778-1</f>
        <v>-1.4383578341743419E-3</v>
      </c>
      <c r="E1778" s="5">
        <f>prices!E1779/prices!E1778-1</f>
        <v>-8.2288056224835149E-3</v>
      </c>
      <c r="F1778" s="5">
        <f>prices!F1779/prices!F1778-1</f>
        <v>-1.5857185598882939E-2</v>
      </c>
      <c r="G1778" s="5">
        <f>prices!G1779/prices!G1778-1</f>
        <v>-3.6008171940012601E-2</v>
      </c>
      <c r="H1778" s="5">
        <f>prices!H1779/prices!H1778-1</f>
        <v>-3.2946577125203547E-4</v>
      </c>
      <c r="I1778" s="5">
        <f>prices!I1779/prices!I1778-1</f>
        <v>-3.1078447103509821E-2</v>
      </c>
      <c r="J1778" s="5">
        <f>prices!J1779/prices!J1778-1</f>
        <v>-9.5404295078738155E-3</v>
      </c>
      <c r="K1778" s="8">
        <f>SUMPRODUCT(B1778:I1778,weights!$B$5:$I$5)</f>
        <v>-1.5919451088481272E-2</v>
      </c>
      <c r="L1778" s="4">
        <f t="shared" si="54"/>
        <v>277.28105790312088</v>
      </c>
      <c r="M1778" s="4">
        <f>L1778/MAX(L$2:L1778)-1</f>
        <v>-0.14397223997947406</v>
      </c>
      <c r="N1778" s="4">
        <f t="shared" si="55"/>
        <v>-8.6634057491773553E-2</v>
      </c>
    </row>
    <row r="1779" spans="1:14">
      <c r="A1779" s="3">
        <f>prices!A1780</f>
        <v>46094</v>
      </c>
      <c r="B1779" s="5">
        <f>prices!B1780/prices!B1779-1</f>
        <v>-8.2552190447326979E-3</v>
      </c>
      <c r="C1779" s="5">
        <f>prices!C1780/prices!C1779-1</f>
        <v>-1.3064395662169992E-2</v>
      </c>
      <c r="D1779" s="5">
        <f>prices!D1780/prices!D1779-1</f>
        <v>-1.8908691406249956E-2</v>
      </c>
      <c r="E1779" s="5">
        <f>prices!E1780/prices!E1779-1</f>
        <v>-1.3825777447759924E-2</v>
      </c>
      <c r="F1779" s="5">
        <f>prices!F1780/prices!F1779-1</f>
        <v>-8.7150385083097914E-3</v>
      </c>
      <c r="G1779" s="5">
        <f>prices!G1780/prices!G1779-1</f>
        <v>-3.2280076356796417E-2</v>
      </c>
      <c r="H1779" s="5">
        <f>prices!H1780/prices!H1779-1</f>
        <v>-1.2985229576002566E-2</v>
      </c>
      <c r="I1779" s="5">
        <f>prices!I1780/prices!I1779-1</f>
        <v>-7.5414277647467665E-2</v>
      </c>
      <c r="J1779" s="5">
        <f>prices!J1780/prices!J1779-1</f>
        <v>-2.0645835404403456E-2</v>
      </c>
      <c r="K1779" s="8">
        <f>SUMPRODUCT(B1779:I1779,weights!$B$5:$I$5)</f>
        <v>-2.8593270191493325E-2</v>
      </c>
      <c r="L1779" s="4">
        <f t="shared" si="54"/>
        <v>269.35268569551386</v>
      </c>
      <c r="M1779" s="4">
        <f>L1779/MAX(L$2:L1779)-1</f>
        <v>-0.16844887301315969</v>
      </c>
      <c r="N1779" s="4">
        <f t="shared" si="55"/>
        <v>-0.10176409705089395</v>
      </c>
    </row>
    <row r="1780" spans="1:14">
      <c r="A1780" s="3">
        <f>prices!A1781</f>
        <v>46097</v>
      </c>
      <c r="B1780" s="5">
        <f>prices!B1781/prices!B1780-1</f>
        <v>1.0426747189580698E-2</v>
      </c>
      <c r="C1780" s="5">
        <f>prices!C1781/prices!C1780-1</f>
        <v>-5.3693431644452616E-4</v>
      </c>
      <c r="D1780" s="5">
        <f>prices!D1781/prices!D1780-1</f>
        <v>2.8878575605628898E-2</v>
      </c>
      <c r="E1780" s="5">
        <f>prices!E1781/prices!E1780-1</f>
        <v>1.2030838230239205E-3</v>
      </c>
      <c r="F1780" s="5">
        <f>prices!F1781/prices!F1780-1</f>
        <v>2.252436447897499E-2</v>
      </c>
      <c r="G1780" s="5">
        <f>prices!G1781/prices!G1780-1</f>
        <v>1.3183258849605473E-2</v>
      </c>
      <c r="H1780" s="5">
        <f>prices!H1781/prices!H1780-1</f>
        <v>-1.0212088664303454E-2</v>
      </c>
      <c r="I1780" s="5">
        <f>prices!I1781/prices!I1780-1</f>
        <v>8.8409826968081084E-3</v>
      </c>
      <c r="J1780" s="5">
        <f>prices!J1781/prices!J1780-1</f>
        <v>1.1131220546755971E-2</v>
      </c>
      <c r="K1780" s="8">
        <f>SUMPRODUCT(B1780:I1780,weights!$B$5:$I$5)</f>
        <v>8.1763928837098755E-3</v>
      </c>
      <c r="L1780" s="4">
        <f t="shared" si="54"/>
        <v>271.55501907804285</v>
      </c>
      <c r="M1780" s="4">
        <f>L1780/MAX(L$2:L1780)-1</f>
        <v>-0.16164978429602339</v>
      </c>
      <c r="N1780" s="4">
        <f t="shared" si="55"/>
        <v>-8.4345631951977307E-2</v>
      </c>
    </row>
    <row r="1781" spans="1:14">
      <c r="A1781" s="3">
        <f>prices!A1782</f>
        <v>46098</v>
      </c>
      <c r="B1781" s="5">
        <f>prices!B1782/prices!B1781-1</f>
        <v>1.7930696776795596E-3</v>
      </c>
      <c r="C1781" s="5">
        <f>prices!C1782/prices!C1781-1</f>
        <v>-7.2630826434744167E-3</v>
      </c>
      <c r="D1781" s="5">
        <f>prices!D1782/prices!D1781-1</f>
        <v>5.6595559425338671E-3</v>
      </c>
      <c r="E1781" s="5">
        <f>prices!E1782/prices!E1781-1</f>
        <v>-1.3520472807827755E-2</v>
      </c>
      <c r="F1781" s="5">
        <f>prices!F1782/prices!F1781-1</f>
        <v>-1.0997433932082523E-2</v>
      </c>
      <c r="G1781" s="5">
        <f>prices!G1782/prices!G1781-1</f>
        <v>1.6854114955087596E-2</v>
      </c>
      <c r="H1781" s="5">
        <f>prices!H1782/prices!H1781-1</f>
        <v>6.2804322646665689E-3</v>
      </c>
      <c r="I1781" s="5">
        <f>prices!I1782/prices!I1781-1</f>
        <v>2.1156398435317136E-2</v>
      </c>
      <c r="J1781" s="5">
        <f>prices!J1782/prices!J1781-1</f>
        <v>7.3626157684290039E-3</v>
      </c>
      <c r="K1781" s="8">
        <f>SUMPRODUCT(B1781:I1781,weights!$B$5:$I$5)</f>
        <v>6.3368884955718515E-3</v>
      </c>
      <c r="L1781" s="4">
        <f t="shared" si="54"/>
        <v>273.27583295435329</v>
      </c>
      <c r="M1781" s="4">
        <f>L1781/MAX(L$2:L1781)-1</f>
        <v>-0.15633725245886865</v>
      </c>
      <c r="N1781" s="4">
        <f t="shared" si="55"/>
        <v>-8.2159425700575994E-2</v>
      </c>
    </row>
    <row r="1782" spans="1:14">
      <c r="A1782" s="3">
        <f>prices!A1783</f>
        <v>46099</v>
      </c>
      <c r="B1782" s="5">
        <f>prices!B1783/prices!B1782-1</f>
        <v>7.5116628449434231E-3</v>
      </c>
      <c r="C1782" s="5">
        <f>prices!C1783/prices!C1782-1</f>
        <v>2.0529733599222721E-2</v>
      </c>
      <c r="D1782" s="5">
        <f>prices!D1783/prices!D1782-1</f>
        <v>-2.7296777296776931E-3</v>
      </c>
      <c r="E1782" s="5">
        <f>prices!E1783/prices!E1782-1</f>
        <v>2.7734734295113528E-2</v>
      </c>
      <c r="F1782" s="5">
        <f>prices!F1783/prices!F1782-1</f>
        <v>-2.6282980085586827E-3</v>
      </c>
      <c r="G1782" s="5">
        <f>prices!G1783/prices!G1782-1</f>
        <v>5.858435165560838E-3</v>
      </c>
      <c r="H1782" s="5">
        <f>prices!H1783/prices!H1782-1</f>
        <v>-8.9735208497465635E-3</v>
      </c>
      <c r="I1782" s="5">
        <f>prices!I1783/prices!I1782-1</f>
        <v>1.837521697121014E-2</v>
      </c>
      <c r="J1782" s="5">
        <f>prices!J1783/prices!J1782-1</f>
        <v>8.3392879482127036E-3</v>
      </c>
      <c r="K1782" s="8">
        <f>SUMPRODUCT(B1782:I1782,weights!$B$5:$I$5)</f>
        <v>8.0915182220121125E-3</v>
      </c>
      <c r="L1782" s="4">
        <f t="shared" si="54"/>
        <v>275.48704933633894</v>
      </c>
      <c r="M1782" s="4">
        <f>L1782/MAX(L$2:L1782)-1</f>
        <v>-0.14951073996390696</v>
      </c>
      <c r="N1782" s="4">
        <f t="shared" si="55"/>
        <v>-8.3394884402752001E-2</v>
      </c>
    </row>
    <row r="1783" spans="1:14">
      <c r="A1783" s="3">
        <f>prices!A1784</f>
        <v>46100</v>
      </c>
      <c r="B1783" s="5">
        <f>prices!B1784/prices!B1783-1</f>
        <v>-1.6545140622993282E-2</v>
      </c>
      <c r="C1783" s="5">
        <f>prices!C1784/prices!C1783-1</f>
        <v>-3.4742924902506078E-2</v>
      </c>
      <c r="D1783" s="5">
        <f>prices!D1784/prices!D1783-1</f>
        <v>-5.3199570737824553E-2</v>
      </c>
      <c r="E1783" s="5">
        <f>prices!E1784/prices!E1783-1</f>
        <v>-3.6540725331785207E-2</v>
      </c>
      <c r="F1783" s="5">
        <f>prices!F1784/prices!F1783-1</f>
        <v>-1.989932092300406E-2</v>
      </c>
      <c r="G1783" s="5">
        <f>prices!G1784/prices!G1783-1</f>
        <v>-3.4410981045434941E-2</v>
      </c>
      <c r="H1783" s="5">
        <f>prices!H1784/prices!H1783-1</f>
        <v>-1.906238547627781E-2</v>
      </c>
      <c r="I1783" s="5">
        <f>prices!I1784/prices!I1783-1</f>
        <v>-4.8060453400503689E-2</v>
      </c>
      <c r="J1783" s="5">
        <f>prices!J1784/prices!J1783-1</f>
        <v>-3.2620763905828021E-2</v>
      </c>
      <c r="K1783" s="8">
        <f>SUMPRODUCT(B1783:I1783,weights!$B$5:$I$5)</f>
        <v>-3.2903905469441851E-2</v>
      </c>
      <c r="L1783" s="4">
        <f t="shared" si="54"/>
        <v>266.4224495069206</v>
      </c>
      <c r="M1783" s="4">
        <f>L1783/MAX(L$2:L1783)-1</f>
        <v>-0.17749515817891004</v>
      </c>
      <c r="N1783" s="4">
        <f t="shared" si="55"/>
        <v>-0.11720234771746407</v>
      </c>
    </row>
    <row r="1784" spans="1:14">
      <c r="A1784" s="3">
        <f>prices!A1785</f>
        <v>46101</v>
      </c>
      <c r="B1784" s="5">
        <f>prices!B1785/prices!B1784-1</f>
        <v>2.1372140768845638E-2</v>
      </c>
      <c r="C1784" s="5">
        <f>prices!C1785/prices!C1784-1</f>
        <v>1.4685462905688729E-2</v>
      </c>
      <c r="D1784" s="5">
        <f>prices!D1785/prices!D1784-1</f>
        <v>-2.2236089708485673E-2</v>
      </c>
      <c r="E1784" s="5">
        <f>prices!E1785/prices!E1784-1</f>
        <v>2.8754581820007674E-2</v>
      </c>
      <c r="F1784" s="5">
        <f>prices!F1785/prices!F1784-1</f>
        <v>6.5494657014821822E-3</v>
      </c>
      <c r="G1784" s="5">
        <f>prices!G1785/prices!G1784-1</f>
        <v>1.5873359452212021E-4</v>
      </c>
      <c r="H1784" s="5">
        <f>prices!H1785/prices!H1784-1</f>
        <v>1.8743102814051893E-2</v>
      </c>
      <c r="I1784" s="5">
        <f>prices!I1785/prices!I1784-1</f>
        <v>8.8202088625477515E-5</v>
      </c>
      <c r="J1784" s="5">
        <f>prices!J1785/prices!J1784-1</f>
        <v>4.8843260303927938E-3</v>
      </c>
      <c r="K1784" s="8">
        <f>SUMPRODUCT(B1784:I1784,weights!$B$5:$I$5)</f>
        <v>8.2164776193728532E-3</v>
      </c>
      <c r="L1784" s="4">
        <f t="shared" si="54"/>
        <v>268.61150360059275</v>
      </c>
      <c r="M1784" s="4">
        <f>L1784/MAX(L$2:L1784)-1</f>
        <v>-0.17073706555426105</v>
      </c>
      <c r="N1784" s="4">
        <f t="shared" si="55"/>
        <v>-9.8874913765267025E-2</v>
      </c>
    </row>
    <row r="1785" spans="1:14">
      <c r="A1785" s="3">
        <f>prices!A1786</f>
        <v>46104</v>
      </c>
      <c r="B1785" s="5">
        <f>prices!B1786/prices!B1785-1</f>
        <v>-4.6665577566430416E-3</v>
      </c>
      <c r="C1785" s="5">
        <f>prices!C1786/prices!C1785-1</f>
        <v>-2.843428142691562E-3</v>
      </c>
      <c r="D1785" s="5">
        <f>prices!D1786/prices!D1785-1</f>
        <v>-4.6512536633018575E-2</v>
      </c>
      <c r="E1785" s="5">
        <f>prices!E1786/prices!E1785-1</f>
        <v>7.1585455137079812E-4</v>
      </c>
      <c r="F1785" s="5">
        <f>prices!F1786/prices!F1785-1</f>
        <v>-3.167808219178081E-2</v>
      </c>
      <c r="G1785" s="5">
        <f>prices!G1786/prices!G1785-1</f>
        <v>-1.9522736581725542E-2</v>
      </c>
      <c r="H1785" s="5">
        <f>prices!H1786/prices!H1785-1</f>
        <v>-1.0522158594036601E-2</v>
      </c>
      <c r="I1785" s="5">
        <f>prices!I1786/prices!I1785-1</f>
        <v>-2.6902204269780405E-2</v>
      </c>
      <c r="J1785" s="5">
        <f>prices!J1786/prices!J1785-1</f>
        <v>-2.6037768500291936E-2</v>
      </c>
      <c r="K1785" s="8">
        <f>SUMPRODUCT(B1785:I1785,weights!$B$5:$I$5)</f>
        <v>-1.7571288221258002E-2</v>
      </c>
      <c r="L1785" s="4">
        <f t="shared" si="54"/>
        <v>263.89165345128129</v>
      </c>
      <c r="M1785" s="4">
        <f>L1785/MAX(L$2:L1785)-1</f>
        <v>-0.18530828358661322</v>
      </c>
      <c r="N1785" s="4">
        <f t="shared" si="55"/>
        <v>-0.12050497231088597</v>
      </c>
    </row>
    <row r="1786" spans="1:14">
      <c r="A1786" s="3">
        <f>prices!A1787</f>
        <v>46105</v>
      </c>
      <c r="B1786" s="5">
        <f>prices!B1787/prices!B1786-1</f>
        <v>2.8401792595553754E-3</v>
      </c>
      <c r="C1786" s="5">
        <f>prices!C1787/prices!C1786-1</f>
        <v>6.2887704192655658E-3</v>
      </c>
      <c r="D1786" s="5">
        <f>prices!D1787/prices!D1786-1</f>
        <v>2.788099010983025E-2</v>
      </c>
      <c r="E1786" s="5">
        <f>prices!E1787/prices!E1786-1</f>
        <v>1.7103188151327497E-2</v>
      </c>
      <c r="F1786" s="5">
        <f>prices!F1787/prices!F1786-1</f>
        <v>2.7586206896550447E-3</v>
      </c>
      <c r="G1786" s="5">
        <f>prices!G1787/prices!G1786-1</f>
        <v>8.8226517823930539E-3</v>
      </c>
      <c r="H1786" s="5">
        <f>prices!H1787/prices!H1786-1</f>
        <v>-2.8965674535293973E-3</v>
      </c>
      <c r="I1786" s="5">
        <f>prices!I1787/prices!I1786-1</f>
        <v>5.2177144289999866E-2</v>
      </c>
      <c r="J1786" s="5">
        <f>prices!J1787/prices!J1786-1</f>
        <v>1.7756683464629885E-2</v>
      </c>
      <c r="K1786" s="8">
        <f>SUMPRODUCT(B1786:I1786,weights!$B$5:$I$5)</f>
        <v>1.6223431257175885E-2</v>
      </c>
      <c r="L1786" s="4">
        <f t="shared" si="54"/>
        <v>268.17288155039063</v>
      </c>
      <c r="M1786" s="4">
        <f>L1786/MAX(L$2:L1786)-1</f>
        <v>-0.17209118852959004</v>
      </c>
      <c r="N1786" s="4">
        <f t="shared" si="55"/>
        <v>-0.10890645719693259</v>
      </c>
    </row>
    <row r="1787" spans="1:14">
      <c r="A1787" s="3">
        <f>prices!A1788</f>
        <v>46106</v>
      </c>
      <c r="B1787" s="5">
        <f>prices!B1788/prices!B1787-1</f>
        <v>9.2506938020342488E-4</v>
      </c>
      <c r="C1787" s="5">
        <f>prices!C1788/prices!C1787-1</f>
        <v>-8.9174951142834136E-3</v>
      </c>
      <c r="D1787" s="5">
        <f>prices!D1788/prices!D1787-1</f>
        <v>2.2752342348328902E-2</v>
      </c>
      <c r="E1787" s="5">
        <f>prices!E1788/prices!E1787-1</f>
        <v>6.3138376944094077E-4</v>
      </c>
      <c r="F1787" s="5">
        <f>prices!F1788/prices!F1787-1</f>
        <v>1.5271752548231321E-2</v>
      </c>
      <c r="G1787" s="5">
        <f>prices!G1788/prices!G1787-1</f>
        <v>1.9816743341002141E-2</v>
      </c>
      <c r="H1787" s="5">
        <f>prices!H1788/prices!H1787-1</f>
        <v>2.4011848666453117E-2</v>
      </c>
      <c r="I1787" s="5">
        <f>prices!I1788/prices!I1787-1</f>
        <v>3.7676798419653101E-2</v>
      </c>
      <c r="J1787" s="5">
        <f>prices!J1788/prices!J1787-1</f>
        <v>1.7198111066496713E-2</v>
      </c>
      <c r="K1787" s="8">
        <f>SUMPRODUCT(B1787:I1787,weights!$B$5:$I$5)</f>
        <v>1.7252743845745738E-2</v>
      </c>
      <c r="L1787" s="4">
        <f t="shared" si="54"/>
        <v>272.799599582155</v>
      </c>
      <c r="M1787" s="4">
        <f>L1787/MAX(L$2:L1787)-1</f>
        <v>-0.15780748987765536</v>
      </c>
      <c r="N1787" s="4">
        <f t="shared" si="55"/>
        <v>-7.7697791470793476E-2</v>
      </c>
    </row>
    <row r="1788" spans="1:14">
      <c r="A1788" s="3">
        <f>prices!A1789</f>
        <v>46108</v>
      </c>
      <c r="B1788" s="5">
        <f>prices!B1789/prices!B1788-1</f>
        <v>-4.5997440636996845E-2</v>
      </c>
      <c r="C1788" s="5">
        <f>prices!C1789/prices!C1788-1</f>
        <v>5.2125976826229437E-3</v>
      </c>
      <c r="D1788" s="5">
        <f>prices!D1789/prices!D1788-1</f>
        <v>-3.335628987616468E-2</v>
      </c>
      <c r="E1788" s="5">
        <f>prices!E1789/prices!E1788-1</f>
        <v>-7.3481841199352083E-3</v>
      </c>
      <c r="F1788" s="5">
        <f>prices!F1789/prices!F1788-1</f>
        <v>-3.4044327103454064E-3</v>
      </c>
      <c r="G1788" s="5">
        <f>prices!G1789/prices!G1788-1</f>
        <v>-2.5332529176510077E-2</v>
      </c>
      <c r="H1788" s="5">
        <f>prices!H1789/prices!H1788-1</f>
        <v>-1.0051878863690522E-3</v>
      </c>
      <c r="I1788" s="5">
        <f>prices!I1789/prices!I1788-1</f>
        <v>-2.3348090758162687E-2</v>
      </c>
      <c r="J1788" s="5">
        <f>prices!J1789/prices!J1788-1</f>
        <v>-2.0889067189554966E-2</v>
      </c>
      <c r="K1788" s="8">
        <f>SUMPRODUCT(B1788:I1788,weights!$B$5:$I$5)</f>
        <v>-1.8459982148696645E-2</v>
      </c>
      <c r="L1788" s="4">
        <f t="shared" si="54"/>
        <v>267.76372384369682</v>
      </c>
      <c r="M1788" s="4">
        <f>L1788/MAX(L$2:L1788)-1</f>
        <v>-0.17335434858027987</v>
      </c>
      <c r="N1788" s="4">
        <f t="shared" si="55"/>
        <v>-9.9653909158445519E-2</v>
      </c>
    </row>
    <row r="1789" spans="1:14">
      <c r="A1789" s="3">
        <f>prices!A1790</f>
        <v>46111</v>
      </c>
      <c r="B1789" s="5">
        <f>prices!B1790/prices!B1789-1</f>
        <v>-3.1224383337059569E-3</v>
      </c>
      <c r="C1789" s="5">
        <f>prices!C1790/prices!C1789-1</f>
        <v>-1.2929802939909529E-2</v>
      </c>
      <c r="D1789" s="5">
        <f>prices!D1790/prices!D1789-1</f>
        <v>-3.2598467535959186E-2</v>
      </c>
      <c r="E1789" s="5">
        <f>prices!E1790/prices!E1789-1</f>
        <v>-1.5046547742615601E-2</v>
      </c>
      <c r="F1789" s="5">
        <f>prices!F1790/prices!F1789-1</f>
        <v>-2.3738148354712774E-2</v>
      </c>
      <c r="G1789" s="5">
        <f>prices!G1790/prices!G1789-1</f>
        <v>-6.699109149742255E-3</v>
      </c>
      <c r="H1789" s="5">
        <f>prices!H1790/prices!H1789-1</f>
        <v>-2.0291685998736764E-2</v>
      </c>
      <c r="I1789" s="5">
        <f>prices!I1790/prices!I1789-1</f>
        <v>-1.6831840254758257E-2</v>
      </c>
      <c r="J1789" s="5">
        <f>prices!J1790/prices!J1789-1</f>
        <v>-2.1393889463443561E-2</v>
      </c>
      <c r="K1789" s="8">
        <f>SUMPRODUCT(B1789:I1789,weights!$B$5:$I$5)</f>
        <v>-1.4894918752200521E-2</v>
      </c>
      <c r="L1789" s="4">
        <f t="shared" si="54"/>
        <v>263.77540493225831</v>
      </c>
      <c r="M1789" s="4">
        <f>L1789/MAX(L$2:L1789)-1</f>
        <v>-0.1856671683950365</v>
      </c>
      <c r="N1789" s="4">
        <f t="shared" si="55"/>
        <v>-0.11600136850617415</v>
      </c>
    </row>
    <row r="1790" spans="1:14">
      <c r="A1790" s="3">
        <f>prices!A1791</f>
        <v>46113</v>
      </c>
      <c r="B1790" s="5">
        <f>prices!B1791/prices!B1790-1</f>
        <v>1.8830688265767614E-2</v>
      </c>
      <c r="C1790" s="5">
        <f>prices!C1791/prices!C1790-1</f>
        <v>2.090164819735163E-2</v>
      </c>
      <c r="D1790" s="5">
        <f>prices!D1791/prices!D1790-1</f>
        <v>1.461821718891132E-2</v>
      </c>
      <c r="E1790" s="5">
        <f>prices!E1791/prices!E1790-1</f>
        <v>2.0071725580217636E-2</v>
      </c>
      <c r="F1790" s="5">
        <f>prices!F1791/prices!F1790-1</f>
        <v>1.3889384796657911E-2</v>
      </c>
      <c r="G1790" s="5">
        <f>prices!G1791/prices!G1790-1</f>
        <v>1.6495891211493641E-2</v>
      </c>
      <c r="H1790" s="5">
        <f>prices!H1791/prices!H1790-1</f>
        <v>-1.6335636564894562E-2</v>
      </c>
      <c r="I1790" s="5">
        <f>prices!I1791/prices!I1790-1</f>
        <v>2.9505418980407594E-2</v>
      </c>
      <c r="J1790" s="5">
        <f>prices!J1791/prices!J1790-1</f>
        <v>1.5583438566323604E-2</v>
      </c>
      <c r="K1790" s="8">
        <f>SUMPRODUCT(B1790:I1790,weights!$B$5:$I$5)</f>
        <v>1.4736175830058562E-2</v>
      </c>
      <c r="L1790" s="4">
        <f t="shared" si="54"/>
        <v>267.66244567898497</v>
      </c>
      <c r="M1790" s="4">
        <f>L1790/MAX(L$2:L1790)-1</f>
        <v>-0.17366701660431627</v>
      </c>
      <c r="N1790" s="4">
        <f t="shared" si="55"/>
        <v>-9.2117324290474256E-2</v>
      </c>
    </row>
    <row r="1791" spans="1:14">
      <c r="A1791" s="3">
        <f>prices!A1792</f>
        <v>46114</v>
      </c>
      <c r="B1791" s="5">
        <f>prices!B1792/prices!B1791-1</f>
        <v>-1.3662044170518861E-2</v>
      </c>
      <c r="C1791" s="5">
        <f>prices!C1792/prices!C1791-1</f>
        <v>1.7646834784154075E-2</v>
      </c>
      <c r="D1791" s="5">
        <f>prices!D1792/prices!D1791-1</f>
        <v>1.1654820110385211E-2</v>
      </c>
      <c r="E1791" s="5">
        <f>prices!E1792/prices!E1791-1</f>
        <v>1.9676778678284323E-2</v>
      </c>
      <c r="F1791" s="5">
        <f>prices!F1792/prices!F1791-1</f>
        <v>3.9442174954218423E-3</v>
      </c>
      <c r="G1791" s="5">
        <f>prices!G1792/prices!G1791-1</f>
        <v>9.7532261789219366E-3</v>
      </c>
      <c r="H1791" s="5">
        <f>prices!H1792/prices!H1791-1</f>
        <v>-2.0191649555099223E-2</v>
      </c>
      <c r="I1791" s="5">
        <f>prices!I1792/prices!I1791-1</f>
        <v>1.5534904551308681E-3</v>
      </c>
      <c r="J1791" s="5">
        <f>prices!J1792/prices!J1791-1</f>
        <v>1.4859299628737777E-3</v>
      </c>
      <c r="K1791" s="8">
        <f>SUMPRODUCT(B1791:I1791,weights!$B$5:$I$5)</f>
        <v>1.8306295582081714E-3</v>
      </c>
      <c r="L1791" s="4">
        <f t="shared" si="54"/>
        <v>268.15243646366724</v>
      </c>
      <c r="M1791" s="4">
        <f>L1791/MAX(L$2:L1791)-1</f>
        <v>-0.17215430701998968</v>
      </c>
      <c r="N1791" s="4">
        <f t="shared" si="55"/>
        <v>-7.2187951976547593E-2</v>
      </c>
    </row>
    <row r="1792" spans="1:14">
      <c r="A1792" s="3">
        <f>prices!A1793</f>
        <v>46118</v>
      </c>
      <c r="B1792" s="5">
        <f>prices!B1793/prices!B1792-1</f>
        <v>-3.3906626595649692E-2</v>
      </c>
      <c r="C1792" s="5">
        <f>prices!C1793/prices!C1792-1</f>
        <v>9.4688384974612738E-3</v>
      </c>
      <c r="D1792" s="5">
        <f>prices!D1793/prices!D1792-1</f>
        <v>2.6777494991065298E-2</v>
      </c>
      <c r="E1792" s="5">
        <f>prices!E1793/prices!E1792-1</f>
        <v>4.1468682505398924E-3</v>
      </c>
      <c r="F1792" s="5">
        <f>prices!F1793/prices!F1792-1</f>
        <v>6.8401852111688033E-3</v>
      </c>
      <c r="G1792" s="5">
        <f>prices!G1793/prices!G1792-1</f>
        <v>4.512447012932741E-3</v>
      </c>
      <c r="H1792" s="5">
        <f>prices!H1793/prices!H1792-1</f>
        <v>5.9200672519632569E-4</v>
      </c>
      <c r="I1792" s="5">
        <f>prices!I1793/prices!I1792-1</f>
        <v>3.1717507650601551E-2</v>
      </c>
      <c r="J1792" s="5">
        <f>prices!J1793/prices!J1792-1</f>
        <v>1.123360527625028E-2</v>
      </c>
      <c r="K1792" s="8">
        <f>SUMPRODUCT(B1792:I1792,weights!$B$5:$I$5)</f>
        <v>6.6442009461520467E-3</v>
      </c>
      <c r="L1792" s="4">
        <f t="shared" si="54"/>
        <v>269.93409513573209</v>
      </c>
      <c r="M1792" s="4">
        <f>L1792/MAX(L$2:L1792)-1</f>
        <v>-0.16665393388342398</v>
      </c>
      <c r="N1792" s="4">
        <f t="shared" si="55"/>
        <v>-5.203698984762406E-2</v>
      </c>
    </row>
    <row r="1793" spans="1:14">
      <c r="A1793" s="3">
        <f>prices!A1794</f>
        <v>46119</v>
      </c>
      <c r="B1793" s="5">
        <f>prices!B1794/prices!B1793-1</f>
        <v>-7.7000077000177747E-5</v>
      </c>
      <c r="C1793" s="5">
        <f>prices!C1794/prices!C1793-1</f>
        <v>2.6636457260555968E-2</v>
      </c>
      <c r="D1793" s="5">
        <f>prices!D1794/prices!D1793-1</f>
        <v>1.2920918703689388E-3</v>
      </c>
      <c r="E1793" s="5">
        <f>prices!E1794/prices!E1793-1</f>
        <v>2.5419818072317524E-2</v>
      </c>
      <c r="F1793" s="5">
        <f>prices!F1794/prices!F1793-1</f>
        <v>1.2193847333031416E-2</v>
      </c>
      <c r="G1793" s="5">
        <f>prices!G1794/prices!G1793-1</f>
        <v>8.6699082300045749E-3</v>
      </c>
      <c r="H1793" s="5">
        <f>prices!H1794/prices!H1793-1</f>
        <v>1.3809261790234117E-2</v>
      </c>
      <c r="I1793" s="5">
        <f>prices!I1794/prices!I1793-1</f>
        <v>-1.1810469059820861E-3</v>
      </c>
      <c r="J1793" s="5">
        <f>prices!J1794/prices!J1793-1</f>
        <v>6.7658615697756552E-3</v>
      </c>
      <c r="K1793" s="8">
        <f>SUMPRODUCT(B1793:I1793,weights!$B$5:$I$5)</f>
        <v>9.1341947312859953E-3</v>
      </c>
      <c r="L1793" s="4">
        <f t="shared" si="54"/>
        <v>272.39972572531536</v>
      </c>
      <c r="M1793" s="4">
        <f>L1793/MAX(L$2:L1793)-1</f>
        <v>-0.15904198863696406</v>
      </c>
      <c r="N1793" s="4">
        <f t="shared" si="55"/>
        <v>-6.1057985783638968E-2</v>
      </c>
    </row>
    <row r="1794" spans="1:14">
      <c r="A1794" s="3">
        <f>prices!A1795</f>
        <v>46120</v>
      </c>
      <c r="B1794" s="5">
        <f>prices!B1795/prices!B1794-1</f>
        <v>3.3112582781456901E-2</v>
      </c>
      <c r="C1794" s="5">
        <f>prices!C1795/prices!C1794-1</f>
        <v>7.6399589111453281E-3</v>
      </c>
      <c r="D1794" s="5">
        <f>prices!D1795/prices!D1794-1</f>
        <v>5.7121036553249738E-2</v>
      </c>
      <c r="E1794" s="5">
        <f>prices!E1795/prices!E1794-1</f>
        <v>5.0799752866068637E-3</v>
      </c>
      <c r="F1794" s="5">
        <f>prices!F1795/prices!F1794-1</f>
        <v>1.342374281485581E-2</v>
      </c>
      <c r="G1794" s="5">
        <f>prices!G1795/prices!G1794-1</f>
        <v>6.2821853481443535E-2</v>
      </c>
      <c r="H1794" s="5">
        <f>prices!H1795/prices!H1794-1</f>
        <v>-1.9783952238388025E-3</v>
      </c>
      <c r="I1794" s="5">
        <f>prices!I1795/prices!I1794-1</f>
        <v>7.5901477511878701E-2</v>
      </c>
      <c r="J1794" s="5">
        <f>prices!J1795/prices!J1794-1</f>
        <v>3.7783827380192925E-2</v>
      </c>
      <c r="K1794" s="8">
        <f>SUMPRODUCT(B1794:I1794,weights!$B$5:$I$5)</f>
        <v>3.7550317651365468E-2</v>
      </c>
      <c r="L1794" s="4">
        <f t="shared" si="54"/>
        <v>282.62842195444574</v>
      </c>
      <c r="M1794" s="4">
        <f>L1794/MAX(L$2:L1794)-1</f>
        <v>-0.12746374817882156</v>
      </c>
      <c r="N1794" s="4">
        <f t="shared" si="55"/>
        <v>-1.8035865544514529E-2</v>
      </c>
    </row>
    <row r="1795" spans="1:14">
      <c r="A1795" s="3">
        <f>prices!A1796</f>
        <v>46121</v>
      </c>
      <c r="B1795" s="5">
        <f>prices!B1796/prices!B1795-1</f>
        <v>-1.3208109719737515E-2</v>
      </c>
      <c r="C1795" s="5">
        <f>prices!C1796/prices!C1795-1</f>
        <v>1.1643835616438558E-2</v>
      </c>
      <c r="D1795" s="5">
        <f>prices!D1796/prices!D1795-1</f>
        <v>-2.25455270172642E-2</v>
      </c>
      <c r="E1795" s="5">
        <f>prices!E1796/prices!E1795-1</f>
        <v>-1.0844735863518751E-2</v>
      </c>
      <c r="F1795" s="5">
        <f>prices!F1796/prices!F1795-1</f>
        <v>1.8000883062188056E-3</v>
      </c>
      <c r="G1795" s="5">
        <f>prices!G1796/prices!G1795-1</f>
        <v>-9.5568715540128579E-4</v>
      </c>
      <c r="H1795" s="5">
        <f>prices!H1796/prices!H1795-1</f>
        <v>1.4560381727597438E-3</v>
      </c>
      <c r="I1795" s="5">
        <f>prices!I1796/prices!I1795-1</f>
        <v>-2.7384898478756803E-2</v>
      </c>
      <c r="J1795" s="5">
        <f>prices!J1796/prices!J1795-1</f>
        <v>-9.2614392839209803E-3</v>
      </c>
      <c r="K1795" s="8">
        <f>SUMPRODUCT(B1795:I1795,weights!$B$5:$I$5)</f>
        <v>-8.4648104742508726E-3</v>
      </c>
      <c r="L1795" s="4">
        <f t="shared" si="54"/>
        <v>280.23602592796476</v>
      </c>
      <c r="M1795" s="4">
        <f>L1795/MAX(L$2:L1795)-1</f>
        <v>-0.13484960218240105</v>
      </c>
      <c r="N1795" s="4">
        <f t="shared" si="55"/>
        <v>-1.1594796199761559E-2</v>
      </c>
    </row>
    <row r="1796" spans="1:14">
      <c r="A1796" s="3">
        <f>prices!A1797</f>
        <v>46122</v>
      </c>
      <c r="B1796" s="5">
        <f>prices!B1797/prices!B1796-1</f>
        <v>1.5190198507417429E-2</v>
      </c>
      <c r="C1796" s="5">
        <f>prices!C1797/prices!C1796-1</f>
        <v>-2.4991733715419517E-2</v>
      </c>
      <c r="D1796" s="5">
        <f>prices!D1797/prices!D1796-1</f>
        <v>1.5801814660006075E-2</v>
      </c>
      <c r="E1796" s="5">
        <f>prices!E1797/prices!E1796-1</f>
        <v>-2.9369341721651177E-2</v>
      </c>
      <c r="F1796" s="5">
        <f>prices!F1797/prices!F1796-1</f>
        <v>4.1361540547872888E-3</v>
      </c>
      <c r="G1796" s="5">
        <f>prices!G1797/prices!G1796-1</f>
        <v>8.8309097449956742E-3</v>
      </c>
      <c r="H1796" s="5">
        <f>prices!H1797/prices!H1796-1</f>
        <v>-3.6225410338605935E-2</v>
      </c>
      <c r="I1796" s="5">
        <f>prices!I1797/prices!I1796-1</f>
        <v>1.6350871191211036E-2</v>
      </c>
      <c r="J1796" s="5">
        <f>prices!J1797/prices!J1796-1</f>
        <v>1.1587753574117565E-2</v>
      </c>
      <c r="K1796" s="8">
        <f>SUMPRODUCT(B1796:I1796,weights!$B$5:$I$5)</f>
        <v>-1.7554003784962537E-3</v>
      </c>
      <c r="L1796" s="4">
        <f t="shared" ref="L1796:L1859" si="56">L1795*(1+K1796)</f>
        <v>279.74409950198253</v>
      </c>
      <c r="M1796" s="4">
        <f>L1796/MAX(L$2:L1796)-1</f>
        <v>-0.13636828751818619</v>
      </c>
      <c r="N1796" s="4">
        <f t="shared" si="55"/>
        <v>-1.9074176123593967E-2</v>
      </c>
    </row>
    <row r="1797" spans="1:14">
      <c r="A1797" s="3">
        <f>prices!A1798</f>
        <v>46125</v>
      </c>
      <c r="B1797" s="5">
        <f>prices!B1798/prices!B1797-1</f>
        <v>-2.5997217241199744E-2</v>
      </c>
      <c r="C1797" s="5">
        <f>prices!C1798/prices!C1797-1</f>
        <v>-2.0480833282868094E-2</v>
      </c>
      <c r="D1797" s="5">
        <f>prices!D1798/prices!D1797-1</f>
        <v>-1.9256824568446462E-2</v>
      </c>
      <c r="E1797" s="5">
        <f>prices!E1798/prices!E1797-1</f>
        <v>-1.2141140761350644E-2</v>
      </c>
      <c r="F1797" s="5">
        <f>prices!F1798/prices!F1797-1</f>
        <v>-1.8400972381659719E-2</v>
      </c>
      <c r="G1797" s="5">
        <f>prices!G1798/prices!G1797-1</f>
        <v>-4.6174339795574837E-2</v>
      </c>
      <c r="H1797" s="5">
        <f>prices!H1798/prices!H1797-1</f>
        <v>-1.6297400292019093E-3</v>
      </c>
      <c r="I1797" s="5">
        <f>prices!I1798/prices!I1797-1</f>
        <v>-1.415238678090458E-3</v>
      </c>
      <c r="J1797" s="5">
        <f>prices!J1798/prices!J1797-1</f>
        <v>-8.6463539371157694E-3</v>
      </c>
      <c r="K1797" s="8">
        <f>SUMPRODUCT(B1797:I1797,weights!$B$5:$I$5)</f>
        <v>-1.8606403547029932E-2</v>
      </c>
      <c r="L1797" s="4">
        <f t="shared" si="56"/>
        <v>274.53906789674818</v>
      </c>
      <c r="M1797" s="4">
        <f>L1797/MAX(L$2:L1797)-1</f>
        <v>-0.15243736767663529</v>
      </c>
      <c r="N1797" s="4">
        <f t="shared" si="55"/>
        <v>-2.5650873245431915E-2</v>
      </c>
    </row>
    <row r="1798" spans="1:14">
      <c r="A1798" s="3">
        <f>prices!A1799</f>
        <v>46127</v>
      </c>
      <c r="B1798" s="5">
        <f>prices!B1799/prices!B1798-1</f>
        <v>2.2046522287154868E-2</v>
      </c>
      <c r="C1798" s="5">
        <f>prices!C1799/prices!C1798-1</f>
        <v>3.328634666271002E-2</v>
      </c>
      <c r="D1798" s="5">
        <f>prices!D1799/prices!D1798-1</f>
        <v>1.9123271550456122E-2</v>
      </c>
      <c r="E1798" s="5">
        <f>prices!E1799/prices!E1798-1</f>
        <v>2.2316284726667579E-2</v>
      </c>
      <c r="F1798" s="5">
        <f>prices!F1799/prices!F1798-1</f>
        <v>1.1385133973102146E-2</v>
      </c>
      <c r="G1798" s="5">
        <f>prices!G1799/prices!G1798-1</f>
        <v>1.6289998903134428E-2</v>
      </c>
      <c r="H1798" s="5">
        <f>prices!H1799/prices!H1798-1</f>
        <v>2.6876957059980056E-2</v>
      </c>
      <c r="I1798" s="5">
        <f>prices!I1799/prices!I1798-1</f>
        <v>3.0852517204836394E-2</v>
      </c>
      <c r="J1798" s="5">
        <f>prices!J1799/prices!J1798-1</f>
        <v>1.6300620946077649E-2</v>
      </c>
      <c r="K1798" s="8">
        <f>SUMPRODUCT(B1798:I1798,weights!$B$5:$I$5)</f>
        <v>2.3291613388720583E-2</v>
      </c>
      <c r="L1798" s="4">
        <f t="shared" si="56"/>
        <v>280.93352572629897</v>
      </c>
      <c r="M1798" s="4">
        <f>L1798/MAX(L$2:L1798)-1</f>
        <v>-0.13269626652183308</v>
      </c>
      <c r="N1798" s="4">
        <f t="shared" si="55"/>
        <v>1.317243900755094E-2</v>
      </c>
    </row>
    <row r="1799" spans="1:14">
      <c r="A1799" s="3">
        <f>prices!A1800</f>
        <v>46128</v>
      </c>
      <c r="B1799" s="5">
        <f>prices!B1800/prices!B1799-1</f>
        <v>-5.9047320073857268E-4</v>
      </c>
      <c r="C1799" s="5">
        <f>prices!C1800/prices!C1799-1</f>
        <v>8.6079665573717268E-3</v>
      </c>
      <c r="D1799" s="5">
        <f>prices!D1800/prices!D1799-1</f>
        <v>-1.7835626066874277E-2</v>
      </c>
      <c r="E1799" s="5">
        <f>prices!E1800/prices!E1799-1</f>
        <v>1.0652369584784438E-2</v>
      </c>
      <c r="F1799" s="5">
        <f>prices!F1800/prices!F1799-1</f>
        <v>4.4551761665079237E-3</v>
      </c>
      <c r="G1799" s="5">
        <f>prices!G1800/prices!G1799-1</f>
        <v>3.4613095667890281E-3</v>
      </c>
      <c r="H1799" s="5">
        <f>prices!H1800/prices!H1799-1</f>
        <v>-2.0683501066677268E-3</v>
      </c>
      <c r="I1799" s="5">
        <f>prices!I1800/prices!I1799-1</f>
        <v>1.0671634211653958E-2</v>
      </c>
      <c r="J1799" s="5">
        <f>prices!J1800/prices!J1799-1</f>
        <v>-1.4258417831481962E-3</v>
      </c>
      <c r="K1799" s="8">
        <f>SUMPRODUCT(B1799:I1799,weights!$B$5:$I$5)</f>
        <v>3.0929027129849504E-3</v>
      </c>
      <c r="L1799" s="4">
        <f t="shared" si="56"/>
        <v>281.80242579018625</v>
      </c>
      <c r="M1799" s="4">
        <f>L1799/MAX(L$2:L1799)-1</f>
        <v>-0.13001378045157652</v>
      </c>
      <c r="N1799" s="4">
        <f t="shared" si="55"/>
        <v>4.6220961422846374E-2</v>
      </c>
    </row>
    <row r="1800" spans="1:14">
      <c r="A1800" s="3">
        <f>prices!A1801</f>
        <v>46129</v>
      </c>
      <c r="B1800" s="5">
        <f>prices!B1801/prices!B1800-1</f>
        <v>1.6154122292688866E-2</v>
      </c>
      <c r="C1800" s="5">
        <f>prices!C1801/prices!C1800-1</f>
        <v>1.7875787009207222E-3</v>
      </c>
      <c r="D1800" s="5">
        <f>prices!D1801/prices!D1800-1</f>
        <v>5.5973725575391153E-3</v>
      </c>
      <c r="E1800" s="5">
        <f>prices!E1801/prices!E1800-1</f>
        <v>-3.7947431191243108E-4</v>
      </c>
      <c r="F1800" s="5">
        <f>prices!F1801/prices!F1800-1</f>
        <v>1.1207042491958807E-2</v>
      </c>
      <c r="G1800" s="5">
        <f>prices!G1801/prices!G1800-1</f>
        <v>8.8483844994966532E-3</v>
      </c>
      <c r="H1800" s="5">
        <f>prices!H1801/prices!H1800-1</f>
        <v>-1.0392794329265098E-2</v>
      </c>
      <c r="I1800" s="5">
        <f>prices!I1801/prices!I1800-1</f>
        <v>-5.7525214769788002E-3</v>
      </c>
      <c r="J1800" s="5">
        <f>prices!J1801/prices!J1800-1</f>
        <v>6.4802091189932742E-3</v>
      </c>
      <c r="K1800" s="8">
        <f>SUMPRODUCT(B1800:I1800,weights!$B$5:$I$5)</f>
        <v>2.5534035146800374E-3</v>
      </c>
      <c r="L1800" s="4">
        <f t="shared" si="56"/>
        <v>282.52198109464427</v>
      </c>
      <c r="M1800" s="4">
        <f>L1800/MAX(L$2:L1800)-1</f>
        <v>-0.12779235458085836</v>
      </c>
      <c r="N1800" s="4">
        <f t="shared" si="55"/>
        <v>4.0385782792140557E-2</v>
      </c>
    </row>
    <row r="1801" spans="1:14">
      <c r="A1801" s="3">
        <f>prices!A1802</f>
        <v>46132</v>
      </c>
      <c r="B1801" s="5">
        <f>prices!B1802/prices!B1801-1</f>
        <v>-1.2438177107866322E-3</v>
      </c>
      <c r="C1801" s="5">
        <f>prices!C1802/prices!C1801-1</f>
        <v>-7.3823171790854403E-4</v>
      </c>
      <c r="D1801" s="5">
        <f>prices!D1802/prices!D1801-1</f>
        <v>-5.5662163707760337E-3</v>
      </c>
      <c r="E1801" s="5">
        <f>prices!E1802/prices!E1801-1</f>
        <v>-4.6251462305445523E-3</v>
      </c>
      <c r="F1801" s="5">
        <f>prices!F1802/prices!F1801-1</f>
        <v>-5.8595057925400207E-3</v>
      </c>
      <c r="G1801" s="5">
        <f>prices!G1802/prices!G1801-1</f>
        <v>-2.2298586329683179E-4</v>
      </c>
      <c r="H1801" s="5">
        <f>prices!H1802/prices!H1801-1</f>
        <v>-4.1169993776628555E-3</v>
      </c>
      <c r="I1801" s="5">
        <f>prices!I1802/prices!I1801-1</f>
        <v>-1.1009545221472794E-2</v>
      </c>
      <c r="J1801" s="5">
        <f>prices!J1802/prices!J1801-1</f>
        <v>4.6399806188412995E-4</v>
      </c>
      <c r="K1801" s="8">
        <f>SUMPRODUCT(B1801:I1801,weights!$B$5:$I$5)</f>
        <v>-4.3520581498888398E-3</v>
      </c>
      <c r="L1801" s="4">
        <f t="shared" si="56"/>
        <v>281.29242900429858</v>
      </c>
      <c r="M1801" s="4">
        <f>L1801/MAX(L$2:L1801)-1</f>
        <v>-0.1315882529725001</v>
      </c>
      <c r="N1801" s="4">
        <f t="shared" si="55"/>
        <v>2.9335181099912067E-2</v>
      </c>
    </row>
    <row r="1802" spans="1:14">
      <c r="A1802" s="3">
        <f>prices!A1803</f>
        <v>46133</v>
      </c>
      <c r="B1802" s="5">
        <f>prices!B1803/prices!B1802-1</f>
        <v>-7.3395577105885845E-3</v>
      </c>
      <c r="C1802" s="5">
        <f>prices!C1803/prices!C1802-1</f>
        <v>1.1978460894196852E-2</v>
      </c>
      <c r="D1802" s="5">
        <f>prices!D1803/prices!D1802-1</f>
        <v>2.0485361209441333E-2</v>
      </c>
      <c r="E1802" s="5">
        <f>prices!E1803/prices!E1802-1</f>
        <v>4.5921544209237553E-4</v>
      </c>
      <c r="F1802" s="5">
        <f>prices!F1803/prices!F1802-1</f>
        <v>1.525714863089811E-2</v>
      </c>
      <c r="G1802" s="5">
        <f>prices!G1803/prices!G1802-1</f>
        <v>8.1779718930086176E-4</v>
      </c>
      <c r="H1802" s="5">
        <f>prices!H1803/prices!H1802-1</f>
        <v>-2.0369658222372244E-3</v>
      </c>
      <c r="I1802" s="5">
        <f>prices!I1803/prices!I1802-1</f>
        <v>6.0222043860391761E-3</v>
      </c>
      <c r="J1802" s="5">
        <f>prices!J1803/prices!J1802-1</f>
        <v>8.690798424779933E-3</v>
      </c>
      <c r="K1802" s="8">
        <f>SUMPRODUCT(B1802:I1802,weights!$B$5:$I$5)</f>
        <v>3.9930762417353972E-3</v>
      </c>
      <c r="L1802" s="4">
        <f t="shared" si="56"/>
        <v>282.41565111953571</v>
      </c>
      <c r="M1802" s="4">
        <f>L1802/MAX(L$2:L1802)-1</f>
        <v>-0.12812061865740065</v>
      </c>
      <c r="N1802" s="4">
        <f t="shared" si="55"/>
        <v>2.5150372040675162E-2</v>
      </c>
    </row>
    <row r="1803" spans="1:14">
      <c r="A1803" s="3">
        <f>prices!A1804</f>
        <v>46134</v>
      </c>
      <c r="B1803" s="5">
        <f>prices!B1804/prices!B1803-1</f>
        <v>6.5030028135137918E-3</v>
      </c>
      <c r="C1803" s="5">
        <f>prices!C1804/prices!C1803-1</f>
        <v>-2.758117219005829E-2</v>
      </c>
      <c r="D1803" s="5">
        <f>prices!D1804/prices!D1803-1</f>
        <v>-1.4589125153404936E-2</v>
      </c>
      <c r="E1803" s="5">
        <f>prices!E1804/prices!E1803-1</f>
        <v>-3.3966344844755358E-2</v>
      </c>
      <c r="F1803" s="5">
        <f>prices!F1804/prices!F1803-1</f>
        <v>-1.3402335456475623E-2</v>
      </c>
      <c r="G1803" s="5">
        <f>prices!G1804/prices!G1803-1</f>
        <v>-9.211271727263548E-3</v>
      </c>
      <c r="H1803" s="5">
        <f>prices!H1804/prices!H1803-1</f>
        <v>2.7636451214740898E-3</v>
      </c>
      <c r="I1803" s="5">
        <f>prices!I1804/prices!I1803-1</f>
        <v>-1.3325140362439925E-2</v>
      </c>
      <c r="J1803" s="5">
        <f>prices!J1804/prices!J1803-1</f>
        <v>-8.0767884898643727E-3</v>
      </c>
      <c r="K1803" s="8">
        <f>SUMPRODUCT(B1803:I1803,weights!$B$5:$I$5)</f>
        <v>-1.0676423243982623E-2</v>
      </c>
      <c r="L1803" s="4">
        <f t="shared" si="56"/>
        <v>279.40046209745861</v>
      </c>
      <c r="M1803" s="4">
        <f>L1803/MAX(L$2:L1803)-1</f>
        <v>-0.1374291719503159</v>
      </c>
      <c r="N1803" s="4">
        <f t="shared" si="55"/>
        <v>4.871215850825239E-2</v>
      </c>
    </row>
    <row r="1804" spans="1:14">
      <c r="A1804" s="3">
        <f>prices!A1805</f>
        <v>46135</v>
      </c>
      <c r="B1804" s="5">
        <f>prices!B1805/prices!B1804-1</f>
        <v>-1.3725909590435292E-2</v>
      </c>
      <c r="C1804" s="5">
        <f>prices!C1805/prices!C1804-1</f>
        <v>-6.5759892086331151E-3</v>
      </c>
      <c r="D1804" s="5">
        <f>prices!D1805/prices!D1804-1</f>
        <v>-1.9443632528053367E-2</v>
      </c>
      <c r="E1804" s="5">
        <f>prices!E1805/prices!E1804-1</f>
        <v>-2.2074041860952076E-2</v>
      </c>
      <c r="F1804" s="5">
        <f>prices!F1805/prices!F1804-1</f>
        <v>-6.7249495628773914E-4</v>
      </c>
      <c r="G1804" s="5">
        <f>prices!G1805/prices!G1804-1</f>
        <v>-1.3271343848523132E-2</v>
      </c>
      <c r="H1804" s="5">
        <f>prices!H1805/prices!H1804-1</f>
        <v>6.1665385723892463E-3</v>
      </c>
      <c r="I1804" s="5">
        <f>prices!I1805/prices!I1804-1</f>
        <v>8.2090301843202873E-3</v>
      </c>
      <c r="J1804" s="5">
        <f>prices!J1805/prices!J1804-1</f>
        <v>-8.4112379553779038E-3</v>
      </c>
      <c r="K1804" s="8">
        <f>SUMPRODUCT(B1804:I1804,weights!$B$5:$I$5)</f>
        <v>-5.729772161682337E-3</v>
      </c>
      <c r="L1804" s="4">
        <f t="shared" si="56"/>
        <v>277.79956110777141</v>
      </c>
      <c r="M1804" s="4">
        <f>L1804/MAX(L$2:L1804)-1</f>
        <v>-0.14237150626835438</v>
      </c>
      <c r="N1804" s="4">
        <f t="shared" si="55"/>
        <v>3.4205748391329838E-2</v>
      </c>
    </row>
    <row r="1805" spans="1:14">
      <c r="A1805" s="3">
        <f>prices!A1806</f>
        <v>46136</v>
      </c>
      <c r="B1805" s="5">
        <f>prices!B1806/prices!B1805-1</f>
        <v>-1.1613646221265039E-2</v>
      </c>
      <c r="C1805" s="5">
        <f>prices!C1806/prices!C1805-1</f>
        <v>-4.95291978177409E-2</v>
      </c>
      <c r="D1805" s="5">
        <f>prices!D1806/prices!D1805-1</f>
        <v>6.3505229461235935E-4</v>
      </c>
      <c r="E1805" s="5">
        <f>prices!E1806/prices!E1805-1</f>
        <v>-6.9322748534158873E-2</v>
      </c>
      <c r="F1805" s="5">
        <f>prices!F1806/prices!F1805-1</f>
        <v>-1.2113055181695698E-2</v>
      </c>
      <c r="G1805" s="5">
        <f>prices!G1806/prices!G1805-1</f>
        <v>-8.5109159077912944E-3</v>
      </c>
      <c r="H1805" s="5">
        <f>prices!H1806/prices!H1805-1</f>
        <v>-3.5537175286893263E-2</v>
      </c>
      <c r="I1805" s="5">
        <f>prices!I1806/prices!I1805-1</f>
        <v>-9.818450816834301E-3</v>
      </c>
      <c r="J1805" s="5">
        <f>prices!J1806/prices!J1805-1</f>
        <v>-1.1380442269386726E-2</v>
      </c>
      <c r="K1805" s="8">
        <f>SUMPRODUCT(B1805:I1805,weights!$B$5:$I$5)</f>
        <v>-2.1616283084244004E-2</v>
      </c>
      <c r="L1805" s="4">
        <f t="shared" si="56"/>
        <v>271.79456715418706</v>
      </c>
      <c r="M1805" s="4">
        <f>L1805/MAX(L$2:L1805)-1</f>
        <v>-0.16091024656997144</v>
      </c>
      <c r="N1805" s="4">
        <f t="shared" si="55"/>
        <v>2.9947569767926785E-2</v>
      </c>
    </row>
    <row r="1806" spans="1:14">
      <c r="A1806" s="3">
        <f>prices!A1807</f>
        <v>46139</v>
      </c>
      <c r="B1806" s="5">
        <f>prices!B1807/prices!B1806-1</f>
        <v>2.8614879434663232E-2</v>
      </c>
      <c r="C1806" s="5">
        <f>prices!C1807/prices!C1806-1</f>
        <v>2.1152750495335715E-2</v>
      </c>
      <c r="D1806" s="5">
        <f>prices!D1807/prices!D1806-1</f>
        <v>6.307636514350845E-3</v>
      </c>
      <c r="E1806" s="5">
        <f>prices!E1807/prices!E1806-1</f>
        <v>1.3600084945228019E-2</v>
      </c>
      <c r="F1806" s="5">
        <f>prices!F1807/prices!F1806-1</f>
        <v>7.4591280653950598E-3</v>
      </c>
      <c r="G1806" s="5">
        <f>prices!G1807/prices!G1806-1</f>
        <v>1.333538727351824E-2</v>
      </c>
      <c r="H1806" s="5">
        <f>prices!H1807/prices!H1806-1</f>
        <v>6.9801257301257191E-2</v>
      </c>
      <c r="I1806" s="5">
        <f>prices!I1807/prices!I1806-1</f>
        <v>9.7900374043824456E-3</v>
      </c>
      <c r="J1806" s="5">
        <f>prices!J1807/prices!J1806-1</f>
        <v>8.1492345577758307E-3</v>
      </c>
      <c r="K1806" s="8">
        <f>SUMPRODUCT(B1806:I1806,weights!$B$5:$I$5)</f>
        <v>2.2793443171886679E-2</v>
      </c>
      <c r="L1806" s="4">
        <f t="shared" si="56"/>
        <v>277.98970117504354</v>
      </c>
      <c r="M1806" s="4">
        <f>L1806/MAX(L$2:L1806)-1</f>
        <v>-0.14178450195905179</v>
      </c>
      <c r="N1806" s="4">
        <f t="shared" si="55"/>
        <v>3.6606309959078764E-2</v>
      </c>
    </row>
    <row r="1807" spans="1:14">
      <c r="A1807" s="3">
        <f>prices!A1808</f>
        <v>46140</v>
      </c>
      <c r="B1807" s="5">
        <f>prices!B1808/prices!B1807-1</f>
        <v>1.6917860111363758E-2</v>
      </c>
      <c r="C1807" s="5">
        <f>prices!C1808/prices!C1807-1</f>
        <v>-1.186664390491643E-3</v>
      </c>
      <c r="D1807" s="5">
        <f>prices!D1808/prices!D1807-1</f>
        <v>-9.1769097110495634E-3</v>
      </c>
      <c r="E1807" s="5">
        <f>prices!E1808/prices!E1807-1</f>
        <v>-1.554765999423835E-2</v>
      </c>
      <c r="F1807" s="5">
        <f>prices!F1808/prices!F1807-1</f>
        <v>1.9946583724939071E-3</v>
      </c>
      <c r="G1807" s="5">
        <f>prices!G1808/prices!G1807-1</f>
        <v>-2.4958500534355887E-2</v>
      </c>
      <c r="H1807" s="5">
        <f>prices!H1808/prices!H1807-1</f>
        <v>7.9584955204543562E-3</v>
      </c>
      <c r="I1807" s="5">
        <f>prices!I1808/prices!I1807-1</f>
        <v>-3.9233856202312012E-3</v>
      </c>
      <c r="J1807" s="5">
        <f>prices!J1808/prices!J1807-1</f>
        <v>-4.0261157944107007E-3</v>
      </c>
      <c r="K1807" s="8">
        <f>SUMPRODUCT(B1807:I1807,weights!$B$5:$I$5)</f>
        <v>-4.2080322903934727E-3</v>
      </c>
      <c r="L1807" s="4">
        <f t="shared" si="56"/>
        <v>276.8199115361021</v>
      </c>
      <c r="M1807" s="4">
        <f>L1807/MAX(L$2:L1807)-1</f>
        <v>-0.14539590048692419</v>
      </c>
      <c r="N1807" s="4">
        <f t="shared" si="55"/>
        <v>1.4737235538853311E-2</v>
      </c>
    </row>
    <row r="1808" spans="1:14">
      <c r="A1808" s="3">
        <f>prices!A1809</f>
        <v>46141</v>
      </c>
      <c r="B1808" s="5">
        <f>prices!B1809/prices!B1808-1</f>
        <v>2.6278290934604431E-2</v>
      </c>
      <c r="C1808" s="5">
        <f>prices!C1809/prices!C1808-1</f>
        <v>1.2272598422570891E-2</v>
      </c>
      <c r="D1808" s="5">
        <f>prices!D1809/prices!D1808-1</f>
        <v>-4.5335273180743263E-3</v>
      </c>
      <c r="E1808" s="5">
        <f>prices!E1809/prices!E1808-1</f>
        <v>1.3363483195885317E-2</v>
      </c>
      <c r="F1808" s="5">
        <f>prices!F1809/prices!F1808-1</f>
        <v>3.8734057628719842E-2</v>
      </c>
      <c r="G1808" s="5">
        <f>prices!G1809/prices!G1808-1</f>
        <v>2.8312079230261356E-2</v>
      </c>
      <c r="H1808" s="5">
        <f>prices!H1809/prices!H1808-1</f>
        <v>1.7971802861028285E-2</v>
      </c>
      <c r="I1808" s="5">
        <f>prices!I1809/prices!I1808-1</f>
        <v>1.4464918072144561E-2</v>
      </c>
      <c r="J1808" s="5">
        <f>prices!J1809/prices!J1808-1</f>
        <v>7.5826085506986995E-3</v>
      </c>
      <c r="K1808" s="8">
        <f>SUMPRODUCT(B1808:I1808,weights!$B$5:$I$5)</f>
        <v>1.9520062164830133E-2</v>
      </c>
      <c r="L1808" s="4">
        <f t="shared" si="56"/>
        <v>282.22345341774957</v>
      </c>
      <c r="M1808" s="4">
        <f>L1808/MAX(L$2:L1808)-1</f>
        <v>-0.12871397533811035</v>
      </c>
      <c r="N1808" s="4">
        <f t="shared" si="55"/>
        <v>5.4001824319165115E-2</v>
      </c>
    </row>
    <row r="1809" spans="1:14">
      <c r="A1809" s="3">
        <f>prices!A1810</f>
        <v>46142</v>
      </c>
      <c r="B1809" s="5">
        <f>prices!B1810/prices!B1809-1</f>
        <v>3.7918299455894644E-3</v>
      </c>
      <c r="C1809" s="5">
        <f>prices!C1810/prices!C1809-1</f>
        <v>-3.2121501639026384E-4</v>
      </c>
      <c r="D1809" s="5">
        <f>prices!D1810/prices!D1809-1</f>
        <v>-9.3823809585948936E-3</v>
      </c>
      <c r="E1809" s="5">
        <f>prices!E1810/prices!E1809-1</f>
        <v>1.2250934133727798E-2</v>
      </c>
      <c r="F1809" s="5">
        <f>prices!F1810/prices!F1809-1</f>
        <v>-4.2551809263950968E-3</v>
      </c>
      <c r="G1809" s="5">
        <f>prices!G1810/prices!G1809-1</f>
        <v>4.300131502958493E-3</v>
      </c>
      <c r="H1809" s="5">
        <f>prices!H1810/prices!H1809-1</f>
        <v>1.6639891773061688E-2</v>
      </c>
      <c r="I1809" s="5">
        <f>prices!I1810/prices!I1809-1</f>
        <v>-2.0044472054589146E-2</v>
      </c>
      <c r="J1809" s="5">
        <f>prices!J1810/prices!J1809-1</f>
        <v>-7.4490283381554168E-3</v>
      </c>
      <c r="K1809" s="8">
        <f>SUMPRODUCT(B1809:I1809,weights!$B$5:$I$5)</f>
        <v>-1.6345764608824247E-4</v>
      </c>
      <c r="L1809" s="4">
        <f t="shared" si="56"/>
        <v>282.17732183638299</v>
      </c>
      <c r="M1809" s="4">
        <f>L1809/MAX(L$2:L1809)-1</f>
        <v>-0.12885639370077129</v>
      </c>
      <c r="N1809" s="4">
        <f t="shared" si="55"/>
        <v>6.9763581289357113E-2</v>
      </c>
    </row>
    <row r="1810" spans="1:14">
      <c r="A1810" s="3">
        <f>prices!A1811</f>
        <v>46143</v>
      </c>
      <c r="B1810" s="5">
        <f>prices!B1811/prices!B1810-1</f>
        <v>0</v>
      </c>
      <c r="C1810" s="5">
        <f>prices!C1811/prices!C1810-1</f>
        <v>0</v>
      </c>
      <c r="D1810" s="5">
        <f>prices!D1811/prices!D1810-1</f>
        <v>0</v>
      </c>
      <c r="E1810" s="5">
        <f>prices!E1811/prices!E1810-1</f>
        <v>0</v>
      </c>
      <c r="F1810" s="5">
        <f>prices!F1811/prices!F1810-1</f>
        <v>0</v>
      </c>
      <c r="G1810" s="5">
        <f>prices!G1811/prices!G1810-1</f>
        <v>0</v>
      </c>
      <c r="H1810" s="5">
        <f>prices!H1811/prices!H1810-1</f>
        <v>0</v>
      </c>
      <c r="I1810" s="5">
        <f>prices!I1811/prices!I1810-1</f>
        <v>0</v>
      </c>
      <c r="J1810" s="5">
        <f>prices!J1811/prices!J1810-1</f>
        <v>0</v>
      </c>
      <c r="K1810" s="8">
        <f>SUMPRODUCT(B1810:I1810,weights!$B$5:$I$5)</f>
        <v>0</v>
      </c>
      <c r="L1810" s="4">
        <f t="shared" si="56"/>
        <v>282.17732183638299</v>
      </c>
      <c r="M1810" s="4">
        <f>L1810/MAX(L$2:L1810)-1</f>
        <v>-0.12885639370077129</v>
      </c>
      <c r="N1810" s="4">
        <f t="shared" si="55"/>
        <v>5.4228287874220849E-2</v>
      </c>
    </row>
    <row r="1811" spans="1:14">
      <c r="A1811" s="3">
        <f>prices!A1812</f>
        <v>46146</v>
      </c>
      <c r="B1811" s="5">
        <f>prices!B1812/prices!B1811-1</f>
        <v>2.2573759671960625E-2</v>
      </c>
      <c r="C1811" s="5">
        <f>prices!C1812/prices!C1811-1</f>
        <v>-1.7223480947476832E-2</v>
      </c>
      <c r="D1811" s="5">
        <f>prices!D1812/prices!D1811-1</f>
        <v>9.984983007087056E-3</v>
      </c>
      <c r="E1811" s="5">
        <f>prices!E1812/prices!E1811-1</f>
        <v>-1.1341926225610921E-2</v>
      </c>
      <c r="F1811" s="5">
        <f>prices!F1812/prices!F1811-1</f>
        <v>-1.2069809166530665E-2</v>
      </c>
      <c r="G1811" s="5">
        <f>prices!G1812/prices!G1811-1</f>
        <v>1.9978576229628731E-2</v>
      </c>
      <c r="H1811" s="5">
        <f>prices!H1812/prices!H1811-1</f>
        <v>8.4055512123177856E-3</v>
      </c>
      <c r="I1811" s="5">
        <f>prices!I1812/prices!I1811-1</f>
        <v>2.1624232422764234E-2</v>
      </c>
      <c r="J1811" s="5">
        <f>prices!J1812/prices!J1811-1</f>
        <v>5.0734345797800451E-3</v>
      </c>
      <c r="K1811" s="8">
        <f>SUMPRODUCT(B1811:I1811,weights!$B$5:$I$5)</f>
        <v>9.5442491846494462E-3</v>
      </c>
      <c r="L1811" s="4">
        <f t="shared" si="56"/>
        <v>284.87049251024644</v>
      </c>
      <c r="M1811" s="4">
        <f>L1811/MAX(L$2:L1811)-1</f>
        <v>-0.12054198204663735</v>
      </c>
      <c r="N1811" s="4">
        <f t="shared" si="55"/>
        <v>6.2345344562417804E-2</v>
      </c>
    </row>
    <row r="1812" spans="1:14">
      <c r="A1812" s="3">
        <f>prices!A1813</f>
        <v>46147</v>
      </c>
      <c r="B1812" s="5">
        <f>prices!B1813/prices!B1812-1</f>
        <v>3.364529618159473E-4</v>
      </c>
      <c r="C1812" s="5">
        <f>prices!C1813/prices!C1812-1</f>
        <v>-1.6431304989332762E-3</v>
      </c>
      <c r="D1812" s="5">
        <f>prices!D1813/prices!D1812-1</f>
        <v>-9.1167570951585786E-3</v>
      </c>
      <c r="E1812" s="5">
        <f>prices!E1813/prices!E1812-1</f>
        <v>8.3067372010667828E-3</v>
      </c>
      <c r="F1812" s="5">
        <f>prices!F1813/prices!F1812-1</f>
        <v>1.1226679874525303E-3</v>
      </c>
      <c r="G1812" s="5">
        <f>prices!G1813/prices!G1812-1</f>
        <v>-1.1340300498996925E-2</v>
      </c>
      <c r="H1812" s="5">
        <f>prices!H1813/prices!H1812-1</f>
        <v>-1.4790540651993256E-3</v>
      </c>
      <c r="I1812" s="5">
        <f>prices!I1813/prices!I1812-1</f>
        <v>-1.1289961168443274E-2</v>
      </c>
      <c r="J1812" s="5">
        <f>prices!J1813/prices!J1812-1</f>
        <v>-3.5863395703855661E-3</v>
      </c>
      <c r="K1812" s="8">
        <f>SUMPRODUCT(B1812:I1812,weights!$B$5:$I$5)</f>
        <v>-4.6327216540892769E-3</v>
      </c>
      <c r="L1812" s="4">
        <f t="shared" si="56"/>
        <v>283.55076681098313</v>
      </c>
      <c r="M1812" s="4">
        <f>L1812/MAX(L$2:L1812)-1</f>
        <v>-0.12461626625027233</v>
      </c>
      <c r="N1812" s="4">
        <f t="shared" si="55"/>
        <v>5.044443040218427E-2</v>
      </c>
    </row>
    <row r="1813" spans="1:14">
      <c r="A1813" s="3">
        <f>prices!A1814</f>
        <v>46148</v>
      </c>
      <c r="B1813" s="5">
        <f>prices!B1814/prices!B1813-1</f>
        <v>-1.75583103386735E-2</v>
      </c>
      <c r="C1813" s="5">
        <f>prices!C1814/prices!C1813-1</f>
        <v>3.3378537810115905E-3</v>
      </c>
      <c r="D1813" s="5">
        <f>prices!D1814/prices!D1813-1</f>
        <v>3.1405894199254991E-2</v>
      </c>
      <c r="E1813" s="5">
        <f>prices!E1814/prices!E1813-1</f>
        <v>-9.2529159259420179E-3</v>
      </c>
      <c r="F1813" s="5">
        <f>prices!F1814/prices!F1813-1</f>
        <v>-2.4077311256968104E-3</v>
      </c>
      <c r="G1813" s="5">
        <f>prices!G1814/prices!G1813-1</f>
        <v>2.2047018995674295E-2</v>
      </c>
      <c r="H1813" s="5">
        <f>prices!H1814/prices!H1813-1</f>
        <v>1.6145018832184332E-2</v>
      </c>
      <c r="I1813" s="5">
        <f>prices!I1814/prices!I1813-1</f>
        <v>-1.1344165288597607E-2</v>
      </c>
      <c r="J1813" s="5">
        <f>prices!J1814/prices!J1813-1</f>
        <v>1.2405961852135494E-2</v>
      </c>
      <c r="K1813" s="8">
        <f>SUMPRODUCT(B1813:I1813,weights!$B$5:$I$5)</f>
        <v>3.8934115204119395E-3</v>
      </c>
      <c r="L1813" s="4">
        <f t="shared" si="56"/>
        <v>284.65474663310664</v>
      </c>
      <c r="M1813" s="4">
        <f>L1813/MAX(L$2:L1813)-1</f>
        <v>-0.12120803713650996</v>
      </c>
      <c r="N1813" s="4">
        <f t="shared" si="55"/>
        <v>4.498910883687568E-2</v>
      </c>
    </row>
    <row r="1814" spans="1:14">
      <c r="A1814" s="3">
        <f>prices!A1815</f>
        <v>46149</v>
      </c>
      <c r="B1814" s="5">
        <f>prices!B1815/prices!B1814-1</f>
        <v>-1.1807612766195907E-3</v>
      </c>
      <c r="C1814" s="5">
        <f>prices!C1815/prices!C1814-1</f>
        <v>-1.3963979043569941E-2</v>
      </c>
      <c r="D1814" s="5">
        <f>prices!D1815/prices!D1814-1</f>
        <v>-6.2532702050821509E-4</v>
      </c>
      <c r="E1814" s="5">
        <f>prices!E1815/prices!E1814-1</f>
        <v>-3.8600238078566607E-3</v>
      </c>
      <c r="F1814" s="5">
        <f>prices!F1815/prices!F1814-1</f>
        <v>-1.0612973616345944E-2</v>
      </c>
      <c r="G1814" s="5">
        <f>prices!G1815/prices!G1814-1</f>
        <v>3.4978315211151578E-3</v>
      </c>
      <c r="H1814" s="5">
        <f>prices!H1815/prices!H1814-1</f>
        <v>-8.5403390124419998E-3</v>
      </c>
      <c r="I1814" s="5">
        <f>prices!I1815/prices!I1814-1</f>
        <v>3.6173744813878805E-3</v>
      </c>
      <c r="J1814" s="5">
        <f>prices!J1815/prices!J1814-1</f>
        <v>-1.7672963858783586E-4</v>
      </c>
      <c r="K1814" s="8">
        <f>SUMPRODUCT(B1814:I1814,weights!$B$5:$I$5)</f>
        <v>-2.5328286925014121E-3</v>
      </c>
      <c r="L1814" s="4">
        <f t="shared" si="56"/>
        <v>283.93376492337762</v>
      </c>
      <c r="M1814" s="4">
        <f>L1814/MAX(L$2:L1814)-1</f>
        <v>-0.12343386663479017</v>
      </c>
      <c r="N1814" s="4">
        <f t="shared" si="55"/>
        <v>4.6185835094187944E-3</v>
      </c>
    </row>
    <row r="1815" spans="1:14">
      <c r="A1815" s="3">
        <f>prices!A1816</f>
        <v>46150</v>
      </c>
      <c r="B1815" s="5">
        <f>prices!B1816/prices!B1815-1</f>
        <v>-6.9950125560480636E-4</v>
      </c>
      <c r="C1815" s="5">
        <f>prices!C1816/prices!C1815-1</f>
        <v>-2.9112822797972004E-3</v>
      </c>
      <c r="D1815" s="5">
        <f>prices!D1816/prices!D1815-1</f>
        <v>-1.9090793002170869E-2</v>
      </c>
      <c r="E1815" s="5">
        <f>prices!E1816/prices!E1815-1</f>
        <v>1.4190691258006982E-2</v>
      </c>
      <c r="F1815" s="5">
        <f>prices!F1816/prices!F1815-1</f>
        <v>1.6708437761070449E-4</v>
      </c>
      <c r="G1815" s="5">
        <f>prices!G1816/prices!G1815-1</f>
        <v>-3.1951693967907646E-3</v>
      </c>
      <c r="H1815" s="5">
        <f>prices!H1816/prices!H1815-1</f>
        <v>7.3622649759510495E-3</v>
      </c>
      <c r="I1815" s="5">
        <f>prices!I1816/prices!I1815-1</f>
        <v>-1.2055450554580904E-2</v>
      </c>
      <c r="J1815" s="5">
        <f>prices!J1816/prices!J1815-1</f>
        <v>-6.1866307115858721E-3</v>
      </c>
      <c r="K1815" s="8">
        <f>SUMPRODUCT(B1815:I1815,weights!$B$5:$I$5)</f>
        <v>-2.4326567841692873E-3</v>
      </c>
      <c r="L1815" s="4">
        <f t="shared" si="56"/>
        <v>283.24305152388206</v>
      </c>
      <c r="M1815" s="4">
        <f>L1815/MAX(L$2:L1815)-1</f>
        <v>-0.12556625118589404</v>
      </c>
      <c r="N1815" s="4">
        <f t="shared" ref="N1815:N1878" si="57">L1815/L1795-1</f>
        <v>1.0730331997679254E-2</v>
      </c>
    </row>
    <row r="1816" spans="1:14">
      <c r="A1816" s="3">
        <f>prices!A1817</f>
        <v>46153</v>
      </c>
      <c r="B1816" s="5">
        <f>prices!B1817/prices!B1816-1</f>
        <v>-3.2745574307533998E-2</v>
      </c>
      <c r="C1816" s="5">
        <f>prices!C1817/prices!C1816-1</f>
        <v>-6.2992394094019133E-4</v>
      </c>
      <c r="D1816" s="5">
        <f>prices!D1817/prices!D1816-1</f>
        <v>-2.2026947861745749E-2</v>
      </c>
      <c r="E1816" s="5">
        <f>prices!E1817/prices!E1816-1</f>
        <v>-1.862729808875363E-3</v>
      </c>
      <c r="F1816" s="5">
        <f>prices!F1817/prices!F1816-1</f>
        <v>-5.2121617106581919E-3</v>
      </c>
      <c r="G1816" s="5">
        <f>prices!G1817/prices!G1816-1</f>
        <v>-1.7703347873949893E-2</v>
      </c>
      <c r="H1816" s="5">
        <f>prices!H1817/prices!H1816-1</f>
        <v>1.341783003358521E-2</v>
      </c>
      <c r="I1816" s="5">
        <f>prices!I1817/prices!I1816-1</f>
        <v>-8.6304578690364897E-3</v>
      </c>
      <c r="J1816" s="5">
        <f>prices!J1817/prices!J1816-1</f>
        <v>-1.4903117328441629E-2</v>
      </c>
      <c r="K1816" s="8">
        <f>SUMPRODUCT(B1816:I1816,weights!$B$5:$I$5)</f>
        <v>-9.5722862425389257E-3</v>
      </c>
      <c r="L1816" s="4">
        <f t="shared" si="56"/>
        <v>280.53176795848526</v>
      </c>
      <c r="M1816" s="4">
        <f>L1816/MAX(L$2:L1816)-1</f>
        <v>-0.13393658132967901</v>
      </c>
      <c r="N1816" s="4">
        <f t="shared" si="57"/>
        <v>2.8156749611698562E-3</v>
      </c>
    </row>
    <row r="1817" spans="1:14">
      <c r="A1817" s="3">
        <f>prices!A1818</f>
        <v>46154</v>
      </c>
      <c r="B1817" s="5">
        <f>prices!B1818/prices!B1817-1</f>
        <v>-1.7433655857172825E-2</v>
      </c>
      <c r="C1817" s="5">
        <f>prices!C1818/prices!C1817-1</f>
        <v>-3.8696598396088633E-2</v>
      </c>
      <c r="D1817" s="5">
        <f>prices!D1818/prices!D1817-1</f>
        <v>-1.7291641707599559E-2</v>
      </c>
      <c r="E1817" s="5">
        <f>prices!E1818/prices!E1817-1</f>
        <v>-3.1178661018861575E-2</v>
      </c>
      <c r="F1817" s="5">
        <f>prices!F1818/prices!F1817-1</f>
        <v>-1.6826761604084028E-2</v>
      </c>
      <c r="G1817" s="5">
        <f>prices!G1818/prices!G1817-1</f>
        <v>-2.3066250953259204E-2</v>
      </c>
      <c r="H1817" s="5">
        <f>prices!H1818/prices!H1817-1</f>
        <v>-1.4412678016918257E-2</v>
      </c>
      <c r="I1817" s="5">
        <f>prices!I1818/prices!I1817-1</f>
        <v>-2.1242462372728532E-2</v>
      </c>
      <c r="J1817" s="5">
        <f>prices!J1818/prices!J1817-1</f>
        <v>-1.8319732447088732E-2</v>
      </c>
      <c r="K1817" s="8">
        <f>SUMPRODUCT(B1817:I1817,weights!$B$5:$I$5)</f>
        <v>-2.1793469955526987E-2</v>
      </c>
      <c r="L1817" s="4">
        <f t="shared" si="56"/>
        <v>274.41800730191113</v>
      </c>
      <c r="M1817" s="4">
        <f>L1817/MAX(L$2:L1817)-1</f>
        <v>-0.15281110842405166</v>
      </c>
      <c r="N1817" s="4">
        <f t="shared" si="57"/>
        <v>-4.4095944436794987E-4</v>
      </c>
    </row>
    <row r="1818" spans="1:14">
      <c r="A1818" s="3">
        <f>prices!A1819</f>
        <v>46155</v>
      </c>
      <c r="B1818" s="5">
        <f>prices!B1819/prices!B1818-1</f>
        <v>-3.8078543440474011E-3</v>
      </c>
      <c r="C1818" s="5">
        <f>prices!C1819/prices!C1818-1</f>
        <v>-1.1953126730611663E-2</v>
      </c>
      <c r="D1818" s="5">
        <f>prices!D1819/prices!D1818-1</f>
        <v>-1.1378413524057995E-3</v>
      </c>
      <c r="E1818" s="5">
        <f>prices!E1819/prices!E1818-1</f>
        <v>-1.5087577834520527E-2</v>
      </c>
      <c r="F1818" s="5">
        <f>prices!F1819/prices!F1818-1</f>
        <v>1.2468827930174564E-2</v>
      </c>
      <c r="G1818" s="5">
        <f>prices!G1819/prices!G1818-1</f>
        <v>-5.2388499988115234E-3</v>
      </c>
      <c r="H1818" s="5">
        <f>prices!H1819/prices!H1818-1</f>
        <v>-1.1326104906349221E-2</v>
      </c>
      <c r="I1818" s="5">
        <f>prices!I1819/prices!I1818-1</f>
        <v>1.5374947633012281E-2</v>
      </c>
      <c r="J1818" s="5">
        <f>prices!J1819/prices!J1818-1</f>
        <v>1.4136285771111368E-3</v>
      </c>
      <c r="K1818" s="8">
        <f>SUMPRODUCT(B1818:I1818,weights!$B$5:$I$5)</f>
        <v>-1.5527640114516555E-3</v>
      </c>
      <c r="L1818" s="4">
        <f t="shared" si="56"/>
        <v>273.99190089607845</v>
      </c>
      <c r="M1818" s="4">
        <f>L1818/MAX(L$2:L1818)-1</f>
        <v>-0.15412659284579244</v>
      </c>
      <c r="N1818" s="4">
        <f t="shared" si="57"/>
        <v>-2.4709136484420302E-2</v>
      </c>
    </row>
    <row r="1819" spans="1:14">
      <c r="A1819" s="3">
        <f>prices!A1820</f>
        <v>46156</v>
      </c>
      <c r="B1819" s="5">
        <f>prices!B1820/prices!B1819-1</f>
        <v>2.2032457210454659E-3</v>
      </c>
      <c r="C1819" s="5">
        <f>prices!C1820/prices!C1819-1</f>
        <v>-1.1792822968652694E-2</v>
      </c>
      <c r="D1819" s="5">
        <f>prices!D1820/prices!D1819-1</f>
        <v>2.6620558719826493E-2</v>
      </c>
      <c r="E1819" s="5">
        <f>prices!E1820/prices!E1819-1</f>
        <v>-2.5015691661132933E-2</v>
      </c>
      <c r="F1819" s="5">
        <f>prices!F1820/prices!F1819-1</f>
        <v>9.0087050408260705E-3</v>
      </c>
      <c r="G1819" s="5">
        <f>prices!G1820/prices!G1819-1</f>
        <v>-2.1367933145810536E-3</v>
      </c>
      <c r="H1819" s="5">
        <f>prices!H1820/prices!H1819-1</f>
        <v>2.1043609171277344E-2</v>
      </c>
      <c r="I1819" s="5">
        <f>prices!I1820/prices!I1819-1</f>
        <v>6.2817180344101331E-3</v>
      </c>
      <c r="J1819" s="5">
        <f>prices!J1820/prices!J1819-1</f>
        <v>1.1831236171975679E-2</v>
      </c>
      <c r="K1819" s="8">
        <f>SUMPRODUCT(B1819:I1819,weights!$B$5:$I$5)</f>
        <v>3.8534524183948247E-3</v>
      </c>
      <c r="L1819" s="4">
        <f t="shared" si="56"/>
        <v>275.04771564920702</v>
      </c>
      <c r="M1819" s="4">
        <f>L1819/MAX(L$2:L1819)-1</f>
        <v>-0.15086705991933824</v>
      </c>
      <c r="N1819" s="4">
        <f t="shared" si="57"/>
        <v>-2.396966641447007E-2</v>
      </c>
    </row>
    <row r="1820" spans="1:14">
      <c r="A1820" s="3">
        <f>prices!A1821</f>
        <v>46157</v>
      </c>
      <c r="B1820" s="5">
        <f>prices!B1821/prices!B1820-1</f>
        <v>-1.8649531917404927E-2</v>
      </c>
      <c r="C1820" s="5">
        <f>prices!C1821/prices!C1820-1</f>
        <v>8.0131768207745147E-3</v>
      </c>
      <c r="D1820" s="5">
        <f>prices!D1821/prices!D1820-1</f>
        <v>-2.6683222593556488E-3</v>
      </c>
      <c r="E1820" s="5">
        <f>prices!E1821/prices!E1820-1</f>
        <v>2.1916197833571349E-2</v>
      </c>
      <c r="F1820" s="5">
        <f>prices!F1821/prices!F1820-1</f>
        <v>7.3231901019896739E-3</v>
      </c>
      <c r="G1820" s="5">
        <f>prices!G1821/prices!G1820-1</f>
        <v>1.1166482168004865E-2</v>
      </c>
      <c r="H1820" s="5">
        <f>prices!H1821/prices!H1820-1</f>
        <v>8.0502386551366545E-3</v>
      </c>
      <c r="I1820" s="5">
        <f>prices!I1821/prices!I1820-1</f>
        <v>-7.9671371608392993E-3</v>
      </c>
      <c r="J1820" s="5">
        <f>prices!J1821/prices!J1820-1</f>
        <v>-1.946001620964366E-3</v>
      </c>
      <c r="K1820" s="8">
        <f>SUMPRODUCT(B1820:I1820,weights!$B$5:$I$5)</f>
        <v>2.4164702826738266E-3</v>
      </c>
      <c r="L1820" s="4">
        <f t="shared" si="56"/>
        <v>275.71236028039067</v>
      </c>
      <c r="M1820" s="4">
        <f>L1820/MAX(L$2:L1820)-1</f>
        <v>-0.1488151554035938</v>
      </c>
      <c r="N1820" s="4">
        <f t="shared" si="57"/>
        <v>-2.4102977006848936E-2</v>
      </c>
    </row>
    <row r="1821" spans="1:14">
      <c r="A1821" s="3">
        <f>prices!A1822</f>
        <v>46160</v>
      </c>
      <c r="B1821" s="5">
        <f>prices!B1822/prices!B1821-1</f>
        <v>-3.7586919751930736E-4</v>
      </c>
      <c r="C1821" s="5">
        <f>prices!C1822/prices!C1821-1</f>
        <v>8.4806417198957096E-3</v>
      </c>
      <c r="D1821" s="5">
        <f>prices!D1822/prices!D1821-1</f>
        <v>1.4966689182924764E-3</v>
      </c>
      <c r="E1821" s="5">
        <f>prices!E1822/prices!E1821-1</f>
        <v>2.0998813110563397E-2</v>
      </c>
      <c r="F1821" s="5">
        <f>prices!F1822/prices!F1821-1</f>
        <v>2.2573363431150906E-3</v>
      </c>
      <c r="G1821" s="5">
        <f>prices!G1822/prices!G1821-1</f>
        <v>-1.5505510506862774E-2</v>
      </c>
      <c r="H1821" s="5">
        <f>prices!H1822/prices!H1821-1</f>
        <v>1.4696069482034169E-2</v>
      </c>
      <c r="I1821" s="5">
        <f>prices!I1822/prices!I1821-1</f>
        <v>2.2499541484659602E-3</v>
      </c>
      <c r="J1821" s="5">
        <f>prices!J1822/prices!J1821-1</f>
        <v>2.7280225008996517E-4</v>
      </c>
      <c r="K1821" s="8">
        <f>SUMPRODUCT(B1821:I1821,weights!$B$5:$I$5)</f>
        <v>2.4224289703862877E-3</v>
      </c>
      <c r="L1821" s="4">
        <f t="shared" si="56"/>
        <v>276.38025388942748</v>
      </c>
      <c r="M1821" s="4">
        <f>L1821/MAX(L$2:L1821)-1</f>
        <v>-0.14675322057688966</v>
      </c>
      <c r="N1821" s="4">
        <f t="shared" si="57"/>
        <v>-1.7462877092920381E-2</v>
      </c>
    </row>
    <row r="1822" spans="1:14">
      <c r="A1822" s="3">
        <f>prices!A1823</f>
        <v>46161</v>
      </c>
      <c r="B1822" s="5">
        <f>prices!B1823/prices!B1822-1</f>
        <v>-9.8815566835872559E-3</v>
      </c>
      <c r="C1822" s="5">
        <f>prices!C1823/prices!C1822-1</f>
        <v>1.9228966643902501E-2</v>
      </c>
      <c r="D1822" s="5">
        <f>prices!D1823/prices!D1822-1</f>
        <v>-8.0672891263522395E-3</v>
      </c>
      <c r="E1822" s="5">
        <f>prices!E1823/prices!E1822-1</f>
        <v>4.7616918537065178E-2</v>
      </c>
      <c r="F1822" s="5">
        <f>prices!F1823/prices!F1822-1</f>
        <v>4.9682034976150646E-4</v>
      </c>
      <c r="G1822" s="5">
        <f>prices!G1823/prices!G1822-1</f>
        <v>-4.6094464163494164E-3</v>
      </c>
      <c r="H1822" s="5">
        <f>prices!H1823/prices!H1822-1</f>
        <v>-1.2331520080807179E-2</v>
      </c>
      <c r="I1822" s="5">
        <f>prices!I1823/prices!I1822-1</f>
        <v>8.1703136678790145E-4</v>
      </c>
      <c r="J1822" s="5">
        <f>prices!J1823/prices!J1822-1</f>
        <v>-1.3509542303472566E-3</v>
      </c>
      <c r="K1822" s="8">
        <f>SUMPRODUCT(B1822:I1822,weights!$B$5:$I$5)</f>
        <v>1.3130499534398817E-3</v>
      </c>
      <c r="L1822" s="4">
        <f t="shared" si="56"/>
        <v>276.74315496892871</v>
      </c>
      <c r="M1822" s="4">
        <f>L1822/MAX(L$2:L1822)-1</f>
        <v>-0.1456328649328954</v>
      </c>
      <c r="N1822" s="4">
        <f t="shared" si="57"/>
        <v>-2.0085629560969487E-2</v>
      </c>
    </row>
    <row r="1823" spans="1:14">
      <c r="A1823" s="3">
        <f>prices!A1824</f>
        <v>46162</v>
      </c>
      <c r="B1823" s="5">
        <f>prices!B1824/prices!B1823-1</f>
        <v>2.7973355815313683E-2</v>
      </c>
      <c r="C1823" s="5">
        <f>prices!C1824/prices!C1823-1</f>
        <v>1.2700081017746889E-4</v>
      </c>
      <c r="D1823" s="5">
        <f>prices!D1824/prices!D1823-1</f>
        <v>-3.8664604554423665E-3</v>
      </c>
      <c r="E1823" s="5">
        <f>prices!E1824/prices!E1823-1</f>
        <v>-2.6716742776662361E-3</v>
      </c>
      <c r="F1823" s="5">
        <f>prices!F1824/prices!F1823-1</f>
        <v>-8.8721157347635415E-3</v>
      </c>
      <c r="G1823" s="5">
        <f>prices!G1824/prices!G1823-1</f>
        <v>3.627453579040596E-3</v>
      </c>
      <c r="H1823" s="5">
        <f>prices!H1824/prices!H1823-1</f>
        <v>-1.0599878554155007E-3</v>
      </c>
      <c r="I1823" s="5">
        <f>prices!I1824/prices!I1823-1</f>
        <v>-2.6267875675690666E-3</v>
      </c>
      <c r="J1823" s="5">
        <f>prices!J1824/prices!J1823-1</f>
        <v>1.7359640951817301E-3</v>
      </c>
      <c r="K1823" s="8">
        <f>SUMPRODUCT(B1823:I1823,weights!$B$5:$I$5)</f>
        <v>2.3438012501159023E-3</v>
      </c>
      <c r="L1823" s="4">
        <f t="shared" si="56"/>
        <v>277.39178592150586</v>
      </c>
      <c r="M1823" s="4">
        <f>L1823/MAX(L$2:L1823)-1</f>
        <v>-0.1436303981736673</v>
      </c>
      <c r="N1823" s="4">
        <f t="shared" si="57"/>
        <v>-7.1892371289353774E-3</v>
      </c>
    </row>
    <row r="1824" spans="1:14">
      <c r="A1824" s="3">
        <f>prices!A1825</f>
        <v>46163</v>
      </c>
      <c r="B1824" s="5">
        <f>prices!B1825/prices!B1824-1</f>
        <v>-7.4255231114788156E-3</v>
      </c>
      <c r="C1824" s="5">
        <f>prices!C1825/prices!C1824-1</f>
        <v>-8.319686128877013E-5</v>
      </c>
      <c r="D1824" s="5">
        <f>prices!D1825/prices!D1824-1</f>
        <v>-4.5506866183053774E-4</v>
      </c>
      <c r="E1824" s="5">
        <f>prices!E1825/prices!E1824-1</f>
        <v>-1.0475685113229827E-2</v>
      </c>
      <c r="F1824" s="5">
        <f>prices!F1825/prices!F1824-1</f>
        <v>1.6366612111293755E-3</v>
      </c>
      <c r="G1824" s="5">
        <f>prices!G1825/prices!G1824-1</f>
        <v>5.3830636234630802E-4</v>
      </c>
      <c r="H1824" s="5">
        <f>prices!H1825/prices!H1824-1</f>
        <v>5.8494499810703982E-3</v>
      </c>
      <c r="I1824" s="5">
        <f>prices!I1825/prices!I1824-1</f>
        <v>4.552179649717214E-3</v>
      </c>
      <c r="J1824" s="5">
        <f>prices!J1825/prices!J1824-1</f>
        <v>-1.8174901728729154E-4</v>
      </c>
      <c r="K1824" s="8">
        <f>SUMPRODUCT(B1824:I1824,weights!$B$5:$I$5)</f>
        <v>1.462492052933331E-4</v>
      </c>
      <c r="L1824" s="4">
        <f t="shared" si="56"/>
        <v>277.43235424975177</v>
      </c>
      <c r="M1824" s="4">
        <f>L1824/MAX(L$2:L1824)-1</f>
        <v>-0.14350515479996284</v>
      </c>
      <c r="N1824" s="4">
        <f t="shared" si="57"/>
        <v>-1.3218410301130135E-3</v>
      </c>
    </row>
    <row r="1825" spans="1:14">
      <c r="A1825" s="3">
        <f>prices!A1826</f>
        <v>46164</v>
      </c>
      <c r="B1825" s="5">
        <f>prices!B1826/prices!B1825-1</f>
        <v>3.6326011061567076E-3</v>
      </c>
      <c r="C1825" s="5">
        <f>prices!C1826/prices!C1825-1</f>
        <v>-4.2565304022247341E-3</v>
      </c>
      <c r="D1825" s="5">
        <f>prices!D1826/prices!D1825-1</f>
        <v>1.0069630423138909E-2</v>
      </c>
      <c r="E1825" s="5">
        <f>prices!E1826/prices!E1825-1</f>
        <v>-5.6738570118841647E-3</v>
      </c>
      <c r="F1825" s="5">
        <f>prices!F1826/prices!F1825-1</f>
        <v>-2.0608243297318918E-2</v>
      </c>
      <c r="G1825" s="5">
        <f>prices!G1826/prices!G1825-1</f>
        <v>-1.7677693033885111E-3</v>
      </c>
      <c r="H1825" s="5">
        <f>prices!H1826/prices!H1825-1</f>
        <v>-2.4693059649271598E-2</v>
      </c>
      <c r="I1825" s="5">
        <f>prices!I1826/prices!I1825-1</f>
        <v>9.2790129803366206E-3</v>
      </c>
      <c r="J1825" s="5">
        <f>prices!J1826/prices!J1825-1</f>
        <v>2.7309583296342144E-3</v>
      </c>
      <c r="K1825" s="8">
        <f>SUMPRODUCT(B1825:I1825,weights!$B$5:$I$5)</f>
        <v>-3.6068535288115797E-3</v>
      </c>
      <c r="L1825" s="4">
        <f t="shared" si="56"/>
        <v>276.43169638381954</v>
      </c>
      <c r="M1825" s="4">
        <f>L1825/MAX(L$2:L1825)-1</f>
        <v>-0.14659440625478148</v>
      </c>
      <c r="N1825" s="4">
        <f t="shared" si="57"/>
        <v>1.7061154967832337E-2</v>
      </c>
    </row>
    <row r="1826" spans="1:14">
      <c r="A1826" s="3">
        <f>prices!A1827</f>
        <v>46167</v>
      </c>
      <c r="B1826" s="5">
        <f>prices!B1827/prices!B1826-1</f>
        <v>9.226638581293134E-3</v>
      </c>
      <c r="C1826" s="5">
        <f>prices!C1827/prices!C1826-1</f>
        <v>9.578552486333658E-3</v>
      </c>
      <c r="D1826" s="5">
        <f>prices!D1827/prices!D1826-1</f>
        <v>2.6156008060239655E-2</v>
      </c>
      <c r="E1826" s="5">
        <f>prices!E1827/prices!E1826-1</f>
        <v>-5.1060350376644914E-3</v>
      </c>
      <c r="F1826" s="5">
        <f>prices!F1827/prices!F1826-1</f>
        <v>7.4565883554646994E-3</v>
      </c>
      <c r="G1826" s="5">
        <f>prices!G1827/prices!G1826-1</f>
        <v>1.4090980854527091E-2</v>
      </c>
      <c r="H1826" s="5">
        <f>prices!H1827/prices!H1826-1</f>
        <v>-2.1687375664481978E-3</v>
      </c>
      <c r="I1826" s="5">
        <f>prices!I1827/prices!I1826-1</f>
        <v>2.719910355014532E-2</v>
      </c>
      <c r="J1826" s="5">
        <f>prices!J1827/prices!J1826-1</f>
        <v>1.3170709085006838E-2</v>
      </c>
      <c r="K1826" s="8">
        <f>SUMPRODUCT(B1826:I1826,weights!$B$5:$I$5)</f>
        <v>1.1920560887958207E-2</v>
      </c>
      <c r="L1826" s="4">
        <f t="shared" si="56"/>
        <v>279.72691725192442</v>
      </c>
      <c r="M1826" s="4">
        <f>L1826/MAX(L$2:L1826)-1</f>
        <v>-0.13642133291241765</v>
      </c>
      <c r="N1826" s="4">
        <f t="shared" si="57"/>
        <v>6.2492102028881558E-3</v>
      </c>
    </row>
    <row r="1827" spans="1:14">
      <c r="A1827" s="3">
        <f>prices!A1828</f>
        <v>46168</v>
      </c>
      <c r="B1827" s="5">
        <f>prices!B1828/prices!B1827-1</f>
        <v>-7.8267963048702649E-3</v>
      </c>
      <c r="C1827" s="5">
        <f>prices!C1828/prices!C1827-1</f>
        <v>-1.386123949625595E-2</v>
      </c>
      <c r="D1827" s="5">
        <f>prices!D1828/prices!D1827-1</f>
        <v>-1.0102706543504869E-2</v>
      </c>
      <c r="E1827" s="5">
        <f>prices!E1828/prices!E1827-1</f>
        <v>-6.8196721311475361E-4</v>
      </c>
      <c r="F1827" s="5">
        <f>prices!F1828/prices!F1827-1</f>
        <v>-7.5703808847883414E-3</v>
      </c>
      <c r="G1827" s="5">
        <f>prices!G1828/prices!G1827-1</f>
        <v>2.8851795184465789E-3</v>
      </c>
      <c r="H1827" s="5">
        <f>prices!H1828/prices!H1827-1</f>
        <v>1.089449228941497E-4</v>
      </c>
      <c r="I1827" s="5">
        <f>prices!I1828/prices!I1827-1</f>
        <v>1.0908910596518773E-3</v>
      </c>
      <c r="J1827" s="5">
        <f>prices!J1828/prices!J1827-1</f>
        <v>-4.9101811357498137E-3</v>
      </c>
      <c r="K1827" s="8">
        <f>SUMPRODUCT(B1827:I1827,weights!$B$5:$I$5)</f>
        <v>-2.8628380640665129E-3</v>
      </c>
      <c r="L1827" s="4">
        <f t="shared" si="56"/>
        <v>278.92610438567164</v>
      </c>
      <c r="M1827" s="4">
        <f>L1827/MAX(L$2:L1827)-1</f>
        <v>-0.13889361879187168</v>
      </c>
      <c r="N1827" s="4">
        <f t="shared" si="57"/>
        <v>7.6085308960691655E-3</v>
      </c>
    </row>
    <row r="1828" spans="1:14">
      <c r="A1828" s="3">
        <f>prices!A1829</f>
        <v>46169</v>
      </c>
      <c r="B1828" s="5">
        <f>prices!B1829/prices!B1828-1</f>
        <v>-4.2812912018724836E-3</v>
      </c>
      <c r="C1828" s="5">
        <f>prices!C1829/prices!C1828-1</f>
        <v>3.5118098410187315E-3</v>
      </c>
      <c r="D1828" s="5">
        <f>prices!D1829/prices!D1828-1</f>
        <v>-2.5997415919502109E-2</v>
      </c>
      <c r="E1828" s="5">
        <f>prices!E1829/prices!E1828-1</f>
        <v>-6.6843399214328025E-3</v>
      </c>
      <c r="F1828" s="5">
        <f>prices!F1829/prices!F1828-1</f>
        <v>-5.7892048356886772E-3</v>
      </c>
      <c r="G1828" s="5">
        <f>prices!G1829/prices!G1828-1</f>
        <v>1.1811110932676394E-2</v>
      </c>
      <c r="H1828" s="5">
        <f>prices!H1829/prices!H1828-1</f>
        <v>1.9008818130816785E-3</v>
      </c>
      <c r="I1828" s="5">
        <f>prices!I1829/prices!I1828-1</f>
        <v>2.4022982812421656E-3</v>
      </c>
      <c r="J1828" s="5">
        <f>prices!J1829/prices!J1828-1</f>
        <v>-2.7390157106588209E-4</v>
      </c>
      <c r="K1828" s="8">
        <f>SUMPRODUCT(B1828:I1828,weights!$B$5:$I$5)</f>
        <v>-1.6444170629265553E-4</v>
      </c>
      <c r="L1828" s="4">
        <f t="shared" si="56"/>
        <v>278.8802373011369</v>
      </c>
      <c r="M1828" s="4">
        <f>L1828/MAX(L$2:L1828)-1</f>
        <v>-0.13903522059449702</v>
      </c>
      <c r="N1828" s="4">
        <f t="shared" si="57"/>
        <v>-1.1845989679900915E-2</v>
      </c>
    </row>
    <row r="1829" spans="1:14">
      <c r="A1829" s="3">
        <f>prices!A1830</f>
        <v>46170</v>
      </c>
      <c r="B1829" s="5">
        <f>prices!B1830/prices!B1829-1</f>
        <v>0</v>
      </c>
      <c r="C1829" s="5">
        <f>prices!C1830/prices!C1829-1</f>
        <v>0</v>
      </c>
      <c r="D1829" s="5">
        <f>prices!D1830/prices!D1829-1</f>
        <v>0</v>
      </c>
      <c r="E1829" s="5">
        <f>prices!E1830/prices!E1829-1</f>
        <v>0</v>
      </c>
      <c r="F1829" s="5">
        <f>prices!F1830/prices!F1829-1</f>
        <v>0</v>
      </c>
      <c r="G1829" s="5">
        <f>prices!G1830/prices!G1829-1</f>
        <v>0</v>
      </c>
      <c r="H1829" s="5">
        <f>prices!H1830/prices!H1829-1</f>
        <v>0</v>
      </c>
      <c r="I1829" s="5">
        <f>prices!I1830/prices!I1829-1</f>
        <v>0</v>
      </c>
      <c r="J1829" s="5">
        <f>prices!J1830/prices!J1829-1</f>
        <v>0</v>
      </c>
      <c r="K1829" s="8">
        <f>SUMPRODUCT(B1829:I1829,weights!$B$5:$I$5)</f>
        <v>0</v>
      </c>
      <c r="L1829" s="4">
        <f t="shared" si="56"/>
        <v>278.8802373011369</v>
      </c>
      <c r="M1829" s="4">
        <f>L1829/MAX(L$2:L1829)-1</f>
        <v>-0.13903522059449702</v>
      </c>
      <c r="N1829" s="4">
        <f t="shared" si="57"/>
        <v>-1.1684441945188806E-2</v>
      </c>
    </row>
    <row r="1830" spans="1:14">
      <c r="A1830" s="3">
        <f>prices!A1831</f>
        <v>46171</v>
      </c>
      <c r="B1830" s="5">
        <f>prices!B1831/prices!B1830-1</f>
        <v>-2.1691909423632083E-2</v>
      </c>
      <c r="C1830" s="5">
        <f>prices!C1831/prices!C1830-1</f>
        <v>-1.1075211071689517E-2</v>
      </c>
      <c r="D1830" s="5">
        <f>prices!D1831/prices!D1830-1</f>
        <v>-1.858477040371953E-2</v>
      </c>
      <c r="E1830" s="5">
        <f>prices!E1831/prices!E1830-1</f>
        <v>8.6318515321548439E-4</v>
      </c>
      <c r="F1830" s="5">
        <f>prices!F1831/prices!F1830-1</f>
        <v>-1.7297482445624235E-2</v>
      </c>
      <c r="G1830" s="5">
        <f>prices!G1831/prices!G1830-1</f>
        <v>-1.7733948448808712E-2</v>
      </c>
      <c r="H1830" s="5">
        <f>prices!H1831/prices!H1830-1</f>
        <v>-2.4452562680757572E-2</v>
      </c>
      <c r="I1830" s="5">
        <f>prices!I1831/prices!I1830-1</f>
        <v>7.1649166151945831E-3</v>
      </c>
      <c r="J1830" s="5">
        <f>prices!J1831/prices!J1830-1</f>
        <v>-1.5033159535954743E-2</v>
      </c>
      <c r="K1830" s="8">
        <f>SUMPRODUCT(B1830:I1830,weights!$B$5:$I$5)</f>
        <v>-1.2212136213385795E-2</v>
      </c>
      <c r="L1830" s="4">
        <f t="shared" si="56"/>
        <v>275.47451385599408</v>
      </c>
      <c r="M1830" s="4">
        <f>L1830/MAX(L$2:L1830)-1</f>
        <v>-0.1495494397555247</v>
      </c>
      <c r="N1830" s="4">
        <f t="shared" si="57"/>
        <v>-2.3753886161962501E-2</v>
      </c>
    </row>
    <row r="1831" spans="1:14">
      <c r="A1831" s="3">
        <f>prices!A1832</f>
        <v>46174</v>
      </c>
      <c r="B1831" s="5">
        <f>prices!B1832/prices!B1831-1</f>
        <v>-9.1246426181623708E-4</v>
      </c>
      <c r="C1831" s="5">
        <f>prices!C1832/prices!C1831-1</f>
        <v>1.7043684177727947E-2</v>
      </c>
      <c r="D1831" s="5">
        <f>prices!D1832/prices!D1831-1</f>
        <v>-2.4848451750314471E-3</v>
      </c>
      <c r="E1831" s="5">
        <f>prices!E1832/prices!E1831-1</f>
        <v>3.5835291425755367E-2</v>
      </c>
      <c r="F1831" s="5">
        <f>prices!F1832/prices!F1831-1</f>
        <v>-2.5270128964796079E-2</v>
      </c>
      <c r="G1831" s="5">
        <f>prices!G1832/prices!G1831-1</f>
        <v>-1.3788348845225729E-2</v>
      </c>
      <c r="H1831" s="5">
        <f>prices!H1832/prices!H1831-1</f>
        <v>-1.5045973808860413E-3</v>
      </c>
      <c r="I1831" s="5">
        <f>prices!I1832/prices!I1831-1</f>
        <v>-1.6116766834294083E-2</v>
      </c>
      <c r="J1831" s="5">
        <f>prices!J1832/prices!J1831-1</f>
        <v>-7.0134089244195952E-3</v>
      </c>
      <c r="K1831" s="8">
        <f>SUMPRODUCT(B1831:I1831,weights!$B$5:$I$5)</f>
        <v>-3.9621922997664216E-3</v>
      </c>
      <c r="L1831" s="4">
        <f t="shared" si="56"/>
        <v>274.38303085841193</v>
      </c>
      <c r="M1831" s="4">
        <f>L1831/MAX(L$2:L1831)-1</f>
        <v>-0.15291908841665747</v>
      </c>
      <c r="N1831" s="4">
        <f t="shared" si="57"/>
        <v>-3.6814840173231667E-2</v>
      </c>
    </row>
    <row r="1832" spans="1:14">
      <c r="A1832" s="3">
        <f>prices!A1833</f>
        <v>46175</v>
      </c>
      <c r="B1832" s="5">
        <f>prices!B1833/prices!B1832-1</f>
        <v>-4.0870068192889741E-3</v>
      </c>
      <c r="C1832" s="5">
        <f>prices!C1833/prices!C1832-1</f>
        <v>6.5075912415148318E-2</v>
      </c>
      <c r="D1832" s="5">
        <f>prices!D1833/prices!D1832-1</f>
        <v>7.4731050340806071E-3</v>
      </c>
      <c r="E1832" s="5">
        <f>prices!E1833/prices!E1832-1</f>
        <v>5.6795493742725522E-2</v>
      </c>
      <c r="F1832" s="5">
        <f>prices!F1833/prices!F1832-1</f>
        <v>1.2873234400143208E-2</v>
      </c>
      <c r="G1832" s="5">
        <f>prices!G1833/prices!G1832-1</f>
        <v>5.8702002296899813E-3</v>
      </c>
      <c r="H1832" s="5">
        <f>prices!H1833/prices!H1832-1</f>
        <v>-3.6722848532201313E-3</v>
      </c>
      <c r="I1832" s="5">
        <f>prices!I1833/prices!I1832-1</f>
        <v>-2.4683354941658076E-3</v>
      </c>
      <c r="J1832" s="5">
        <f>prices!J1833/prices!J1832-1</f>
        <v>4.3173128736753164E-3</v>
      </c>
      <c r="K1832" s="8">
        <f>SUMPRODUCT(B1832:I1832,weights!$B$5:$I$5)</f>
        <v>1.1739447998308785E-2</v>
      </c>
      <c r="L1832" s="4">
        <f t="shared" si="56"/>
        <v>277.60413618079264</v>
      </c>
      <c r="M1832" s="4">
        <f>L1832/MAX(L$2:L1832)-1</f>
        <v>-0.14297482610476475</v>
      </c>
      <c r="N1832" s="4">
        <f t="shared" si="57"/>
        <v>-2.0972013925656396E-2</v>
      </c>
    </row>
    <row r="1833" spans="1:14">
      <c r="A1833" s="3">
        <f>prices!A1834</f>
        <v>46176</v>
      </c>
      <c r="B1833" s="5">
        <f>prices!B1834/prices!B1833-1</f>
        <v>-1.0622444690687738E-3</v>
      </c>
      <c r="C1833" s="5">
        <f>prices!C1834/prices!C1833-1</f>
        <v>-8.3860681470767084E-2</v>
      </c>
      <c r="D1833" s="5">
        <f>prices!D1834/prices!D1833-1</f>
        <v>7.2138897945874803E-3</v>
      </c>
      <c r="E1833" s="5">
        <f>prices!E1834/prices!E1833-1</f>
        <v>-3.7929703829951533E-2</v>
      </c>
      <c r="F1833" s="5">
        <f>prices!F1834/prices!F1833-1</f>
        <v>-2.206531332744921E-2</v>
      </c>
      <c r="G1833" s="5">
        <f>prices!G1834/prices!G1833-1</f>
        <v>1.6893516550682275E-3</v>
      </c>
      <c r="H1833" s="5">
        <f>prices!H1834/prices!H1833-1</f>
        <v>-7.8421707128539797E-4</v>
      </c>
      <c r="I1833" s="5">
        <f>prices!I1834/prices!I1833-1</f>
        <v>-1.1922317478567424E-2</v>
      </c>
      <c r="J1833" s="5">
        <f>prices!J1834/prices!J1833-1</f>
        <v>-3.3193448179683616E-3</v>
      </c>
      <c r="K1833" s="8">
        <f>SUMPRODUCT(B1833:I1833,weights!$B$5:$I$5)</f>
        <v>-1.4158996673959472E-2</v>
      </c>
      <c r="L1833" s="4">
        <f t="shared" si="56"/>
        <v>273.67354013993139</v>
      </c>
      <c r="M1833" s="4">
        <f>L1833/MAX(L$2:L1833)-1</f>
        <v>-0.15510944269144689</v>
      </c>
      <c r="N1833" s="4">
        <f t="shared" si="57"/>
        <v>-3.8577282209627084E-2</v>
      </c>
    </row>
    <row r="1834" spans="1:14">
      <c r="A1834" s="3">
        <f>prices!A1835</f>
        <v>46177</v>
      </c>
      <c r="B1834" s="5">
        <f>prices!B1835/prices!B1834-1</f>
        <v>-7.2370635576364251E-3</v>
      </c>
      <c r="C1834" s="5">
        <f>prices!C1835/prices!C1834-1</f>
        <v>-3.1397455908988015E-4</v>
      </c>
      <c r="D1834" s="5">
        <f>prices!D1835/prices!D1834-1</f>
        <v>7.2836159106537401E-4</v>
      </c>
      <c r="E1834" s="5">
        <f>prices!E1835/prices!E1834-1</f>
        <v>-1.7414556697585182E-2</v>
      </c>
      <c r="F1834" s="5">
        <f>prices!F1835/prices!F1834-1</f>
        <v>1.1913357400721969E-2</v>
      </c>
      <c r="G1834" s="5">
        <f>prices!G1835/prices!G1834-1</f>
        <v>1.5331841447079331E-3</v>
      </c>
      <c r="H1834" s="5">
        <f>prices!H1835/prices!H1834-1</f>
        <v>-4.6921774618514656E-3</v>
      </c>
      <c r="I1834" s="5">
        <f>prices!I1835/prices!I1834-1</f>
        <v>-2.8078518668420704E-3</v>
      </c>
      <c r="J1834" s="5">
        <f>prices!J1835/prices!J1834-1</f>
        <v>4.6783675701544958E-4</v>
      </c>
      <c r="K1834" s="8">
        <f>SUMPRODUCT(B1834:I1834,weights!$B$5:$I$5)</f>
        <v>-2.3373837485998381E-3</v>
      </c>
      <c r="L1834" s="4">
        <f t="shared" si="56"/>
        <v>273.03386005478654</v>
      </c>
      <c r="M1834" s="4">
        <f>L1834/MAX(L$2:L1834)-1</f>
        <v>-0.15708427614944531</v>
      </c>
      <c r="N1834" s="4">
        <f t="shared" si="57"/>
        <v>-3.8388899860263281E-2</v>
      </c>
    </row>
    <row r="1835" spans="1:14">
      <c r="A1835" s="3">
        <f>prices!A1836</f>
        <v>46178</v>
      </c>
      <c r="B1835" s="5">
        <f>prices!B1836/prices!B1835-1</f>
        <v>-5.1629806580874016E-3</v>
      </c>
      <c r="C1835" s="5">
        <f>prices!C1836/prices!C1835-1</f>
        <v>-1.8786062330064079E-2</v>
      </c>
      <c r="D1835" s="5">
        <f>prices!D1836/prices!D1835-1</f>
        <v>-9.4752874260374265E-3</v>
      </c>
      <c r="E1835" s="5">
        <f>prices!E1836/prices!E1835-1</f>
        <v>-3.1636419301616092E-3</v>
      </c>
      <c r="F1835" s="5">
        <f>prices!F1836/prices!F1835-1</f>
        <v>1.4270424545128613E-3</v>
      </c>
      <c r="G1835" s="5">
        <f>prices!G1836/prices!G1835-1</f>
        <v>-1.0715859626878599E-3</v>
      </c>
      <c r="H1835" s="5">
        <f>prices!H1836/prices!H1835-1</f>
        <v>1.1771663521924491E-3</v>
      </c>
      <c r="I1835" s="5">
        <f>prices!I1836/prices!I1835-1</f>
        <v>2.8157580984753405E-3</v>
      </c>
      <c r="J1835" s="5">
        <f>prices!J1836/prices!J1835-1</f>
        <v>-2.1288362290772245E-3</v>
      </c>
      <c r="K1835" s="8">
        <f>SUMPRODUCT(B1835:I1835,weights!$B$5:$I$5)</f>
        <v>-2.6356869579815699E-3</v>
      </c>
      <c r="L1835" s="4">
        <f t="shared" si="56"/>
        <v>272.31422827075278</v>
      </c>
      <c r="M1835" s="4">
        <f>L1835/MAX(L$2:L1835)-1</f>
        <v>-0.15930593812947591</v>
      </c>
      <c r="N1835" s="4">
        <f t="shared" si="57"/>
        <v>-3.8584612029601062E-2</v>
      </c>
    </row>
    <row r="1836" spans="1:14">
      <c r="A1836" s="3">
        <f>prices!A1837</f>
        <v>46181</v>
      </c>
      <c r="B1836" s="5">
        <f>prices!B1837/prices!B1836-1</f>
        <v>-2.1456235476374985E-2</v>
      </c>
      <c r="C1836" s="5">
        <f>prices!C1837/prices!C1836-1</f>
        <v>-2.1601254738420783E-2</v>
      </c>
      <c r="D1836" s="5">
        <f>prices!D1837/prices!D1836-1</f>
        <v>-1.1253231732208491E-2</v>
      </c>
      <c r="E1836" s="5">
        <f>prices!E1837/prices!E1836-1</f>
        <v>-8.2669305714334618E-3</v>
      </c>
      <c r="F1836" s="5">
        <f>prices!F1837/prices!F1836-1</f>
        <v>-4.4531528322051539E-3</v>
      </c>
      <c r="G1836" s="5">
        <f>prices!G1837/prices!G1836-1</f>
        <v>-1.0574880961963462E-2</v>
      </c>
      <c r="H1836" s="5">
        <f>prices!H1837/prices!H1836-1</f>
        <v>3.7017451084082609E-3</v>
      </c>
      <c r="I1836" s="5">
        <f>prices!I1837/prices!I1836-1</f>
        <v>-1.9654963067894271E-2</v>
      </c>
      <c r="J1836" s="5">
        <f>prices!J1837/prices!J1836-1</f>
        <v>-1.0429371712736502E-2</v>
      </c>
      <c r="K1836" s="8">
        <f>SUMPRODUCT(B1836:I1836,weights!$B$5:$I$5)</f>
        <v>-1.1906183612080455E-2</v>
      </c>
      <c r="L1836" s="4">
        <f t="shared" si="56"/>
        <v>269.07200506877922</v>
      </c>
      <c r="M1836" s="4">
        <f>L1836/MAX(L$2:L1836)-1</f>
        <v>-0.16931539599169199</v>
      </c>
      <c r="N1836" s="4">
        <f t="shared" si="57"/>
        <v>-4.0850143187355248E-2</v>
      </c>
    </row>
    <row r="1837" spans="1:14">
      <c r="A1837" s="3">
        <f>prices!A1838</f>
        <v>46182</v>
      </c>
      <c r="B1837" s="5">
        <f>prices!B1838/prices!B1837-1</f>
        <v>4.6703079236920519E-3</v>
      </c>
      <c r="C1837" s="5">
        <f>prices!C1838/prices!C1837-1</f>
        <v>-1.8694471577396232E-4</v>
      </c>
      <c r="D1837" s="5">
        <f>prices!D1838/prices!D1837-1</f>
        <v>-3.9910270701726258E-4</v>
      </c>
      <c r="E1837" s="5">
        <f>prices!E1838/prices!E1837-1</f>
        <v>-6.1508021850402717E-3</v>
      </c>
      <c r="F1837" s="5">
        <f>prices!F1838/prices!F1837-1</f>
        <v>1.9681517266059156E-3</v>
      </c>
      <c r="G1837" s="5">
        <f>prices!G1838/prices!G1837-1</f>
        <v>1.6108908203551264E-2</v>
      </c>
      <c r="H1837" s="5">
        <f>prices!H1838/prices!H1837-1</f>
        <v>-5.4760890523058992E-3</v>
      </c>
      <c r="I1837" s="5">
        <f>prices!I1838/prices!I1837-1</f>
        <v>6.4765836666236254E-3</v>
      </c>
      <c r="J1837" s="5">
        <f>prices!J1838/prices!J1837-1</f>
        <v>5.1507157375771939E-3</v>
      </c>
      <c r="K1837" s="8">
        <f>SUMPRODUCT(B1837:I1837,weights!$B$5:$I$5)</f>
        <v>3.7727165468055524E-3</v>
      </c>
      <c r="L1837" s="4">
        <f t="shared" si="56"/>
        <v>270.08713747458432</v>
      </c>
      <c r="M1837" s="4">
        <f>L1837/MAX(L$2:L1837)-1</f>
        <v>-0.16618145844097332</v>
      </c>
      <c r="N1837" s="4">
        <f t="shared" si="57"/>
        <v>-1.5782017623071076E-2</v>
      </c>
    </row>
    <row r="1838" spans="1:14">
      <c r="A1838" s="3">
        <f>prices!A1839</f>
        <v>46183</v>
      </c>
      <c r="B1838" s="5">
        <f>prices!B1839/prices!B1838-1</f>
        <v>-8.1941380397101415E-3</v>
      </c>
      <c r="C1838" s="5">
        <f>prices!C1839/prices!C1838-1</f>
        <v>1.3462536285742122E-3</v>
      </c>
      <c r="D1838" s="5">
        <f>prices!D1839/prices!D1838-1</f>
        <v>1.1509761268827301E-2</v>
      </c>
      <c r="E1838" s="5">
        <f>prices!E1839/prices!E1838-1</f>
        <v>-8.6557604085518713E-3</v>
      </c>
      <c r="F1838" s="5">
        <f>prices!F1839/prices!F1838-1</f>
        <v>1.3035714285714262E-2</v>
      </c>
      <c r="G1838" s="5">
        <f>prices!G1839/prices!G1838-1</f>
        <v>-3.582112992453923E-3</v>
      </c>
      <c r="H1838" s="5">
        <f>prices!H1839/prices!H1838-1</f>
        <v>4.1592695916814471E-3</v>
      </c>
      <c r="I1838" s="5">
        <f>prices!I1839/prices!I1838-1</f>
        <v>4.3326667692149545E-3</v>
      </c>
      <c r="J1838" s="5">
        <f>prices!J1839/prices!J1838-1</f>
        <v>-1.1681388514805935E-3</v>
      </c>
      <c r="K1838" s="8">
        <f>SUMPRODUCT(B1838:I1838,weights!$B$5:$I$5)</f>
        <v>1.0717741862408771E-3</v>
      </c>
      <c r="L1838" s="4">
        <f t="shared" si="56"/>
        <v>270.3766098965653</v>
      </c>
      <c r="M1838" s="4">
        <f>L1838/MAX(L$2:L1838)-1</f>
        <v>-0.16528779325212128</v>
      </c>
      <c r="N1838" s="4">
        <f t="shared" si="57"/>
        <v>-1.3194882723501999E-2</v>
      </c>
    </row>
    <row r="1839" spans="1:14">
      <c r="A1839" s="3">
        <f>prices!A1840</f>
        <v>46184</v>
      </c>
      <c r="B1839" s="5">
        <f>prices!B1840/prices!B1839-1</f>
        <v>3.336510962821837E-3</v>
      </c>
      <c r="C1839" s="5">
        <f>prices!C1840/prices!C1839-1</f>
        <v>-8.4961370585627805E-3</v>
      </c>
      <c r="D1839" s="5">
        <f>prices!D1840/prices!D1839-1</f>
        <v>-3.0080304886348497E-3</v>
      </c>
      <c r="E1839" s="5">
        <f>prices!E1840/prices!E1839-1</f>
        <v>-2.680520387671359E-2</v>
      </c>
      <c r="F1839" s="5">
        <f>prices!F1840/prices!F1839-1</f>
        <v>-4.4068394147717127E-3</v>
      </c>
      <c r="G1839" s="5">
        <f>prices!G1840/prices!G1839-1</f>
        <v>1.9122290719082446E-3</v>
      </c>
      <c r="H1839" s="5">
        <f>prices!H1840/prices!H1839-1</f>
        <v>4.3665426299157595E-3</v>
      </c>
      <c r="I1839" s="5">
        <f>prices!I1840/prices!I1839-1</f>
        <v>-1.4167198468410969E-2</v>
      </c>
      <c r="J1839" s="5">
        <f>prices!J1840/prices!J1839-1</f>
        <v>-2.2980880854794883E-3</v>
      </c>
      <c r="K1839" s="8">
        <f>SUMPRODUCT(B1839:I1839,weights!$B$5:$I$5)</f>
        <v>-4.9458406899008595E-3</v>
      </c>
      <c r="L1839" s="4">
        <f t="shared" si="56"/>
        <v>269.03937025774138</v>
      </c>
      <c r="M1839" s="4">
        <f>L1839/MAX(L$2:L1839)-1</f>
        <v>-0.16941614684861195</v>
      </c>
      <c r="N1839" s="4">
        <f t="shared" si="57"/>
        <v>-2.1844738383970497E-2</v>
      </c>
    </row>
    <row r="1840" spans="1:14">
      <c r="A1840" s="3">
        <f>prices!A1841</f>
        <v>46185</v>
      </c>
      <c r="B1840" s="5">
        <f>prices!B1841/prices!B1840-1</f>
        <v>2.3752969121140222E-2</v>
      </c>
      <c r="C1840" s="5">
        <f>prices!C1841/prices!C1840-1</f>
        <v>1.2081263683231924E-2</v>
      </c>
      <c r="D1840" s="5">
        <f>prices!D1841/prices!D1840-1</f>
        <v>3.7393001952245042E-2</v>
      </c>
      <c r="E1840" s="5">
        <f>prices!E1841/prices!E1840-1</f>
        <v>1.6149291225553419E-3</v>
      </c>
      <c r="F1840" s="5">
        <f>prices!F1841/prices!F1840-1</f>
        <v>9.5609065155808359E-3</v>
      </c>
      <c r="G1840" s="5">
        <f>prices!G1841/prices!G1840-1</f>
        <v>2.0461513784955976E-2</v>
      </c>
      <c r="H1840" s="5">
        <f>prices!H1841/prices!H1840-1</f>
        <v>7.5216120614023385E-3</v>
      </c>
      <c r="I1840" s="5">
        <f>prices!I1841/prices!I1840-1</f>
        <v>4.8498187467633347E-2</v>
      </c>
      <c r="J1840" s="5">
        <f>prices!J1841/prices!J1840-1</f>
        <v>1.9916586073501108E-2</v>
      </c>
      <c r="K1840" s="8">
        <f>SUMPRODUCT(B1840:I1840,weights!$B$5:$I$5)</f>
        <v>2.2466032015215368E-2</v>
      </c>
      <c r="L1840" s="4">
        <f t="shared" si="56"/>
        <v>275.08361736330522</v>
      </c>
      <c r="M1840" s="4">
        <f>L1840/MAX(L$2:L1840)-1</f>
        <v>-0.15075622341239181</v>
      </c>
      <c r="N1840" s="4">
        <f t="shared" si="57"/>
        <v>-2.2804306504287108E-3</v>
      </c>
    </row>
    <row r="1841" spans="1:14">
      <c r="A1841" s="3">
        <f>prices!A1842</f>
        <v>46188</v>
      </c>
      <c r="B1841" s="5">
        <f>prices!B1842/prices!B1841-1</f>
        <v>1.0827532869296164E-2</v>
      </c>
      <c r="C1841" s="5">
        <f>prices!C1842/prices!C1841-1</f>
        <v>2.7912039858390969E-4</v>
      </c>
      <c r="D1841" s="5">
        <f>prices!D1842/prices!D1841-1</f>
        <v>6.3431068063379836E-3</v>
      </c>
      <c r="E1841" s="5">
        <f>prices!E1842/prices!E1841-1</f>
        <v>1.6571121461841587E-2</v>
      </c>
      <c r="F1841" s="5">
        <f>prices!F1842/prices!F1841-1</f>
        <v>9.8211153981058175E-3</v>
      </c>
      <c r="G1841" s="5">
        <f>prices!G1842/prices!G1841-1</f>
        <v>3.2844155942296061E-2</v>
      </c>
      <c r="H1841" s="5">
        <f>prices!H1842/prices!H1841-1</f>
        <v>-9.3734227413655447E-4</v>
      </c>
      <c r="I1841" s="5">
        <f>prices!I1842/prices!I1841-1</f>
        <v>2.9758229817499426E-2</v>
      </c>
      <c r="J1841" s="5">
        <f>prices!J1842/prices!J1841-1</f>
        <v>9.7786469908436313E-3</v>
      </c>
      <c r="K1841" s="8">
        <f>SUMPRODUCT(B1841:I1841,weights!$B$5:$I$5)</f>
        <v>1.6205098076324115E-2</v>
      </c>
      <c r="L1841" s="4">
        <f t="shared" si="56"/>
        <v>279.54137436186761</v>
      </c>
      <c r="M1841" s="4">
        <f>L1841/MAX(L$2:L1841)-1</f>
        <v>-0.13699414472208171</v>
      </c>
      <c r="N1841" s="4">
        <f t="shared" si="57"/>
        <v>1.1437577134959964E-2</v>
      </c>
    </row>
    <row r="1842" spans="1:14">
      <c r="A1842" s="3">
        <f>prices!A1843</f>
        <v>46189</v>
      </c>
      <c r="B1842" s="5">
        <f>prices!B1843/prices!B1842-1</f>
        <v>1.6679418515684663E-2</v>
      </c>
      <c r="C1842" s="5">
        <f>prices!C1843/prices!C1842-1</f>
        <v>1.7114607410439131E-2</v>
      </c>
      <c r="D1842" s="5">
        <f>prices!D1843/prices!D1842-1</f>
        <v>9.7162285863736653E-3</v>
      </c>
      <c r="E1842" s="5">
        <f>prices!E1843/prices!E1842-1</f>
        <v>7.6658736452548393E-3</v>
      </c>
      <c r="F1842" s="5">
        <f>prices!F1843/prices!F1842-1</f>
        <v>1.3025356026397983E-2</v>
      </c>
      <c r="G1842" s="5">
        <f>prices!G1843/prices!G1842-1</f>
        <v>-8.2574063139964071E-3</v>
      </c>
      <c r="H1842" s="5">
        <f>prices!H1843/prices!H1842-1</f>
        <v>-2.9368004974240636E-3</v>
      </c>
      <c r="I1842" s="5">
        <f>prices!I1843/prices!I1842-1</f>
        <v>3.9810062832748017E-3</v>
      </c>
      <c r="J1842" s="5">
        <f>prices!J1843/prices!J1842-1</f>
        <v>5.6699323800299961E-3</v>
      </c>
      <c r="K1842" s="8">
        <f>SUMPRODUCT(B1842:I1842,weights!$B$5:$I$5)</f>
        <v>4.8229560770850751E-3</v>
      </c>
      <c r="L1842" s="4">
        <f t="shared" si="56"/>
        <v>280.88959013214293</v>
      </c>
      <c r="M1842" s="4">
        <f>L1842/MAX(L$2:L1842)-1</f>
        <v>-0.13283190538780898</v>
      </c>
      <c r="N1842" s="4">
        <f t="shared" si="57"/>
        <v>1.4982972799019167E-2</v>
      </c>
    </row>
    <row r="1843" spans="1:14">
      <c r="A1843" s="3">
        <f>prices!A1844</f>
        <v>46190</v>
      </c>
      <c r="B1843" s="5">
        <f>prices!B1844/prices!B1843-1</f>
        <v>2.9349789283565908E-3</v>
      </c>
      <c r="C1843" s="5">
        <f>prices!C1844/prices!C1843-1</f>
        <v>1.0914444835643078E-2</v>
      </c>
      <c r="D1843" s="5">
        <f>prices!D1844/prices!D1843-1</f>
        <v>2.7974563868777835E-3</v>
      </c>
      <c r="E1843" s="5">
        <f>prices!E1844/prices!E1843-1</f>
        <v>1.2329485834207787E-2</v>
      </c>
      <c r="F1843" s="5">
        <f>prices!F1844/prices!F1843-1</f>
        <v>-3.0858906223212301E-3</v>
      </c>
      <c r="G1843" s="5">
        <f>prices!G1844/prices!G1843-1</f>
        <v>-4.4559630597712507E-3</v>
      </c>
      <c r="H1843" s="5">
        <f>prices!H1844/prices!H1843-1</f>
        <v>1.0941040874392405E-2</v>
      </c>
      <c r="I1843" s="5">
        <f>prices!I1844/prices!I1843-1</f>
        <v>5.0879036881330553E-3</v>
      </c>
      <c r="J1843" s="5">
        <f>prices!J1844/prices!J1843-1</f>
        <v>4.0247361828158468E-3</v>
      </c>
      <c r="K1843" s="8">
        <f>SUMPRODUCT(B1843:I1843,weights!$B$5:$I$5)</f>
        <v>4.1131078942912101E-3</v>
      </c>
      <c r="L1843" s="4">
        <f t="shared" si="56"/>
        <v>282.0449193227397</v>
      </c>
      <c r="M1843" s="4">
        <f>L1843/MAX(L$2:L1843)-1</f>
        <v>-0.12926514945218204</v>
      </c>
      <c r="N1843" s="4">
        <f t="shared" si="57"/>
        <v>1.6774589722532651E-2</v>
      </c>
    </row>
    <row r="1844" spans="1:14">
      <c r="A1844" s="3">
        <f>prices!A1845</f>
        <v>46191</v>
      </c>
      <c r="B1844" s="5">
        <f>prices!B1845/prices!B1844-1</f>
        <v>-3.4516395287762514E-3</v>
      </c>
      <c r="C1844" s="5">
        <f>prices!C1845/prices!C1844-1</f>
        <v>-8.8607251411203514E-3</v>
      </c>
      <c r="D1844" s="5">
        <f>prices!D1845/prices!D1844-1</f>
        <v>1.5123532526572836E-2</v>
      </c>
      <c r="E1844" s="5">
        <f>prices!E1845/prices!E1844-1</f>
        <v>-2.6086205407273133E-2</v>
      </c>
      <c r="F1844" s="5">
        <f>prices!F1845/prices!F1844-1</f>
        <v>1.375752364574323E-3</v>
      </c>
      <c r="G1844" s="5">
        <f>prices!G1845/prices!G1844-1</f>
        <v>-1.0711054231844486E-2</v>
      </c>
      <c r="H1844" s="5">
        <f>prices!H1845/prices!H1844-1</f>
        <v>2.4178801965146768E-3</v>
      </c>
      <c r="I1844" s="5">
        <f>prices!I1845/prices!I1844-1</f>
        <v>-4.2065736625709338E-3</v>
      </c>
      <c r="J1844" s="5">
        <f>prices!J1845/prices!J1844-1</f>
        <v>3.4169652532414219E-3</v>
      </c>
      <c r="K1844" s="8">
        <f>SUMPRODUCT(B1844:I1844,weights!$B$5:$I$5)</f>
        <v>-4.7348133652157613E-3</v>
      </c>
      <c r="L1844" s="4">
        <f t="shared" si="56"/>
        <v>280.70948926913917</v>
      </c>
      <c r="M1844" s="4">
        <f>L1844/MAX(L$2:L1844)-1</f>
        <v>-0.13338791646011505</v>
      </c>
      <c r="N1844" s="4">
        <f t="shared" si="57"/>
        <v>1.1812375049945478E-2</v>
      </c>
    </row>
    <row r="1845" spans="1:14">
      <c r="A1845" s="3">
        <f>prices!A1846</f>
        <v>46192</v>
      </c>
      <c r="B1845" s="5">
        <f>prices!B1846/prices!B1845-1</f>
        <v>-1.4004969505308273E-2</v>
      </c>
      <c r="C1845" s="5">
        <f>prices!C1846/prices!C1845-1</f>
        <v>-3.5540708897498829E-2</v>
      </c>
      <c r="D1845" s="5">
        <f>prices!D1846/prices!D1845-1</f>
        <v>-7.8880407124682916E-3</v>
      </c>
      <c r="E1845" s="5">
        <f>prices!E1846/prices!E1845-1</f>
        <v>-6.7494456762749344E-2</v>
      </c>
      <c r="F1845" s="5">
        <f>prices!F1846/prices!F1845-1</f>
        <v>4.6367851622874934E-3</v>
      </c>
      <c r="G1845" s="5">
        <f>prices!G1846/prices!G1845-1</f>
        <v>-6.6007836745212156E-3</v>
      </c>
      <c r="H1845" s="5">
        <f>prices!H1846/prices!H1845-1</f>
        <v>7.395482492046801E-3</v>
      </c>
      <c r="I1845" s="5">
        <f>prices!I1846/prices!I1845-1</f>
        <v>4.6300715990452712E-3</v>
      </c>
      <c r="J1845" s="5">
        <f>prices!J1846/prices!J1845-1</f>
        <v>-6.4093015557763477E-3</v>
      </c>
      <c r="K1845" s="8">
        <f>SUMPRODUCT(B1845:I1845,weights!$B$5:$I$5)</f>
        <v>-1.0077817408495053E-2</v>
      </c>
      <c r="L1845" s="4">
        <f t="shared" si="56"/>
        <v>277.88055029145289</v>
      </c>
      <c r="M1845" s="4">
        <f>L1845/MAX(L$2:L1845)-1</f>
        <v>-0.14212147480202542</v>
      </c>
      <c r="N1845" s="4">
        <f t="shared" si="57"/>
        <v>5.2412727143331672E-3</v>
      </c>
    </row>
    <row r="1846" spans="1:14">
      <c r="A1846" s="3">
        <f>prices!A1847</f>
        <v>46195</v>
      </c>
      <c r="B1846" s="5">
        <f>prices!B1847/prices!B1846-1</f>
        <v>1.2982054219167649E-2</v>
      </c>
      <c r="C1846" s="5">
        <f>prices!C1847/prices!C1846-1</f>
        <v>1.3201413828836106E-3</v>
      </c>
      <c r="D1846" s="5">
        <f>prices!D1847/prices!D1846-1</f>
        <v>8.4637086432419739E-3</v>
      </c>
      <c r="E1846" s="5">
        <f>prices!E1847/prices!E1846-1</f>
        <v>1.3315579227696439E-2</v>
      </c>
      <c r="F1846" s="5">
        <f>prices!F1847/prices!F1846-1</f>
        <v>-4.2735042735042583E-3</v>
      </c>
      <c r="G1846" s="5">
        <f>prices!G1847/prices!G1846-1</f>
        <v>1.9409115346999961E-3</v>
      </c>
      <c r="H1846" s="5">
        <f>prices!H1847/prices!H1846-1</f>
        <v>1.3384310795259369E-2</v>
      </c>
      <c r="I1846" s="5">
        <f>prices!I1847/prices!I1846-1</f>
        <v>-1.9242647408180824E-3</v>
      </c>
      <c r="J1846" s="5">
        <f>prices!J1847/prices!J1846-1</f>
        <v>3.7396254544395102E-3</v>
      </c>
      <c r="K1846" s="8">
        <f>SUMPRODUCT(B1846:I1846,weights!$B$5:$I$5)</f>
        <v>5.1859093719403828E-3</v>
      </c>
      <c r="L1846" s="4">
        <f t="shared" si="56"/>
        <v>279.32161364148931</v>
      </c>
      <c r="M1846" s="4">
        <f>L1846/MAX(L$2:L1846)-1</f>
        <v>-0.13767259451821479</v>
      </c>
      <c r="N1846" s="4">
        <f t="shared" si="57"/>
        <v>-1.4489260254854086E-3</v>
      </c>
    </row>
    <row r="1847" spans="1:14">
      <c r="A1847" s="3">
        <f>prices!A1848</f>
        <v>46196</v>
      </c>
      <c r="B1847" s="5">
        <f>prices!B1848/prices!B1847-1</f>
        <v>-1.2815680361854542E-2</v>
      </c>
      <c r="C1847" s="5">
        <f>prices!C1848/prices!C1847-1</f>
        <v>-3.205273603629144E-2</v>
      </c>
      <c r="D1847" s="5">
        <f>prices!D1848/prices!D1847-1</f>
        <v>-1.4941505595116977E-2</v>
      </c>
      <c r="E1847" s="5">
        <f>prices!E1848/prices!E1847-1</f>
        <v>-3.3883987234841539E-2</v>
      </c>
      <c r="F1847" s="5">
        <f>prices!F1848/prices!F1847-1</f>
        <v>-4.2918454935622075E-3</v>
      </c>
      <c r="G1847" s="5">
        <f>prices!G1848/prices!G1847-1</f>
        <v>2.2351750322671116E-3</v>
      </c>
      <c r="H1847" s="5">
        <f>prices!H1848/prices!H1847-1</f>
        <v>2.7394606115078712E-3</v>
      </c>
      <c r="I1847" s="5">
        <f>prices!I1848/prices!I1847-1</f>
        <v>-5.212672268107621E-3</v>
      </c>
      <c r="J1847" s="5">
        <f>prices!J1848/prices!J1847-1</f>
        <v>-1.1567072841857318E-2</v>
      </c>
      <c r="K1847" s="8">
        <f>SUMPRODUCT(B1847:I1847,weights!$B$5:$I$5)</f>
        <v>-8.9660278972937338E-3</v>
      </c>
      <c r="L1847" s="4">
        <f t="shared" si="56"/>
        <v>276.81720826126264</v>
      </c>
      <c r="M1847" s="4">
        <f>L1847/MAX(L$2:L1847)-1</f>
        <v>-0.14540424609236535</v>
      </c>
      <c r="N1847" s="4">
        <f t="shared" si="57"/>
        <v>-7.560770007718709E-3</v>
      </c>
    </row>
    <row r="1848" spans="1:14">
      <c r="A1848" s="3">
        <f>prices!A1849</f>
        <v>46197</v>
      </c>
      <c r="B1848" s="5">
        <f>prices!B1849/prices!B1848-1</f>
        <v>3.1309660175637966E-3</v>
      </c>
      <c r="C1848" s="5">
        <f>prices!C1849/prices!C1848-1</f>
        <v>2.3984924598583257E-2</v>
      </c>
      <c r="D1848" s="5">
        <f>prices!D1849/prices!D1848-1</f>
        <v>2.3946298328277438E-2</v>
      </c>
      <c r="E1848" s="5">
        <f>prices!E1849/prices!E1848-1</f>
        <v>2.6522879626930784E-2</v>
      </c>
      <c r="F1848" s="5">
        <f>prices!F1849/prices!F1848-1</f>
        <v>1.2068965517242347E-3</v>
      </c>
      <c r="G1848" s="5">
        <f>prices!G1849/prices!G1848-1</f>
        <v>-1.5091704368394354E-2</v>
      </c>
      <c r="H1848" s="5">
        <f>prices!H1849/prices!H1848-1</f>
        <v>3.424363433380595E-3</v>
      </c>
      <c r="I1848" s="5">
        <f>prices!I1849/prices!I1848-1</f>
        <v>5.5031822749684878E-4</v>
      </c>
      <c r="J1848" s="5">
        <f>prices!J1849/prices!J1848-1</f>
        <v>8.2920236231380784E-3</v>
      </c>
      <c r="K1848" s="8">
        <f>SUMPRODUCT(B1848:I1848,weights!$B$5:$I$5)</f>
        <v>4.3248768508062892E-3</v>
      </c>
      <c r="L1848" s="4">
        <f t="shared" si="56"/>
        <v>278.01440859717655</v>
      </c>
      <c r="M1848" s="4">
        <f>L1848/MAX(L$2:L1848)-1</f>
        <v>-0.14170822469949296</v>
      </c>
      <c r="N1848" s="4">
        <f t="shared" si="57"/>
        <v>-3.1046613856162697E-3</v>
      </c>
    </row>
    <row r="1849" spans="1:14">
      <c r="A1849" s="3">
        <f>prices!A1850</f>
        <v>46198</v>
      </c>
      <c r="B1849" s="5">
        <f>prices!B1850/prices!B1849-1</f>
        <v>3.4257003654081242E-3</v>
      </c>
      <c r="C1849" s="5">
        <f>prices!C1850/prices!C1849-1</f>
        <v>-6.7794994040523138E-3</v>
      </c>
      <c r="D1849" s="5">
        <f>prices!D1850/prices!D1849-1</f>
        <v>3.9082198688853431E-3</v>
      </c>
      <c r="E1849" s="5">
        <f>prices!E1850/prices!E1849-1</f>
        <v>-1.4575052053757198E-2</v>
      </c>
      <c r="F1849" s="5">
        <f>prices!F1850/prices!F1849-1</f>
        <v>-1.2054417082831836E-3</v>
      </c>
      <c r="G1849" s="5">
        <f>prices!G1850/prices!G1849-1</f>
        <v>3.7515238707345855E-2</v>
      </c>
      <c r="H1849" s="5">
        <f>prices!H1850/prices!H1849-1</f>
        <v>-6.188820540251383E-3</v>
      </c>
      <c r="I1849" s="5">
        <f>prices!I1850/prices!I1849-1</f>
        <v>8.2980605973645982E-3</v>
      </c>
      <c r="J1849" s="5">
        <f>prices!J1850/prices!J1849-1</f>
        <v>1.4299600568652426E-3</v>
      </c>
      <c r="K1849" s="8">
        <f>SUMPRODUCT(B1849:I1849,weights!$B$5:$I$5)</f>
        <v>6.7886736057904615E-3</v>
      </c>
      <c r="L1849" s="4">
        <f t="shared" si="56"/>
        <v>279.90175767484965</v>
      </c>
      <c r="M1849" s="4">
        <f>L1849/MAX(L$2:L1849)-1</f>
        <v>-0.13588156197844337</v>
      </c>
      <c r="N1849" s="4">
        <f t="shared" si="57"/>
        <v>3.6629356873707497E-3</v>
      </c>
    </row>
    <row r="1850" spans="1:14">
      <c r="A1850" s="3">
        <f>prices!A1851</f>
        <v>46199</v>
      </c>
      <c r="B1850" s="5">
        <f>prices!B1851/prices!B1850-1</f>
        <v>0</v>
      </c>
      <c r="C1850" s="5">
        <f>prices!C1851/prices!C1850-1</f>
        <v>0</v>
      </c>
      <c r="D1850" s="5">
        <f>prices!D1851/prices!D1850-1</f>
        <v>0</v>
      </c>
      <c r="E1850" s="5">
        <f>prices!E1851/prices!E1850-1</f>
        <v>0</v>
      </c>
      <c r="F1850" s="5">
        <f>prices!F1851/prices!F1850-1</f>
        <v>0</v>
      </c>
      <c r="G1850" s="5">
        <f>prices!G1851/prices!G1850-1</f>
        <v>0</v>
      </c>
      <c r="H1850" s="5">
        <f>prices!H1851/prices!H1850-1</f>
        <v>0</v>
      </c>
      <c r="I1850" s="5">
        <f>prices!I1851/prices!I1850-1</f>
        <v>0</v>
      </c>
      <c r="J1850" s="5">
        <f>prices!J1851/prices!J1850-1</f>
        <v>0</v>
      </c>
      <c r="K1850" s="8">
        <f>SUMPRODUCT(B1850:I1850,weights!$B$5:$I$5)</f>
        <v>0</v>
      </c>
      <c r="L1850" s="4">
        <f t="shared" si="56"/>
        <v>279.90175767484965</v>
      </c>
      <c r="M1850" s="4">
        <f>L1850/MAX(L$2:L1850)-1</f>
        <v>-0.13588156197844337</v>
      </c>
      <c r="N1850" s="4">
        <f t="shared" si="57"/>
        <v>1.6071337260513019E-2</v>
      </c>
    </row>
    <row r="1851" spans="1:14">
      <c r="A1851" s="3">
        <f>prices!A1852</f>
        <v>46202</v>
      </c>
      <c r="B1851" s="5">
        <f>prices!B1852/prices!B1851-1</f>
        <v>-1.2973219027387795E-2</v>
      </c>
      <c r="C1851" s="5">
        <f>prices!C1852/prices!C1851-1</f>
        <v>1.526439076840358E-3</v>
      </c>
      <c r="D1851" s="5">
        <f>prices!D1852/prices!D1851-1</f>
        <v>3.2651010925530688E-3</v>
      </c>
      <c r="E1851" s="5">
        <f>prices!E1852/prices!E1851-1</f>
        <v>-4.3219362274299344E-3</v>
      </c>
      <c r="F1851" s="5">
        <f>prices!F1852/prices!F1851-1</f>
        <v>2.4137931034482474E-3</v>
      </c>
      <c r="G1851" s="5">
        <f>prices!G1852/prices!G1851-1</f>
        <v>-2.4227072682687756E-2</v>
      </c>
      <c r="H1851" s="5">
        <f>prices!H1852/prices!H1851-1</f>
        <v>6.4426539212996126E-3</v>
      </c>
      <c r="I1851" s="5">
        <f>prices!I1852/prices!I1851-1</f>
        <v>-1.2143060430699126E-2</v>
      </c>
      <c r="J1851" s="5">
        <f>prices!J1852/prices!J1851-1</f>
        <v>-4.5622713668107551E-3</v>
      </c>
      <c r="K1851" s="8">
        <f>SUMPRODUCT(B1851:I1851,weights!$B$5:$I$5)</f>
        <v>-7.5686621048713237E-3</v>
      </c>
      <c r="L1851" s="4">
        <f t="shared" si="56"/>
        <v>277.78327584844914</v>
      </c>
      <c r="M1851" s="4">
        <f>L1851/MAX(L$2:L1851)-1</f>
        <v>-0.14242178245441772</v>
      </c>
      <c r="N1851" s="4">
        <f t="shared" si="57"/>
        <v>1.2392329727532569E-2</v>
      </c>
    </row>
    <row r="1852" spans="1:14">
      <c r="A1852" s="3">
        <f>prices!A1853</f>
        <v>46203</v>
      </c>
      <c r="B1852" s="5">
        <f>prices!B1853/prices!B1852-1</f>
        <v>-5.4573405073019554E-3</v>
      </c>
      <c r="C1852" s="5">
        <f>prices!C1853/prices!C1852-1</f>
        <v>-3.1651697132942913E-2</v>
      </c>
      <c r="D1852" s="5">
        <f>prices!D1853/prices!D1852-1</f>
        <v>-1.1891350607083906E-3</v>
      </c>
      <c r="E1852" s="5">
        <f>prices!E1853/prices!E1852-1</f>
        <v>-3.5014951287740015E-2</v>
      </c>
      <c r="F1852" s="5">
        <f>prices!F1853/prices!F1852-1</f>
        <v>-1.2899896800825594E-2</v>
      </c>
      <c r="G1852" s="5">
        <f>prices!G1853/prices!G1852-1</f>
        <v>5.2415759445244348E-2</v>
      </c>
      <c r="H1852" s="5">
        <f>prices!H1853/prices!H1852-1</f>
        <v>-6.5618482271778689E-3</v>
      </c>
      <c r="I1852" s="5">
        <f>prices!I1853/prices!I1852-1</f>
        <v>-5.2338423124940192E-3</v>
      </c>
      <c r="J1852" s="5">
        <f>prices!J1853/prices!J1852-1</f>
        <v>-3.3616954637991636E-3</v>
      </c>
      <c r="K1852" s="8">
        <f>SUMPRODUCT(B1852:I1852,weights!$B$5:$I$5)</f>
        <v>5.5965882325933287E-4</v>
      </c>
      <c r="L1852" s="4">
        <f t="shared" si="56"/>
        <v>277.93873970973158</v>
      </c>
      <c r="M1852" s="4">
        <f>L1852/MAX(L$2:L1852)-1</f>
        <v>-0.14194183123833337</v>
      </c>
      <c r="N1852" s="4">
        <f t="shared" si="57"/>
        <v>1.2053261653170999E-3</v>
      </c>
    </row>
    <row r="1853" spans="1:14">
      <c r="A1853" s="3">
        <f>prices!A1854</f>
        <v>46204</v>
      </c>
      <c r="B1853" s="5">
        <f>prices!B1854/prices!B1853-1</f>
        <v>1.089728727104089E-2</v>
      </c>
      <c r="C1853" s="5">
        <f>prices!C1854/prices!C1853-1</f>
        <v>-2.4069252927609197E-2</v>
      </c>
      <c r="D1853" s="5">
        <f>prices!D1854/prices!D1853-1</f>
        <v>-2.2557804373708468E-3</v>
      </c>
      <c r="E1853" s="5">
        <f>prices!E1854/prices!E1853-1</f>
        <v>-1.5093962415034023E-2</v>
      </c>
      <c r="F1853" s="5">
        <f>prices!F1854/prices!F1853-1</f>
        <v>1.167450775396417E-2</v>
      </c>
      <c r="G1853" s="5">
        <f>prices!G1854/prices!G1853-1</f>
        <v>1.9837348341461336E-2</v>
      </c>
      <c r="H1853" s="5">
        <f>prices!H1854/prices!H1853-1</f>
        <v>1.9864020283908435E-3</v>
      </c>
      <c r="I1853" s="5">
        <f>prices!I1854/prices!I1853-1</f>
        <v>-1.2260462422165275E-2</v>
      </c>
      <c r="J1853" s="5">
        <f>prices!J1854/prices!J1853-1</f>
        <v>5.8703371987052222E-3</v>
      </c>
      <c r="K1853" s="8">
        <f>SUMPRODUCT(B1853:I1853,weights!$B$5:$I$5)</f>
        <v>5.4359813521101226E-4</v>
      </c>
      <c r="L1853" s="4">
        <f t="shared" si="56"/>
        <v>278.08982669034071</v>
      </c>
      <c r="M1853" s="4">
        <f>L1853/MAX(L$2:L1853)-1</f>
        <v>-0.14147539241789187</v>
      </c>
      <c r="N1853" s="4">
        <f t="shared" si="57"/>
        <v>1.6137060777418499E-2</v>
      </c>
    </row>
    <row r="1854" spans="1:14">
      <c r="A1854" s="3">
        <f>prices!A1855</f>
        <v>46205</v>
      </c>
      <c r="B1854" s="5">
        <f>prices!B1855/prices!B1854-1</f>
        <v>-3.4403669724770714E-3</v>
      </c>
      <c r="C1854" s="5">
        <f>prices!C1855/prices!C1854-1</f>
        <v>4.3123253490483293E-2</v>
      </c>
      <c r="D1854" s="5">
        <f>prices!D1855/prices!D1854-1</f>
        <v>-3.1401117879792384E-4</v>
      </c>
      <c r="E1854" s="5">
        <f>prices!E1855/prices!E1854-1</f>
        <v>5.6429513853648805E-2</v>
      </c>
      <c r="F1854" s="5">
        <f>prices!F1855/prices!F1854-1</f>
        <v>-1.3778849466070664E-3</v>
      </c>
      <c r="G1854" s="5">
        <f>prices!G1855/prices!G1854-1</f>
        <v>-3.2655363822432504E-3</v>
      </c>
      <c r="H1854" s="5">
        <f>prices!H1855/prices!H1854-1</f>
        <v>2.5734425031698205E-3</v>
      </c>
      <c r="I1854" s="5">
        <f>prices!I1855/prices!I1854-1</f>
        <v>-8.1122025118506302E-3</v>
      </c>
      <c r="J1854" s="5">
        <f>prices!J1855/prices!J1854-1</f>
        <v>7.0753587146468178E-3</v>
      </c>
      <c r="K1854" s="8">
        <f>SUMPRODUCT(B1854:I1854,weights!$B$5:$I$5)</f>
        <v>6.1475095645349689E-3</v>
      </c>
      <c r="L1854" s="4">
        <f t="shared" si="56"/>
        <v>279.79938655971944</v>
      </c>
      <c r="M1854" s="4">
        <f>L1854/MAX(L$2:L1854)-1</f>
        <v>-0.13619760418139237</v>
      </c>
      <c r="N1854" s="4">
        <f t="shared" si="57"/>
        <v>2.4779075033313891E-2</v>
      </c>
    </row>
    <row r="1855" spans="1:14">
      <c r="A1855" s="3">
        <f>prices!A1856</f>
        <v>46206</v>
      </c>
      <c r="B1855" s="5">
        <f>prices!B1856/prices!B1855-1</f>
        <v>3.835826620637306E-4</v>
      </c>
      <c r="C1855" s="5">
        <f>prices!C1856/prices!C1855-1</f>
        <v>1.2281094116159741E-2</v>
      </c>
      <c r="D1855" s="5">
        <f>prices!D1856/prices!D1855-1</f>
        <v>6.4706621434853506E-3</v>
      </c>
      <c r="E1855" s="5">
        <f>prices!E1856/prices!E1855-1</f>
        <v>6.0524546065903184E-3</v>
      </c>
      <c r="F1855" s="5">
        <f>prices!F1856/prices!F1855-1</f>
        <v>1.7247326664371343E-4</v>
      </c>
      <c r="G1855" s="5">
        <f>prices!G1856/prices!G1855-1</f>
        <v>1.2551626748551481E-3</v>
      </c>
      <c r="H1855" s="5">
        <f>prices!H1856/prices!H1855-1</f>
        <v>1.8064315608404602E-2</v>
      </c>
      <c r="I1855" s="5">
        <f>prices!I1856/prices!I1855-1</f>
        <v>-8.0800118244075403E-3</v>
      </c>
      <c r="J1855" s="5">
        <f>prices!J1856/prices!J1855-1</f>
        <v>3.9357702155469187E-3</v>
      </c>
      <c r="K1855" s="8">
        <f>SUMPRODUCT(B1855:I1855,weights!$B$5:$I$5)</f>
        <v>3.5123688886640092E-3</v>
      </c>
      <c r="L1855" s="4">
        <f t="shared" si="56"/>
        <v>280.78214522013906</v>
      </c>
      <c r="M1855" s="4">
        <f>L1855/MAX(L$2:L1855)-1</f>
        <v>-0.13316361152036571</v>
      </c>
      <c r="N1855" s="4">
        <f t="shared" si="57"/>
        <v>3.1096123780087304E-2</v>
      </c>
    </row>
    <row r="1856" spans="1:14">
      <c r="A1856" s="3">
        <f>prices!A1857</f>
        <v>46209</v>
      </c>
      <c r="B1856" s="5">
        <f>prices!B1857/prices!B1856-1</f>
        <v>1.3266871165644067E-2</v>
      </c>
      <c r="C1856" s="5">
        <f>prices!C1857/prices!C1856-1</f>
        <v>-1.7146315223238173E-2</v>
      </c>
      <c r="D1856" s="5">
        <f>prices!D1857/prices!D1856-1</f>
        <v>3.5952811934336193E-2</v>
      </c>
      <c r="E1856" s="5">
        <f>prices!E1857/prices!E1856-1</f>
        <v>-4.7746371275783073E-3</v>
      </c>
      <c r="F1856" s="5">
        <f>prices!F1857/prices!F1856-1</f>
        <v>-5.8630798413519258E-3</v>
      </c>
      <c r="G1856" s="5">
        <f>prices!G1857/prices!G1856-1</f>
        <v>6.2644306891015411E-3</v>
      </c>
      <c r="H1856" s="5">
        <f>prices!H1857/prices!H1856-1</f>
        <v>4.2003979324356511E-3</v>
      </c>
      <c r="I1856" s="5">
        <f>prices!I1857/prices!I1856-1</f>
        <v>3.5762181493070866E-3</v>
      </c>
      <c r="J1856" s="5">
        <f>prices!J1857/prices!J1856-1</f>
        <v>6.5716693070081433E-3</v>
      </c>
      <c r="K1856" s="8">
        <f>SUMPRODUCT(B1856:I1856,weights!$B$5:$I$5)</f>
        <v>4.5173872574320846E-3</v>
      </c>
      <c r="L1856" s="4">
        <f t="shared" si="56"/>
        <v>282.05054690507092</v>
      </c>
      <c r="M1856" s="4">
        <f>L1856/MAX(L$2:L1856)-1</f>
        <v>-0.12924777586476943</v>
      </c>
      <c r="N1856" s="4">
        <f t="shared" si="57"/>
        <v>4.8234456174562457E-2</v>
      </c>
    </row>
    <row r="1857" spans="1:14">
      <c r="A1857" s="3">
        <f>prices!A1858</f>
        <v>46210</v>
      </c>
      <c r="B1857" s="5">
        <f>prices!B1858/prices!B1857-1</f>
        <v>-9.7631120865813159E-3</v>
      </c>
      <c r="C1857" s="5">
        <f>prices!C1858/prices!C1857-1</f>
        <v>1.8711089826913829E-2</v>
      </c>
      <c r="D1857" s="5">
        <f>prices!D1858/prices!D1857-1</f>
        <v>-6.6277038018924816E-4</v>
      </c>
      <c r="E1857" s="5">
        <f>prices!E1858/prices!E1857-1</f>
        <v>2.8401458453271911E-2</v>
      </c>
      <c r="F1857" s="5">
        <f>prices!F1858/prices!F1857-1</f>
        <v>1.7346053772766545E-3</v>
      </c>
      <c r="G1857" s="5">
        <f>prices!G1858/prices!G1857-1</f>
        <v>5.6727588794502903E-3</v>
      </c>
      <c r="H1857" s="5">
        <f>prices!H1858/prices!H1857-1</f>
        <v>-2.3063214173392188E-3</v>
      </c>
      <c r="I1857" s="5">
        <f>prices!I1858/prices!I1857-1</f>
        <v>-1.2150457807473369E-2</v>
      </c>
      <c r="J1857" s="5">
        <f>prices!J1858/prices!J1857-1</f>
        <v>-1.2955197121612416E-3</v>
      </c>
      <c r="K1857" s="8">
        <f>SUMPRODUCT(B1857:I1857,weights!$B$5:$I$5)</f>
        <v>1.2642067491780841E-3</v>
      </c>
      <c r="L1857" s="4">
        <f t="shared" si="56"/>
        <v>282.40711711007771</v>
      </c>
      <c r="M1857" s="4">
        <f>L1857/MAX(L$2:L1857)-1</f>
        <v>-0.12814696502615575</v>
      </c>
      <c r="N1857" s="4">
        <f t="shared" si="57"/>
        <v>4.561483286723611E-2</v>
      </c>
    </row>
    <row r="1858" spans="1:14">
      <c r="A1858" s="3">
        <f>prices!A1859</f>
        <v>46211</v>
      </c>
      <c r="B1858" s="5">
        <f>prices!B1859/prices!B1858-1</f>
        <v>-2.4839498624273926E-2</v>
      </c>
      <c r="C1858" s="5">
        <f>prices!C1859/prices!C1858-1</f>
        <v>-1.8415384689183467E-2</v>
      </c>
      <c r="D1858" s="5">
        <f>prices!D1859/prices!D1858-1</f>
        <v>-2.2910888701314414E-2</v>
      </c>
      <c r="E1858" s="5">
        <f>prices!E1859/prices!E1858-1</f>
        <v>-2.3325247247620862E-3</v>
      </c>
      <c r="F1858" s="5">
        <f>prices!F1859/prices!F1858-1</f>
        <v>-2.8051948051948106E-2</v>
      </c>
      <c r="G1858" s="5">
        <f>prices!G1859/prices!G1858-1</f>
        <v>-4.0377393884023616E-2</v>
      </c>
      <c r="H1858" s="5">
        <f>prices!H1859/prices!H1858-1</f>
        <v>-7.9857097824944656E-3</v>
      </c>
      <c r="I1858" s="5">
        <f>prices!I1859/prices!I1858-1</f>
        <v>-2.5000626268193105E-2</v>
      </c>
      <c r="J1858" s="5">
        <f>prices!J1859/prices!J1858-1</f>
        <v>-2.1175308520535951E-2</v>
      </c>
      <c r="K1858" s="8">
        <f>SUMPRODUCT(B1858:I1858,weights!$B$5:$I$5)</f>
        <v>-2.3002971119454582E-2</v>
      </c>
      <c r="L1858" s="4">
        <f t="shared" si="56"/>
        <v>275.91091435126617</v>
      </c>
      <c r="M1858" s="4">
        <f>L1858/MAX(L$2:L1858)-1</f>
        <v>-0.14820217521006795</v>
      </c>
      <c r="N1858" s="4">
        <f t="shared" si="57"/>
        <v>2.0468872868914412E-2</v>
      </c>
    </row>
    <row r="1859" spans="1:14">
      <c r="A1859" s="3">
        <f>prices!A1860</f>
        <v>46212</v>
      </c>
      <c r="B1859" s="5">
        <f>prices!B1860/prices!B1859-1</f>
        <v>3.0566658829060955E-3</v>
      </c>
      <c r="C1859" s="5">
        <f>prices!C1860/prices!C1859-1</f>
        <v>-3.8899857302031604E-3</v>
      </c>
      <c r="D1859" s="5">
        <f>prices!D1860/prices!D1859-1</f>
        <v>8.9473034678513308E-3</v>
      </c>
      <c r="E1859" s="5">
        <f>prices!E1860/prices!E1859-1</f>
        <v>-1.730103806228378E-2</v>
      </c>
      <c r="F1859" s="5">
        <f>prices!F1860/prices!F1859-1</f>
        <v>4.9884197398897268E-3</v>
      </c>
      <c r="G1859" s="5">
        <f>prices!G1860/prices!G1859-1</f>
        <v>-1.5984326990185593E-2</v>
      </c>
      <c r="H1859" s="5">
        <f>prices!H1860/prices!H1859-1</f>
        <v>2.6745048194047216E-2</v>
      </c>
      <c r="I1859" s="5">
        <f>prices!I1860/prices!I1859-1</f>
        <v>-1.5672773053106992E-3</v>
      </c>
      <c r="J1859" s="5">
        <f>prices!J1860/prices!J1859-1</f>
        <v>3.3812005250806187E-3</v>
      </c>
      <c r="K1859" s="8">
        <f>SUMPRODUCT(B1859:I1859,weights!$B$5:$I$5)</f>
        <v>2.8165444149741561E-4</v>
      </c>
      <c r="L1859" s="4">
        <f t="shared" si="56"/>
        <v>275.98862588575082</v>
      </c>
      <c r="M1859" s="4">
        <f>L1859/MAX(L$2:L1859)-1</f>
        <v>-0.14796226256945799</v>
      </c>
      <c r="N1859" s="4">
        <f t="shared" si="57"/>
        <v>2.5829883638784912E-2</v>
      </c>
    </row>
    <row r="1860" spans="1:14">
      <c r="A1860" s="3">
        <f>prices!A1861</f>
        <v>46213</v>
      </c>
      <c r="B1860" s="5">
        <f>prices!B1861/prices!B1860-1</f>
        <v>2.1878418502891073E-2</v>
      </c>
      <c r="C1860" s="5">
        <f>prices!C1861/prices!C1860-1</f>
        <v>9.5176419796694223E-3</v>
      </c>
      <c r="D1860" s="5">
        <f>prices!D1861/prices!D1860-1</f>
        <v>9.0514341630483219E-3</v>
      </c>
      <c r="E1860" s="5">
        <f>prices!E1861/prices!E1860-1</f>
        <v>1.6368481157213566E-2</v>
      </c>
      <c r="F1860" s="5">
        <f>prices!F1861/prices!F1860-1</f>
        <v>-1.063641198369103E-3</v>
      </c>
      <c r="G1860" s="5">
        <f>prices!G1861/prices!G1860-1</f>
        <v>9.1785306993341642E-3</v>
      </c>
      <c r="H1860" s="5">
        <f>prices!H1861/prices!H1860-1</f>
        <v>-1.6505906019498306E-3</v>
      </c>
      <c r="I1860" s="5">
        <f>prices!I1861/prices!I1860-1</f>
        <v>1.5388574369531671E-2</v>
      </c>
      <c r="J1860" s="5">
        <f>prices!J1861/prices!J1860-1</f>
        <v>1.0186622598360895E-2</v>
      </c>
      <c r="K1860" s="8">
        <f>SUMPRODUCT(B1860:I1860,weights!$B$5:$I$5)</f>
        <v>1.0158395218710242E-2</v>
      </c>
      <c r="L1860" s="4">
        <f t="shared" ref="L1860:L1923" si="58">L1859*(1+K1860)</f>
        <v>278.79222742336708</v>
      </c>
      <c r="M1860" s="4">
        <f>L1860/MAX(L$2:L1860)-1</f>
        <v>-0.13930692649138277</v>
      </c>
      <c r="N1860" s="4">
        <f t="shared" si="57"/>
        <v>1.3481755458973232E-2</v>
      </c>
    </row>
    <row r="1861" spans="1:14">
      <c r="A1861" s="3">
        <f>prices!A1862</f>
        <v>46216</v>
      </c>
      <c r="B1861" s="5">
        <f>prices!B1862/prices!B1861-1</f>
        <v>-8.3346077381861727E-3</v>
      </c>
      <c r="C1861" s="5">
        <f>prices!C1862/prices!C1861-1</f>
        <v>5.4370857065101141E-2</v>
      </c>
      <c r="D1861" s="5">
        <f>prices!D1862/prices!D1861-1</f>
        <v>-8.4853627492574857E-3</v>
      </c>
      <c r="E1861" s="5">
        <f>prices!E1862/prices!E1861-1</f>
        <v>3.2397003745318287E-2</v>
      </c>
      <c r="F1861" s="5">
        <f>prices!F1862/prices!F1861-1</f>
        <v>-7.4534161490683593E-3</v>
      </c>
      <c r="G1861" s="5">
        <f>prices!G1862/prices!G1861-1</f>
        <v>-1.1476897840153155E-2</v>
      </c>
      <c r="H1861" s="5">
        <f>prices!H1862/prices!H1861-1</f>
        <v>-7.2849392921725542E-3</v>
      </c>
      <c r="I1861" s="5">
        <f>prices!I1862/prices!I1861-1</f>
        <v>-4.3844087384053987E-3</v>
      </c>
      <c r="J1861" s="5">
        <f>prices!J1862/prices!J1861-1</f>
        <v>1.6937319524590322E-4</v>
      </c>
      <c r="K1861" s="8">
        <f>SUMPRODUCT(B1861:I1861,weights!$B$5:$I$5)</f>
        <v>1.0105949666484753E-3</v>
      </c>
      <c r="L1861" s="4">
        <f t="shared" si="58"/>
        <v>279.07397344514186</v>
      </c>
      <c r="M1861" s="4">
        <f>L1861/MAX(L$2:L1861)-1</f>
        <v>-0.13843711440346573</v>
      </c>
      <c r="N1861" s="4">
        <f t="shared" si="57"/>
        <v>-1.6720276838901871E-3</v>
      </c>
    </row>
    <row r="1862" spans="1:14">
      <c r="A1862" s="3">
        <f>prices!A1863</f>
        <v>46217</v>
      </c>
      <c r="B1862" s="5">
        <f>prices!B1863/prices!B1862-1</f>
        <v>-3.0071709461023666E-3</v>
      </c>
      <c r="C1862" s="5">
        <f>prices!C1863/prices!C1862-1</f>
        <v>8.7573746312683554E-3</v>
      </c>
      <c r="D1862" s="5">
        <f>prices!D1863/prices!D1862-1</f>
        <v>-1.0452961672474004E-2</v>
      </c>
      <c r="E1862" s="5">
        <f>prices!E1863/prices!E1862-1</f>
        <v>-8.7973879920186793E-3</v>
      </c>
      <c r="F1862" s="5">
        <f>prices!F1863/prices!F1862-1</f>
        <v>-1.4661183622384999E-2</v>
      </c>
      <c r="G1862" s="5">
        <f>prices!G1863/prices!G1862-1</f>
        <v>-1.5041858331434232E-2</v>
      </c>
      <c r="H1862" s="5">
        <f>prices!H1863/prices!H1862-1</f>
        <v>1.1033621317789066E-2</v>
      </c>
      <c r="I1862" s="5">
        <f>prices!I1863/prices!I1862-1</f>
        <v>-2.0313096601756397E-2</v>
      </c>
      <c r="J1862" s="5">
        <f>prices!J1863/prices!J1862-1</f>
        <v>-6.5651976374375698E-3</v>
      </c>
      <c r="K1862" s="8">
        <f>SUMPRODUCT(B1862:I1862,weights!$B$5:$I$5)</f>
        <v>-7.6239128791101103E-3</v>
      </c>
      <c r="L1862" s="4">
        <f t="shared" si="58"/>
        <v>276.94633778476901</v>
      </c>
      <c r="M1862" s="4">
        <f>L1862/MAX(L$2:L1862)-1</f>
        <v>-0.14500559478312836</v>
      </c>
      <c r="N1862" s="4">
        <f t="shared" si="57"/>
        <v>-1.4038442455339251E-2</v>
      </c>
    </row>
    <row r="1863" spans="1:14">
      <c r="A1863" s="3">
        <f>prices!A1864</f>
        <v>46218</v>
      </c>
      <c r="B1863" s="5">
        <f>prices!B1864/prices!B1863-1</f>
        <v>1.9334880123742515E-3</v>
      </c>
      <c r="C1863" s="5">
        <f>prices!C1864/prices!C1863-1</f>
        <v>2.7414785707757794E-4</v>
      </c>
      <c r="D1863" s="5">
        <f>prices!D1864/prices!D1863-1</f>
        <v>7.4746725969854211E-3</v>
      </c>
      <c r="E1863" s="5">
        <f>prices!E1864/prices!E1863-1</f>
        <v>-1.5188946838686213E-2</v>
      </c>
      <c r="F1863" s="5">
        <f>prices!F1864/prices!F1863-1</f>
        <v>3.9920159680637557E-3</v>
      </c>
      <c r="G1863" s="5">
        <f>prices!G1864/prices!G1863-1</f>
        <v>6.9682393252505914E-3</v>
      </c>
      <c r="H1863" s="5">
        <f>prices!H1864/prices!H1863-1</f>
        <v>4.5814887264490345E-3</v>
      </c>
      <c r="I1863" s="5">
        <f>prices!I1864/prices!I1863-1</f>
        <v>-1.6836854002650226E-2</v>
      </c>
      <c r="J1863" s="5">
        <f>prices!J1864/prices!J1863-1</f>
        <v>1.0996983625095602E-3</v>
      </c>
      <c r="K1863" s="8">
        <f>SUMPRODUCT(B1863:I1863,weights!$B$5:$I$5)</f>
        <v>-1.3989560157480567E-3</v>
      </c>
      <c r="L1863" s="4">
        <f t="shared" si="58"/>
        <v>276.55890203948564</v>
      </c>
      <c r="M1863" s="4">
        <f>L1863/MAX(L$2:L1863)-1</f>
        <v>-0.1462016943497374</v>
      </c>
      <c r="N1863" s="4">
        <f t="shared" si="57"/>
        <v>-1.945086370081528E-2</v>
      </c>
    </row>
    <row r="1864" spans="1:14">
      <c r="A1864" s="3">
        <f>prices!A1865</f>
        <v>46219</v>
      </c>
      <c r="B1864" s="5">
        <f>prices!B1865/prices!B1864-1</f>
        <v>8.490930142801556E-4</v>
      </c>
      <c r="C1864" s="5">
        <f>prices!C1865/prices!C1864-1</f>
        <v>5.3900968390281356E-3</v>
      </c>
      <c r="D1864" s="5">
        <f>prices!D1865/prices!D1864-1</f>
        <v>-8.7681648169722903E-3</v>
      </c>
      <c r="E1864" s="5">
        <f>prices!E1865/prices!E1864-1</f>
        <v>5.6675648053516881E-3</v>
      </c>
      <c r="F1864" s="5">
        <f>prices!F1865/prices!F1864-1</f>
        <v>9.7596240737396478E-3</v>
      </c>
      <c r="G1864" s="5">
        <f>prices!G1865/prices!G1864-1</f>
        <v>1.4724188239983338E-2</v>
      </c>
      <c r="H1864" s="5">
        <f>prices!H1865/prices!H1864-1</f>
        <v>-7.1739687419936082E-4</v>
      </c>
      <c r="I1864" s="5">
        <f>prices!I1865/prices!I1864-1</f>
        <v>-2.1935040566611885E-3</v>
      </c>
      <c r="J1864" s="5">
        <f>prices!J1865/prices!J1864-1</f>
        <v>-2.3880225097083763E-4</v>
      </c>
      <c r="K1864" s="8">
        <f>SUMPRODUCT(B1864:I1864,weights!$B$5:$I$5)</f>
        <v>3.5475430200340359E-3</v>
      </c>
      <c r="L1864" s="4">
        <f t="shared" si="58"/>
        <v>277.54000664204409</v>
      </c>
      <c r="M1864" s="4">
        <f>L1864/MAX(L$2:L1864)-1</f>
        <v>-0.14317280813001088</v>
      </c>
      <c r="N1864" s="4">
        <f t="shared" si="57"/>
        <v>-1.1290970730441718E-2</v>
      </c>
    </row>
    <row r="1865" spans="1:14">
      <c r="A1865" s="3">
        <f>prices!A1866</f>
        <v>46220</v>
      </c>
      <c r="B1865" s="5">
        <f>prices!B1866/prices!B1865-1</f>
        <v>2.3600185099491133E-2</v>
      </c>
      <c r="C1865" s="5">
        <f>prices!C1866/prices!C1865-1</f>
        <v>3.0895047705588263E-2</v>
      </c>
      <c r="D1865" s="5">
        <f>prices!D1866/prices!D1865-1</f>
        <v>1.3979957936409937E-2</v>
      </c>
      <c r="E1865" s="5">
        <f>prices!E1866/prices!E1865-1</f>
        <v>1.3026607538802581E-2</v>
      </c>
      <c r="F1865" s="5">
        <f>prices!F1866/prices!F1865-1</f>
        <v>4.8326472167530277E-3</v>
      </c>
      <c r="G1865" s="5">
        <f>prices!G1866/prices!G1865-1</f>
        <v>1.4509799610873397E-3</v>
      </c>
      <c r="H1865" s="5">
        <f>prices!H1866/prices!H1865-1</f>
        <v>-8.9738987744217846E-3</v>
      </c>
      <c r="I1865" s="5">
        <f>prices!I1866/prices!I1865-1</f>
        <v>1.0302998198961744E-2</v>
      </c>
      <c r="J1865" s="5">
        <f>prices!J1866/prices!J1865-1</f>
        <v>1.0864982189404904E-2</v>
      </c>
      <c r="K1865" s="8">
        <f>SUMPRODUCT(B1865:I1865,weights!$B$5:$I$5)</f>
        <v>9.2218710582445806E-3</v>
      </c>
      <c r="L1865" s="4">
        <f t="shared" si="58"/>
        <v>280.09944479680138</v>
      </c>
      <c r="M1865" s="4">
        <f>L1865/MAX(L$2:L1865)-1</f>
        <v>-0.13527125824738806</v>
      </c>
      <c r="N1865" s="4">
        <f t="shared" si="57"/>
        <v>7.9850658961961862E-3</v>
      </c>
    </row>
    <row r="1866" spans="1:14">
      <c r="A1866" s="3">
        <f>prices!A1867</f>
        <v>46223</v>
      </c>
      <c r="B1866" s="5">
        <f>prices!B1867/prices!B1866-1</f>
        <v>-3.0892103676914973E-3</v>
      </c>
      <c r="C1866" s="5">
        <f>prices!C1867/prices!C1866-1</f>
        <v>-7.8889378580873082E-3</v>
      </c>
      <c r="D1866" s="5">
        <f>prices!D1867/prices!D1866-1</f>
        <v>-5.1244509516837455E-2</v>
      </c>
      <c r="E1866" s="5">
        <f>prices!E1867/prices!E1866-1</f>
        <v>-8.572731418148738E-3</v>
      </c>
      <c r="F1866" s="5">
        <f>prices!F1867/prices!F1866-1</f>
        <v>7.1250445315282906E-3</v>
      </c>
      <c r="G1866" s="5">
        <f>prices!G1867/prices!G1866-1</f>
        <v>-2.0937014068016846E-2</v>
      </c>
      <c r="H1866" s="5">
        <f>prices!H1867/prices!H1866-1</f>
        <v>1.2315016040567173E-2</v>
      </c>
      <c r="I1866" s="5">
        <f>prices!I1867/prices!I1866-1</f>
        <v>6.3704286276051736E-3</v>
      </c>
      <c r="J1866" s="5">
        <f>prices!J1867/prices!J1866-1</f>
        <v>-3.9368299067571444E-3</v>
      </c>
      <c r="K1866" s="8">
        <f>SUMPRODUCT(B1866:I1866,weights!$B$5:$I$5)</f>
        <v>-5.983990553343867E-3</v>
      </c>
      <c r="L1866" s="4">
        <f t="shared" si="58"/>
        <v>278.42333236514048</v>
      </c>
      <c r="M1866" s="4">
        <f>L1866/MAX(L$2:L1866)-1</f>
        <v>-0.14044578686924059</v>
      </c>
      <c r="N1866" s="4">
        <f t="shared" si="57"/>
        <v>-3.2159390196770943E-3</v>
      </c>
    </row>
    <row r="1867" spans="1:14">
      <c r="A1867" s="3">
        <f>prices!A1868</f>
        <v>46224</v>
      </c>
      <c r="B1867" s="5">
        <f>prices!B1868/prices!B1867-1</f>
        <v>-1.4662534955785511E-2</v>
      </c>
      <c r="C1867" s="5">
        <f>prices!C1868/prices!C1867-1</f>
        <v>-1.3326818000088836E-2</v>
      </c>
      <c r="D1867" s="5">
        <f>prices!D1868/prices!D1867-1</f>
        <v>-2.0769032921810648E-2</v>
      </c>
      <c r="E1867" s="5">
        <f>prices!E1868/prices!E1867-1</f>
        <v>-1.2510348633980262E-2</v>
      </c>
      <c r="F1867" s="5">
        <f>prices!F1868/prices!F1867-1</f>
        <v>-6.0134418111071897E-3</v>
      </c>
      <c r="G1867" s="5">
        <f>prices!G1868/prices!G1867-1</f>
        <v>6.1414254355314224E-3</v>
      </c>
      <c r="H1867" s="5">
        <f>prices!H1868/prices!H1867-1</f>
        <v>2.8112860355755664E-3</v>
      </c>
      <c r="I1867" s="5">
        <f>prices!I1868/prices!I1867-1</f>
        <v>2.0318849640512671E-3</v>
      </c>
      <c r="J1867" s="5">
        <f>prices!J1868/prices!J1867-1</f>
        <v>-2.0958392639808254E-3</v>
      </c>
      <c r="K1867" s="8">
        <f>SUMPRODUCT(B1867:I1867,weights!$B$5:$I$5)</f>
        <v>-4.1255737753629765E-3</v>
      </c>
      <c r="L1867" s="4">
        <f t="shared" si="58"/>
        <v>277.2746763666857</v>
      </c>
      <c r="M1867" s="4">
        <f>L1867/MAX(L$2:L1867)-1</f>
        <v>-0.14399194118943548</v>
      </c>
      <c r="N1867" s="4">
        <f t="shared" si="57"/>
        <v>1.6525999532199798E-3</v>
      </c>
    </row>
    <row r="1868" spans="1:14">
      <c r="A1868" s="3">
        <f>prices!A1869</f>
        <v>46225</v>
      </c>
      <c r="B1868" s="5">
        <f>prices!B1869/prices!B1868-1</f>
        <v>-1.1582419268236666E-2</v>
      </c>
      <c r="C1868" s="5">
        <f>prices!C1869/prices!C1868-1</f>
        <v>-5.7629102696861167E-3</v>
      </c>
      <c r="D1868" s="5">
        <f>prices!D1869/prices!D1868-1</f>
        <v>-1.0900256090354055E-2</v>
      </c>
      <c r="E1868" s="5">
        <f>prices!E1869/prices!E1868-1</f>
        <v>-1.9934792734047635E-2</v>
      </c>
      <c r="F1868" s="5">
        <f>prices!F1869/prices!F1868-1</f>
        <v>-7.1174377224192398E-4</v>
      </c>
      <c r="G1868" s="5">
        <f>prices!G1869/prices!G1868-1</f>
        <v>-3.8241542735740763E-3</v>
      </c>
      <c r="H1868" s="5">
        <f>prices!H1869/prices!H1868-1</f>
        <v>-9.6335185279576852E-3</v>
      </c>
      <c r="I1868" s="5">
        <f>prices!I1869/prices!I1868-1</f>
        <v>-7.5911194301460094E-3</v>
      </c>
      <c r="J1868" s="5">
        <f>prices!J1869/prices!J1868-1</f>
        <v>-7.9151800295191865E-3</v>
      </c>
      <c r="K1868" s="8">
        <f>SUMPRODUCT(B1868:I1868,weights!$B$5:$I$5)</f>
        <v>-8.2316008896872149E-3</v>
      </c>
      <c r="L1868" s="4">
        <f t="shared" si="58"/>
        <v>274.99226189401793</v>
      </c>
      <c r="M1868" s="4">
        <f>L1868/MAX(L$2:L1868)-1</f>
        <v>-0.15103825788792002</v>
      </c>
      <c r="N1868" s="4">
        <f t="shared" si="57"/>
        <v>-1.0870467895559677E-2</v>
      </c>
    </row>
    <row r="1869" spans="1:14">
      <c r="A1869" s="3">
        <f>prices!A1870</f>
        <v>46226</v>
      </c>
      <c r="B1869" s="5">
        <f>prices!B1870/prices!B1869-1</f>
        <v>-1.2726990532360594E-2</v>
      </c>
      <c r="C1869" s="5">
        <f>prices!C1870/prices!C1869-1</f>
        <v>1.5668161028845606E-2</v>
      </c>
      <c r="D1869" s="5">
        <f>prices!D1870/prices!D1869-1</f>
        <v>-7.8337648542786686E-3</v>
      </c>
      <c r="E1869" s="5">
        <f>prices!E1870/prices!E1869-1</f>
        <v>-4.4672559642617848E-3</v>
      </c>
      <c r="F1869" s="5">
        <f>prices!F1870/prices!F1869-1</f>
        <v>1.7806267806268483E-3</v>
      </c>
      <c r="G1869" s="5">
        <f>prices!G1870/prices!G1869-1</f>
        <v>-1.0483717017938488E-2</v>
      </c>
      <c r="H1869" s="5">
        <f>prices!H1870/prices!H1869-1</f>
        <v>5.6613484302625583E-3</v>
      </c>
      <c r="I1869" s="5">
        <f>prices!I1870/prices!I1869-1</f>
        <v>-6.5489600251480429E-3</v>
      </c>
      <c r="J1869" s="5">
        <f>prices!J1870/prices!J1869-1</f>
        <v>-5.2779080064594419E-3</v>
      </c>
      <c r="K1869" s="8">
        <f>SUMPRODUCT(B1869:I1869,weights!$B$5:$I$5)</f>
        <v>-3.5307852230207692E-3</v>
      </c>
      <c r="L1869" s="4">
        <f t="shared" si="58"/>
        <v>274.02132327927745</v>
      </c>
      <c r="M1869" s="4">
        <f>L1869/MAX(L$2:L1869)-1</f>
        <v>-0.15403575946187942</v>
      </c>
      <c r="N1869" s="4">
        <f t="shared" si="57"/>
        <v>-2.1008922717817513E-2</v>
      </c>
    </row>
    <row r="1870" spans="1:14">
      <c r="A1870" s="3">
        <f>prices!A1871</f>
        <v>46227</v>
      </c>
      <c r="B1870" s="5">
        <f>prices!B1871/prices!B1870-1</f>
        <v>4.5590315988051078E-3</v>
      </c>
      <c r="C1870" s="5">
        <f>prices!C1871/prices!C1870-1</f>
        <v>5.0827054260109694E-3</v>
      </c>
      <c r="D1870" s="5">
        <f>prices!D1871/prices!D1870-1</f>
        <v>-5.9551689528271057E-3</v>
      </c>
      <c r="E1870" s="5">
        <f>prices!E1871/prices!E1870-1</f>
        <v>-6.2058430399083431E-3</v>
      </c>
      <c r="F1870" s="5">
        <f>prices!F1871/prices!F1870-1</f>
        <v>7.6430856736580122E-3</v>
      </c>
      <c r="G1870" s="5">
        <f>prices!G1871/prices!G1870-1</f>
        <v>2.909629660889923E-3</v>
      </c>
      <c r="H1870" s="5">
        <f>prices!H1871/prices!H1870-1</f>
        <v>-6.6018423746162513E-3</v>
      </c>
      <c r="I1870" s="5">
        <f>prices!I1871/prices!I1870-1</f>
        <v>-1.7930598038181644E-3</v>
      </c>
      <c r="J1870" s="5">
        <f>prices!J1871/prices!J1870-1</f>
        <v>-4.2795019606527429E-3</v>
      </c>
      <c r="K1870" s="8">
        <f>SUMPRODUCT(B1870:I1870,weights!$B$5:$I$5)</f>
        <v>-8.6629287451571836E-5</v>
      </c>
      <c r="L1870" s="4">
        <f t="shared" si="58"/>
        <v>273.99758500729524</v>
      </c>
      <c r="M1870" s="4">
        <f>L1870/MAX(L$2:L1870)-1</f>
        <v>-0.15410904474124676</v>
      </c>
      <c r="N1870" s="4">
        <f t="shared" si="57"/>
        <v>-2.1093732017263833E-2</v>
      </c>
    </row>
    <row r="1871" spans="1:14">
      <c r="A1871" s="3">
        <f>prices!A1872</f>
        <v>46230</v>
      </c>
      <c r="B1871" s="5">
        <f>prices!B1872/prices!B1871-1</f>
        <v>1.5649452269170805E-3</v>
      </c>
      <c r="C1871" s="5">
        <f>prices!C1872/prices!C1871-1</f>
        <v>1.8320542962338537E-2</v>
      </c>
      <c r="D1871" s="5">
        <f>prices!D1872/prices!D1871-1</f>
        <v>-4.3753365643510733E-3</v>
      </c>
      <c r="E1871" s="5">
        <f>prices!E1872/prices!E1871-1</f>
        <v>3.6795081179748168E-2</v>
      </c>
      <c r="F1871" s="5">
        <f>prices!F1872/prices!F1871-1</f>
        <v>8.4671017816193572E-3</v>
      </c>
      <c r="G1871" s="5">
        <f>prices!G1872/prices!G1871-1</f>
        <v>2.1425662404176649E-2</v>
      </c>
      <c r="H1871" s="5">
        <f>prices!H1872/prices!H1871-1</f>
        <v>1.6794600999433307E-2</v>
      </c>
      <c r="I1871" s="5">
        <f>prices!I1872/prices!I1871-1</f>
        <v>5.3888419273036003E-3</v>
      </c>
      <c r="J1871" s="5">
        <f>prices!J1872/prices!J1871-1</f>
        <v>9.6139888797495132E-3</v>
      </c>
      <c r="K1871" s="8">
        <f>SUMPRODUCT(B1871:I1871,weights!$B$5:$I$5)</f>
        <v>1.3068345254577956E-2</v>
      </c>
      <c r="L1871" s="4">
        <f t="shared" si="58"/>
        <v>277.57828004709114</v>
      </c>
      <c r="M1871" s="4">
        <f>L1871/MAX(L$2:L1871)-1</f>
        <v>-0.14305464969020065</v>
      </c>
      <c r="N1871" s="4">
        <f t="shared" si="57"/>
        <v>-7.3797027820288186E-4</v>
      </c>
    </row>
    <row r="1872" spans="1:14">
      <c r="A1872" s="3">
        <f>prices!A1873</f>
        <v>46231</v>
      </c>
      <c r="B1872" s="5">
        <f>prices!B1873/prices!B1872-1</f>
        <v>-9.6093749999999201E-3</v>
      </c>
      <c r="C1872" s="5">
        <f>prices!C1873/prices!C1872-1</f>
        <v>4.4607074403206104E-2</v>
      </c>
      <c r="D1872" s="5">
        <f>prices!D1873/prices!D1872-1</f>
        <v>-5.6115205192346362E-3</v>
      </c>
      <c r="E1872" s="5">
        <f>prices!E1873/prices!E1872-1</f>
        <v>2.4555226093402549E-2</v>
      </c>
      <c r="F1872" s="5">
        <f>prices!F1873/prices!F1872-1</f>
        <v>-4.1980059471752318E-3</v>
      </c>
      <c r="G1872" s="5">
        <f>prices!G1873/prices!G1872-1</f>
        <v>5.2436903574362148E-3</v>
      </c>
      <c r="H1872" s="5">
        <f>prices!H1873/prices!H1872-1</f>
        <v>1.5199878400973255E-3</v>
      </c>
      <c r="I1872" s="5">
        <f>prices!I1873/prices!I1872-1</f>
        <v>6.8313189700472954E-3</v>
      </c>
      <c r="J1872" s="5">
        <f>prices!J1873/prices!J1872-1</f>
        <v>-4.4174121049600501E-4</v>
      </c>
      <c r="K1872" s="8">
        <f>SUMPRODUCT(B1872:I1872,weights!$B$5:$I$5)</f>
        <v>6.6000102488174665E-3</v>
      </c>
      <c r="L1872" s="4">
        <f t="shared" si="58"/>
        <v>279.41029954025106</v>
      </c>
      <c r="M1872" s="4">
        <f>L1872/MAX(L$2:L1872)-1</f>
        <v>-0.13739880159547946</v>
      </c>
      <c r="N1872" s="4">
        <f t="shared" si="57"/>
        <v>5.2945473957906053E-3</v>
      </c>
    </row>
    <row r="1873" spans="1:14">
      <c r="A1873" s="3">
        <f>prices!A1874</f>
        <v>46232</v>
      </c>
      <c r="B1873" s="5">
        <f>prices!B1874/prices!B1873-1</f>
        <v>6.4684073518972429E-3</v>
      </c>
      <c r="C1873" s="5">
        <f>prices!C1874/prices!C1873-1</f>
        <v>2.0266889074228578E-2</v>
      </c>
      <c r="D1873" s="5">
        <f>prices!D1874/prices!D1873-1</f>
        <v>1.7405493608920519E-2</v>
      </c>
      <c r="E1873" s="5">
        <f>prices!E1874/prices!E1873-1</f>
        <v>4.5129782038527466E-2</v>
      </c>
      <c r="F1873" s="5">
        <f>prices!F1874/prices!F1873-1</f>
        <v>5.6209379940277415E-3</v>
      </c>
      <c r="G1873" s="5">
        <f>prices!G1874/prices!G1873-1</f>
        <v>1.0578305070853666E-2</v>
      </c>
      <c r="H1873" s="5">
        <f>prices!H1874/prices!H1873-1</f>
        <v>6.6777963272119933E-3</v>
      </c>
      <c r="I1873" s="5">
        <f>prices!I1874/prices!I1873-1</f>
        <v>2.5939457202505345E-2</v>
      </c>
      <c r="J1873" s="5">
        <f>prices!J1874/prices!J1873-1</f>
        <v>1.1042156983325224E-2</v>
      </c>
      <c r="K1873" s="8">
        <f>SUMPRODUCT(B1873:I1873,weights!$B$5:$I$5)</f>
        <v>1.6365132042365192E-2</v>
      </c>
      <c r="L1873" s="4">
        <f t="shared" si="58"/>
        <v>283.98288598622406</v>
      </c>
      <c r="M1873" s="4">
        <f>L1873/MAX(L$2:L1873)-1</f>
        <v>-0.12328221908368708</v>
      </c>
      <c r="N1873" s="4">
        <f t="shared" si="57"/>
        <v>2.1191207769155174E-2</v>
      </c>
    </row>
    <row r="1874" spans="1:14">
      <c r="A1874" s="3">
        <f>prices!A1875</f>
        <v>46233</v>
      </c>
      <c r="B1874" s="5">
        <f>prices!B1875/prices!B1874-1</f>
        <v>1.3323928207539693E-2</v>
      </c>
      <c r="C1874" s="5">
        <f>prices!C1875/prices!C1874-1</f>
        <v>-6.0492111501674328E-3</v>
      </c>
      <c r="D1874" s="5">
        <f>prices!D1875/prices!D1874-1</f>
        <v>7.6851109329056921E-3</v>
      </c>
      <c r="E1874" s="5">
        <f>prices!E1875/prices!E1874-1</f>
        <v>-4.3267566632054777E-4</v>
      </c>
      <c r="F1874" s="5">
        <f>prices!F1875/prices!F1874-1</f>
        <v>-4.1921397379912628E-3</v>
      </c>
      <c r="G1874" s="5">
        <f>prices!G1875/prices!G1874-1</f>
        <v>1.7207231932659939E-2</v>
      </c>
      <c r="H1874" s="5">
        <f>prices!H1875/prices!H1874-1</f>
        <v>5.6284235388712744E-3</v>
      </c>
      <c r="I1874" s="5">
        <f>prices!I1875/prices!I1874-1</f>
        <v>1.602482576181341E-3</v>
      </c>
      <c r="J1874" s="5">
        <f>prices!J1875/prices!J1874-1</f>
        <v>2.7608019727671795E-3</v>
      </c>
      <c r="K1874" s="8">
        <f>SUMPRODUCT(B1874:I1874,weights!$B$5:$I$5)</f>
        <v>5.8584766662121198E-3</v>
      </c>
      <c r="L1874" s="4">
        <f t="shared" si="58"/>
        <v>285.64659309737795</v>
      </c>
      <c r="M1874" s="4">
        <f>L1874/MAX(L$2:L1874)-1</f>
        <v>-0.11814598842133561</v>
      </c>
      <c r="N1874" s="4">
        <f t="shared" si="57"/>
        <v>2.0897853313950998E-2</v>
      </c>
    </row>
    <row r="1875" spans="1:14">
      <c r="A1875" s="3">
        <f>prices!A1876</f>
        <v>46234</v>
      </c>
      <c r="B1875" s="5">
        <f>prices!B1876/prices!B1875-1</f>
        <v>1.1524479851496627E-2</v>
      </c>
      <c r="C1875" s="5">
        <f>prices!C1876/prices!C1875-1</f>
        <v>-2.722263344025011E-2</v>
      </c>
      <c r="D1875" s="5">
        <f>prices!D1876/prices!D1875-1</f>
        <v>-7.6928178261158608E-3</v>
      </c>
      <c r="E1875" s="5">
        <f>prices!E1876/prices!E1875-1</f>
        <v>-2.1643147779413008E-2</v>
      </c>
      <c r="F1875" s="5">
        <f>prices!F1876/prices!F1875-1</f>
        <v>-1.4208033678302145E-2</v>
      </c>
      <c r="G1875" s="5">
        <f>prices!G1876/prices!G1875-1</f>
        <v>3.2419895308084534E-3</v>
      </c>
      <c r="H1875" s="5">
        <f>prices!H1876/prices!H1875-1</f>
        <v>-5.2970866023686058E-3</v>
      </c>
      <c r="I1875" s="5">
        <f>prices!I1876/prices!I1875-1</f>
        <v>3.0474642557853926E-4</v>
      </c>
      <c r="J1875" s="5">
        <f>prices!J1876/prices!J1875-1</f>
        <v>2.7326393101163582E-3</v>
      </c>
      <c r="K1875" s="8">
        <f>SUMPRODUCT(B1875:I1875,weights!$B$5:$I$5)</f>
        <v>-4.6260289345349129E-3</v>
      </c>
      <c r="L1875" s="4">
        <f t="shared" si="58"/>
        <v>284.32518369265819</v>
      </c>
      <c r="M1875" s="4">
        <f>L1875/MAX(L$2:L1875)-1</f>
        <v>-0.12222547059493405</v>
      </c>
      <c r="N1875" s="4">
        <f t="shared" si="57"/>
        <v>1.2618460727769287E-2</v>
      </c>
    </row>
    <row r="1876" spans="1:14">
      <c r="A1876" s="3">
        <f>prices!A1877</f>
        <v>46237</v>
      </c>
      <c r="B1876" s="5">
        <f>prices!B1877/prices!B1876-1</f>
        <v>8.5640006117144729E-3</v>
      </c>
      <c r="C1876" s="5">
        <f>prices!C1877/prices!C1876-1</f>
        <v>4.5696652012174432E-2</v>
      </c>
      <c r="D1876" s="5">
        <f>prices!D1877/prices!D1876-1</f>
        <v>6.4826572211456046E-3</v>
      </c>
      <c r="E1876" s="5">
        <f>prices!E1877/prices!E1876-1</f>
        <v>4.4155384479249715E-2</v>
      </c>
      <c r="F1876" s="5">
        <f>prices!F1877/prices!F1876-1</f>
        <v>2.1352313167259718E-2</v>
      </c>
      <c r="G1876" s="5">
        <f>prices!G1877/prices!G1876-1</f>
        <v>-5.9017333370232627E-3</v>
      </c>
      <c r="H1876" s="5">
        <f>prices!H1877/prices!H1876-1</f>
        <v>-1.3564431047475511E-2</v>
      </c>
      <c r="I1876" s="5">
        <f>prices!I1877/prices!I1876-1</f>
        <v>2.1858894615247815E-2</v>
      </c>
      <c r="J1876" s="5">
        <f>prices!J1877/prices!J1876-1</f>
        <v>1.6023064682819665E-2</v>
      </c>
      <c r="K1876" s="8">
        <f>SUMPRODUCT(B1876:I1876,weights!$B$5:$I$5)</f>
        <v>1.2224514832359337E-2</v>
      </c>
      <c r="L1876" s="4">
        <f t="shared" si="58"/>
        <v>287.80092111792243</v>
      </c>
      <c r="M1876" s="4">
        <f>L1876/MAX(L$2:L1876)-1</f>
        <v>-0.11149510284075448</v>
      </c>
      <c r="N1876" s="4">
        <f t="shared" si="57"/>
        <v>2.0387743530193791E-2</v>
      </c>
    </row>
    <row r="1877" spans="1:14">
      <c r="A1877" s="3">
        <f>prices!A1878</f>
        <v>46238</v>
      </c>
      <c r="B1877" s="5">
        <f>prices!B1878/prices!B1877-1</f>
        <v>-2.1304018195602681E-2</v>
      </c>
      <c r="C1877" s="5">
        <f>prices!C1878/prices!C1877-1</f>
        <v>-5.5382625217285097E-3</v>
      </c>
      <c r="D1877" s="5">
        <f>prices!D1878/prices!D1877-1</f>
        <v>-1.4608233731739695E-2</v>
      </c>
      <c r="E1877" s="5">
        <f>prices!E1878/prices!E1877-1</f>
        <v>-1.0593220338983023E-2</v>
      </c>
      <c r="F1877" s="5">
        <f>prices!F1878/prices!F1877-1</f>
        <v>6.9686411149825211E-3</v>
      </c>
      <c r="G1877" s="5">
        <f>prices!G1878/prices!G1877-1</f>
        <v>1.2720121633487125E-3</v>
      </c>
      <c r="H1877" s="5">
        <f>prices!H1878/prices!H1877-1</f>
        <v>2.5464731347080161E-4</v>
      </c>
      <c r="I1877" s="5">
        <f>prices!I1878/prices!I1877-1</f>
        <v>-8.6956521739129933E-3</v>
      </c>
      <c r="J1877" s="5">
        <f>prices!J1878/prices!J1877-1</f>
        <v>-6.4340869368659792E-3</v>
      </c>
      <c r="K1877" s="8">
        <f>SUMPRODUCT(B1877:I1877,weights!$B$5:$I$5)</f>
        <v>-6.0265627239464367E-3</v>
      </c>
      <c r="L1877" s="4">
        <f t="shared" si="58"/>
        <v>286.06647081479571</v>
      </c>
      <c r="M1877" s="4">
        <f>L1877/MAX(L$2:L1877)-1</f>
        <v>-0.11684973333401827</v>
      </c>
      <c r="N1877" s="4">
        <f t="shared" si="57"/>
        <v>1.2957724798740244E-2</v>
      </c>
    </row>
    <row r="1878" spans="1:14">
      <c r="A1878" s="3">
        <f>prices!A1879</f>
        <v>46239</v>
      </c>
      <c r="B1878" s="5">
        <f>prices!B1879/prices!B1878-1</f>
        <v>-8.4437214346581024E-3</v>
      </c>
      <c r="C1878" s="5">
        <f>prices!C1879/prices!C1878-1</f>
        <v>-1.9105691056910623E-2</v>
      </c>
      <c r="D1878" s="5">
        <f>prices!D1879/prices!D1878-1</f>
        <v>-9.4339622641509413E-3</v>
      </c>
      <c r="E1878" s="5">
        <f>prices!E1879/prices!E1878-1</f>
        <v>5.5674518201285217E-3</v>
      </c>
      <c r="F1878" s="5">
        <f>prices!F1879/prices!F1878-1</f>
        <v>-7.0934256055363853E-3</v>
      </c>
      <c r="G1878" s="5">
        <f>prices!G1879/prices!G1878-1</f>
        <v>1.5534193761796988E-3</v>
      </c>
      <c r="H1878" s="5">
        <f>prices!H1879/prices!H1878-1</f>
        <v>-1.2219959266802416E-2</v>
      </c>
      <c r="I1878" s="5">
        <f>prices!I1879/prices!I1878-1</f>
        <v>1.679197994987458E-2</v>
      </c>
      <c r="J1878" s="5">
        <f>prices!J1879/prices!J1878-1</f>
        <v>3.9610154824920585E-4</v>
      </c>
      <c r="K1878" s="8">
        <f>SUMPRODUCT(B1878:I1878,weights!$B$5:$I$5)</f>
        <v>-1.8078764684954993E-3</v>
      </c>
      <c r="L1878" s="4">
        <f t="shared" si="58"/>
        <v>285.54929797378412</v>
      </c>
      <c r="M1878" s="4">
        <f>L1878/MAX(L$2:L1878)-1</f>
        <v>-0.11844635991926911</v>
      </c>
      <c r="N1878" s="4">
        <f t="shared" si="57"/>
        <v>3.4932955244558306E-2</v>
      </c>
    </row>
    <row r="1879" spans="1:14">
      <c r="A1879" s="3">
        <f>prices!A1880</f>
        <v>46240</v>
      </c>
      <c r="B1879" s="5">
        <f>prices!B1880/prices!B1879-1</f>
        <v>3.515625E-2</v>
      </c>
      <c r="C1879" s="5">
        <f>prices!C1880/prices!C1879-1</f>
        <v>-1.6576875259013635E-2</v>
      </c>
      <c r="D1879" s="5">
        <f>prices!D1880/prices!D1879-1</f>
        <v>-9.5238095238103782E-4</v>
      </c>
      <c r="E1879" s="5">
        <f>prices!E1880/prices!E1879-1</f>
        <v>-7.6660988074956915E-3</v>
      </c>
      <c r="F1879" s="5">
        <f>prices!F1880/prices!F1879-1</f>
        <v>-3.6591740721380051E-3</v>
      </c>
      <c r="G1879" s="5">
        <f>prices!G1880/prices!G1879-1</f>
        <v>-7.7522028399356069E-3</v>
      </c>
      <c r="H1879" s="5">
        <f>prices!H1880/prices!H1879-1</f>
        <v>5.670103092783485E-3</v>
      </c>
      <c r="I1879" s="5">
        <f>prices!I1880/prices!I1879-1</f>
        <v>1.1831402514173028E-3</v>
      </c>
      <c r="J1879" s="5">
        <f>prices!J1880/prices!J1879-1</f>
        <v>4.6092025673449832E-4</v>
      </c>
      <c r="K1879" s="8">
        <f>SUMPRODUCT(B1879:I1879,weights!$B$5:$I$5)</f>
        <v>1.5746108743158588E-3</v>
      </c>
      <c r="L1879" s="4">
        <f t="shared" si="58"/>
        <v>285.99892700352689</v>
      </c>
      <c r="M1879" s="4">
        <f>L1879/MAX(L$2:L1879)-1</f>
        <v>-0.11705825597130526</v>
      </c>
      <c r="N1879" s="4">
        <f t="shared" ref="N1879:N1923" si="59">L1879/L1859-1</f>
        <v>3.6270701684351092E-2</v>
      </c>
    </row>
    <row r="1880" spans="1:14">
      <c r="A1880" s="3">
        <f>prices!A1881</f>
        <v>46241</v>
      </c>
      <c r="B1880" s="5">
        <f>prices!B1881/prices!B1880-1</f>
        <v>7.396226415094409E-3</v>
      </c>
      <c r="C1880" s="5">
        <f>prices!C1881/prices!C1880-1</f>
        <v>3.3586177833965447E-2</v>
      </c>
      <c r="D1880" s="5">
        <f>prices!D1881/prices!D1880-1</f>
        <v>-4.4940759907393657E-3</v>
      </c>
      <c r="E1880" s="5">
        <f>prices!E1881/prices!E1880-1</f>
        <v>8.6695278969957101E-3</v>
      </c>
      <c r="F1880" s="5">
        <f>prices!F1881/prices!F1880-1</f>
        <v>6.9954529555804612E-4</v>
      </c>
      <c r="G1880" s="5">
        <f>prices!G1881/prices!G1880-1</f>
        <v>6.9583931133430088E-3</v>
      </c>
      <c r="H1880" s="5">
        <f>prices!H1881/prices!H1880-1</f>
        <v>-3.075345976422339E-3</v>
      </c>
      <c r="I1880" s="5">
        <f>prices!I1881/prices!I1880-1</f>
        <v>-1.427938352454583E-3</v>
      </c>
      <c r="J1880" s="5">
        <f>prices!J1881/prices!J1880-1</f>
        <v>-2.6526221789251458E-3</v>
      </c>
      <c r="K1880" s="8">
        <f>SUMPRODUCT(B1880:I1880,weights!$B$5:$I$5)</f>
        <v>4.9564090083160971E-3</v>
      </c>
      <c r="L1880" s="4">
        <f t="shared" si="58"/>
        <v>287.41645466169592</v>
      </c>
      <c r="M1880" s="4">
        <f>L1880/MAX(L$2:L1880)-1</f>
        <v>-0.1126820355573831</v>
      </c>
      <c r="N1880" s="4">
        <f t="shared" si="59"/>
        <v>3.0934245613785771E-2</v>
      </c>
    </row>
    <row r="1881" spans="1:14">
      <c r="A1881" s="3">
        <f>prices!A1882</f>
        <v>46244</v>
      </c>
      <c r="B1881" s="5">
        <f>prices!B1882/prices!B1881-1</f>
        <v>-5.6188192987713936E-3</v>
      </c>
      <c r="C1881" s="5">
        <f>prices!C1882/prices!C1881-1</f>
        <v>-1.1008276593142297E-2</v>
      </c>
      <c r="D1881" s="5">
        <f>prices!D1882/prices!D1881-1</f>
        <v>0</v>
      </c>
      <c r="E1881" s="5">
        <f>prices!E1882/prices!E1881-1</f>
        <v>6.7228320993959478E-3</v>
      </c>
      <c r="F1881" s="5">
        <f>prices!F1882/prices!F1881-1</f>
        <v>-1.2058720727018635E-2</v>
      </c>
      <c r="G1881" s="5">
        <f>prices!G1882/prices!G1881-1</f>
        <v>4.2744176106006559E-3</v>
      </c>
      <c r="H1881" s="5">
        <f>prices!H1882/prices!H1881-1</f>
        <v>-3.0848329048838163E-4</v>
      </c>
      <c r="I1881" s="5">
        <f>prices!I1882/prices!I1881-1</f>
        <v>5.9171597633136397E-3</v>
      </c>
      <c r="J1881" s="5">
        <f>prices!J1882/prices!J1881-1</f>
        <v>5.3519137670332562E-4</v>
      </c>
      <c r="K1881" s="8">
        <f>SUMPRODUCT(B1881:I1881,weights!$B$5:$I$5)</f>
        <v>-1.7003680592515488E-4</v>
      </c>
      <c r="L1881" s="4">
        <f t="shared" si="58"/>
        <v>287.36758328577491</v>
      </c>
      <c r="M1881" s="4">
        <f>L1881/MAX(L$2:L1881)-1</f>
        <v>-0.11283291226989689</v>
      </c>
      <c r="N1881" s="4">
        <f t="shared" si="59"/>
        <v>2.9718320695582001E-2</v>
      </c>
    </row>
    <row r="1882" spans="1:14">
      <c r="A1882" s="3">
        <f>prices!A1883</f>
        <v>46245</v>
      </c>
      <c r="B1882" s="5">
        <f>prices!B1883/prices!B1882-1</f>
        <v>-2.5615912001807351E-3</v>
      </c>
      <c r="C1882" s="5">
        <f>prices!C1883/prices!C1882-1</f>
        <v>8.2450426680957811E-3</v>
      </c>
      <c r="D1882" s="5">
        <f>prices!D1883/prices!D1882-1</f>
        <v>-2.7359781121750748E-3</v>
      </c>
      <c r="E1882" s="5">
        <f>prices!E1883/prices!E1882-1</f>
        <v>6.5088757396449815E-3</v>
      </c>
      <c r="F1882" s="5">
        <f>prices!F1883/prices!F1882-1</f>
        <v>-1.2913497258092987E-2</v>
      </c>
      <c r="G1882" s="5">
        <f>prices!G1883/prices!G1882-1</f>
        <v>-7.5902674327871233E-3</v>
      </c>
      <c r="H1882" s="5">
        <f>prices!H1883/prices!H1882-1</f>
        <v>-1.2343139271755454E-3</v>
      </c>
      <c r="I1882" s="5">
        <f>prices!I1883/prices!I1882-1</f>
        <v>-1.0441176470588176E-2</v>
      </c>
      <c r="J1882" s="5">
        <f>prices!J1883/prices!J1882-1</f>
        <v>-4.5599134389312512E-3</v>
      </c>
      <c r="K1882" s="8">
        <f>SUMPRODUCT(B1882:I1882,weights!$B$5:$I$5)</f>
        <v>-4.0521375754053769E-3</v>
      </c>
      <c r="L1882" s="4">
        <f t="shared" si="58"/>
        <v>286.20313030358921</v>
      </c>
      <c r="M1882" s="4">
        <f>L1882/MAX(L$2:L1882)-1</f>
        <v>-0.11642783536175094</v>
      </c>
      <c r="N1882" s="4">
        <f t="shared" si="59"/>
        <v>3.342449874175335E-2</v>
      </c>
    </row>
    <row r="1883" spans="1:14">
      <c r="A1883" s="3">
        <f>prices!A1884</f>
        <v>46246</v>
      </c>
      <c r="B1883" s="5">
        <f>prices!B1884/prices!B1883-1</f>
        <v>3.8522547020167774E-3</v>
      </c>
      <c r="C1883" s="5">
        <f>prices!C1884/prices!C1883-1</f>
        <v>-3.9252565727603606E-2</v>
      </c>
      <c r="D1883" s="5">
        <f>prices!D1884/prices!D1883-1</f>
        <v>0</v>
      </c>
      <c r="E1883" s="5">
        <f>prices!E1884/prices!E1883-1</f>
        <v>-1.226169480137751E-2</v>
      </c>
      <c r="F1883" s="5">
        <f>prices!F1884/prices!F1883-1</f>
        <v>-1.0215053763440896E-2</v>
      </c>
      <c r="G1883" s="5">
        <f>prices!G1884/prices!G1883-1</f>
        <v>-8.2201572551823254E-3</v>
      </c>
      <c r="H1883" s="5">
        <f>prices!H1884/prices!H1883-1</f>
        <v>1.029866117404632E-3</v>
      </c>
      <c r="I1883" s="5">
        <f>prices!I1884/prices!I1883-1</f>
        <v>-4.309704265121117E-3</v>
      </c>
      <c r="J1883" s="5">
        <f>prices!J1884/prices!J1883-1</f>
        <v>-1.4608711286915321E-3</v>
      </c>
      <c r="K1883" s="8">
        <f>SUMPRODUCT(B1883:I1883,weights!$B$5:$I$5)</f>
        <v>-7.1403418763710388E-3</v>
      </c>
      <c r="L1883" s="4">
        <f t="shared" si="58"/>
        <v>284.15954210713403</v>
      </c>
      <c r="M1883" s="4">
        <f>L1883/MAX(L$2:L1883)-1</f>
        <v>-0.12273684268971319</v>
      </c>
      <c r="N1883" s="4">
        <f t="shared" si="59"/>
        <v>2.7482897898412961E-2</v>
      </c>
    </row>
    <row r="1884" spans="1:14">
      <c r="A1884" s="3">
        <f>prices!A1885</f>
        <v>46247</v>
      </c>
      <c r="B1884" s="5">
        <f>prices!B1885/prices!B1884-1</f>
        <v>-9.0293453724604733E-3</v>
      </c>
      <c r="C1884" s="5">
        <f>prices!C1885/prices!C1884-1</f>
        <v>1.0767331999829821E-2</v>
      </c>
      <c r="D1884" s="5">
        <f>prices!D1885/prices!D1884-1</f>
        <v>-5.4869684499314619E-3</v>
      </c>
      <c r="E1884" s="5">
        <f>prices!E1885/prices!E1884-1</f>
        <v>-9.3529461780450518E-4</v>
      </c>
      <c r="F1884" s="5">
        <f>prices!F1885/prices!F1884-1</f>
        <v>8.5098678254571514E-3</v>
      </c>
      <c r="G1884" s="5">
        <f>prices!G1885/prices!G1884-1</f>
        <v>2.1621621621621401E-3</v>
      </c>
      <c r="H1884" s="5">
        <f>prices!H1885/prices!H1884-1</f>
        <v>-6.1728395061728669E-3</v>
      </c>
      <c r="I1884" s="5">
        <f>prices!I1885/prices!I1884-1</f>
        <v>1.2611940298507429E-2</v>
      </c>
      <c r="J1884" s="5">
        <f>prices!J1885/prices!J1884-1</f>
        <v>-1.6410248015731321E-3</v>
      </c>
      <c r="K1884" s="8">
        <f>SUMPRODUCT(B1884:I1884,weights!$B$5:$I$5)</f>
        <v>1.9938793742312086E-3</v>
      </c>
      <c r="L1884" s="4">
        <f t="shared" si="58"/>
        <v>284.72612195713242</v>
      </c>
      <c r="M1884" s="4">
        <f>L1884/MAX(L$2:L1884)-1</f>
        <v>-0.1209876857745793</v>
      </c>
      <c r="N1884" s="4">
        <f t="shared" si="59"/>
        <v>2.5892178219756978E-2</v>
      </c>
    </row>
    <row r="1885" spans="1:14">
      <c r="A1885" s="3">
        <f>prices!A1886</f>
        <v>46248</v>
      </c>
      <c r="B1885" s="5">
        <f>prices!B1886/prices!B1885-1</f>
        <v>-5.3151100987092192E-3</v>
      </c>
      <c r="C1885" s="5">
        <f>prices!C1886/prices!C1885-1</f>
        <v>-5.8947368421052859E-3</v>
      </c>
      <c r="D1885" s="5">
        <f>prices!D1886/prices!D1885-1</f>
        <v>2.7586206896552667E-3</v>
      </c>
      <c r="E1885" s="5">
        <f>prices!E1886/prices!E1885-1</f>
        <v>-4.9361702127659335E-3</v>
      </c>
      <c r="F1885" s="5">
        <f>prices!F1886/prices!F1885-1</f>
        <v>-1.0771992818672249E-3</v>
      </c>
      <c r="G1885" s="5">
        <f>prices!G1886/prices!G1885-1</f>
        <v>-5.1060769507371706E-3</v>
      </c>
      <c r="H1885" s="5">
        <f>prices!H1886/prices!H1885-1</f>
        <v>-1.0351966873706209E-3</v>
      </c>
      <c r="I1885" s="5">
        <f>prices!I1886/prices!I1885-1</f>
        <v>-3.3655145306703549E-3</v>
      </c>
      <c r="J1885" s="5">
        <f>prices!J1886/prices!J1885-1</f>
        <v>-1.2235687627197844E-3</v>
      </c>
      <c r="K1885" s="8">
        <f>SUMPRODUCT(B1885:I1885,weights!$B$5:$I$5)</f>
        <v>-3.3090116986329915E-3</v>
      </c>
      <c r="L1885" s="4">
        <f t="shared" si="58"/>
        <v>283.78395988866987</v>
      </c>
      <c r="M1885" s="4">
        <f>L1885/MAX(L$2:L1885)-1</f>
        <v>-0.12389634780559367</v>
      </c>
      <c r="N1885" s="4">
        <f t="shared" si="59"/>
        <v>1.3154310586161344E-2</v>
      </c>
    </row>
    <row r="1886" spans="1:14">
      <c r="A1886" s="3">
        <f>prices!A1887</f>
        <v>46251</v>
      </c>
      <c r="B1886" s="5">
        <f>prices!B1887/prices!B1886-1</f>
        <v>4.5801526717557106E-3</v>
      </c>
      <c r="C1886" s="5">
        <f>prices!C1887/prices!C1886-1</f>
        <v>-2.0245658619229223E-2</v>
      </c>
      <c r="D1886" s="5">
        <f>prices!D1887/prices!D1886-1</f>
        <v>2.7510316368637433E-3</v>
      </c>
      <c r="E1886" s="5">
        <f>prices!E1887/prices!E1886-1</f>
        <v>-2.5059869996578832E-2</v>
      </c>
      <c r="F1886" s="5">
        <f>prices!F1887/prices!F1886-1</f>
        <v>-1.851186196980581E-2</v>
      </c>
      <c r="G1886" s="5">
        <f>prices!G1887/prices!G1886-1</f>
        <v>-5.3491398004915647E-3</v>
      </c>
      <c r="H1886" s="5">
        <f>prices!H1887/prices!H1886-1</f>
        <v>-2.4870466321243567E-2</v>
      </c>
      <c r="I1886" s="5">
        <f>prices!I1887/prices!I1886-1</f>
        <v>7.320680305644478E-3</v>
      </c>
      <c r="J1886" s="5">
        <f>prices!J1887/prices!J1886-1</f>
        <v>-3.2155462529753764E-3</v>
      </c>
      <c r="K1886" s="8">
        <f>SUMPRODUCT(B1886:I1886,weights!$B$5:$I$5)</f>
        <v>-8.0105644458640587E-3</v>
      </c>
      <c r="L1886" s="4">
        <f t="shared" si="58"/>
        <v>281.51069018927922</v>
      </c>
      <c r="M1886" s="4">
        <f>L1886/MAX(L$2:L1886)-1</f>
        <v>-0.1309144325727537</v>
      </c>
      <c r="N1886" s="4">
        <f t="shared" si="59"/>
        <v>1.1088718024859334E-2</v>
      </c>
    </row>
    <row r="1887" spans="1:14">
      <c r="A1887" s="3">
        <f>prices!A1888</f>
        <v>46252</v>
      </c>
      <c r="B1887" s="5">
        <f>prices!B1888/prices!B1887-1</f>
        <v>4.5592705167172287E-3</v>
      </c>
      <c r="C1887" s="5">
        <f>prices!C1888/prices!C1887-1</f>
        <v>-1.4352412242780499E-2</v>
      </c>
      <c r="D1887" s="5">
        <f>prices!D1888/prices!D1887-1</f>
        <v>-8.2304526748970819E-3</v>
      </c>
      <c r="E1887" s="5">
        <f>prices!E1888/prices!E1887-1</f>
        <v>-2.1844021405386549E-2</v>
      </c>
      <c r="F1887" s="5">
        <f>prices!F1888/prices!F1887-1</f>
        <v>-1.1170115363486555E-2</v>
      </c>
      <c r="G1887" s="5">
        <f>prices!G1888/prices!G1887-1</f>
        <v>-5.0145348837209447E-3</v>
      </c>
      <c r="H1887" s="5">
        <f>prices!H1888/prices!H1887-1</f>
        <v>-3.6663124335813979E-3</v>
      </c>
      <c r="I1887" s="5">
        <f>prices!I1888/prices!I1887-1</f>
        <v>-5.4811950962878608E-3</v>
      </c>
      <c r="J1887" s="5">
        <f>prices!J1888/prices!J1887-1</f>
        <v>-5.4657408188935053E-3</v>
      </c>
      <c r="K1887" s="8">
        <f>SUMPRODUCT(B1887:I1887,weights!$B$5:$I$5)</f>
        <v>-6.684507596298744E-3</v>
      </c>
      <c r="L1887" s="4">
        <f t="shared" si="58"/>
        <v>279.62892984226966</v>
      </c>
      <c r="M1887" s="4">
        <f>L1887/MAX(L$2:L1887)-1</f>
        <v>-0.1367238416500548</v>
      </c>
      <c r="N1887" s="4">
        <f t="shared" si="59"/>
        <v>8.490690554338709E-3</v>
      </c>
    </row>
    <row r="1888" spans="1:14">
      <c r="A1888" s="3">
        <f>prices!A1889</f>
        <v>46253</v>
      </c>
      <c r="B1888" s="5">
        <f>prices!B1889/prices!B1888-1</f>
        <v>-8.3207261724659309E-3</v>
      </c>
      <c r="C1888" s="5">
        <f>prices!C1889/prices!C1888-1</f>
        <v>3.9473684210526994E-3</v>
      </c>
      <c r="D1888" s="5">
        <f>prices!D1889/prices!D1888-1</f>
        <v>-4.1493775933609811E-3</v>
      </c>
      <c r="E1888" s="5">
        <f>prices!E1889/prices!E1888-1</f>
        <v>4.3049327354258704E-3</v>
      </c>
      <c r="F1888" s="5">
        <f>prices!F1889/prices!F1888-1</f>
        <v>-1.0925925925925895E-2</v>
      </c>
      <c r="G1888" s="5">
        <f>prices!G1889/prices!G1888-1</f>
        <v>-7.3040683660763328E-5</v>
      </c>
      <c r="H1888" s="5">
        <f>prices!H1889/prices!H1888-1</f>
        <v>1.3279291771105539E-2</v>
      </c>
      <c r="I1888" s="5">
        <f>prices!I1889/prices!I1888-1</f>
        <v>-5.6590310754619511E-3</v>
      </c>
      <c r="J1888" s="5">
        <f>prices!J1889/prices!J1888-1</f>
        <v>-3.1711992183781623E-3</v>
      </c>
      <c r="K1888" s="8">
        <f>SUMPRODUCT(B1888:I1888,weights!$B$5:$I$5)</f>
        <v>-6.958484513819856E-4</v>
      </c>
      <c r="L1888" s="4">
        <f t="shared" si="58"/>
        <v>279.43435048447731</v>
      </c>
      <c r="M1888" s="4">
        <f>L1888/MAX(L$2:L1888)-1</f>
        <v>-0.1373245510279576</v>
      </c>
      <c r="N1888" s="4">
        <f t="shared" si="59"/>
        <v>1.615350395630899E-2</v>
      </c>
    </row>
    <row r="1889" spans="1:14">
      <c r="A1889" s="3">
        <f>prices!A1890</f>
        <v>46254</v>
      </c>
      <c r="B1889" s="5">
        <f>prices!B1890/prices!B1889-1</f>
        <v>1.6781083142638487E-3</v>
      </c>
      <c r="C1889" s="5">
        <f>prices!C1890/prices!C1889-1</f>
        <v>3.9318479685452878E-3</v>
      </c>
      <c r="D1889" s="5">
        <f>prices!D1890/prices!D1889-1</f>
        <v>7.0138888888888751E-3</v>
      </c>
      <c r="E1889" s="5">
        <f>prices!E1890/prices!E1889-1</f>
        <v>9.1087694231113403E-3</v>
      </c>
      <c r="F1889" s="5">
        <f>prices!F1890/prices!F1889-1</f>
        <v>1.7225238719340785E-2</v>
      </c>
      <c r="G1889" s="5">
        <f>prices!G1890/prices!G1889-1</f>
        <v>8.6924762600437688E-3</v>
      </c>
      <c r="H1889" s="5">
        <f>prices!H1890/prices!H1889-1</f>
        <v>2.1052631578948322E-3</v>
      </c>
      <c r="I1889" s="5">
        <f>prices!I1890/prices!I1889-1</f>
        <v>9.8235716229926329E-3</v>
      </c>
      <c r="J1889" s="5">
        <f>prices!J1890/prices!J1889-1</f>
        <v>6.3771113409167857E-3</v>
      </c>
      <c r="K1889" s="8">
        <f>SUMPRODUCT(B1889:I1889,weights!$B$5:$I$5)</f>
        <v>7.2349406815344786E-3</v>
      </c>
      <c r="L1889" s="4">
        <f t="shared" si="58"/>
        <v>281.4560414346156</v>
      </c>
      <c r="M1889" s="4">
        <f>L1889/MAX(L$2:L1889)-1</f>
        <v>-0.13108314532722876</v>
      </c>
      <c r="N1889" s="4">
        <f t="shared" si="59"/>
        <v>2.7131896402678102E-2</v>
      </c>
    </row>
    <row r="1890" spans="1:14">
      <c r="A1890" s="3">
        <f>prices!A1891</f>
        <v>46255</v>
      </c>
      <c r="B1890" s="5">
        <f>prices!B1891/prices!B1890-1</f>
        <v>2.132196162046851E-3</v>
      </c>
      <c r="C1890" s="5">
        <f>prices!C1891/prices!C1890-1</f>
        <v>1.7406440382941035E-3</v>
      </c>
      <c r="D1890" s="5">
        <f>prices!D1891/prices!D1890-1</f>
        <v>2.6205089304187634E-3</v>
      </c>
      <c r="E1890" s="5">
        <f>prices!E1891/prices!E1890-1</f>
        <v>-7.964601769911539E-3</v>
      </c>
      <c r="F1890" s="5">
        <f>prices!F1891/prices!F1890-1</f>
        <v>-8.2827167310878247E-3</v>
      </c>
      <c r="G1890" s="5">
        <f>prices!G1891/prices!G1890-1</f>
        <v>-1.7669635744804069E-2</v>
      </c>
      <c r="H1890" s="5">
        <f>prices!H1891/prices!H1890-1</f>
        <v>-8.4033613445377853E-4</v>
      </c>
      <c r="I1890" s="5">
        <f>prices!I1891/prices!I1890-1</f>
        <v>2.9404557706445011E-3</v>
      </c>
      <c r="J1890" s="5">
        <f>prices!J1891/prices!J1890-1</f>
        <v>8.3155021180814082E-4</v>
      </c>
      <c r="K1890" s="8">
        <f>SUMPRODUCT(B1890:I1890,weights!$B$5:$I$5)</f>
        <v>-3.7307297861304796E-3</v>
      </c>
      <c r="L1890" s="4">
        <f t="shared" si="58"/>
        <v>280.4060049973491</v>
      </c>
      <c r="M1890" s="4">
        <f>L1890/MAX(L$2:L1890)-1</f>
        <v>-0.13432483931862738</v>
      </c>
      <c r="N1890" s="4">
        <f t="shared" si="59"/>
        <v>2.3388600267711279E-2</v>
      </c>
    </row>
    <row r="1891" spans="1:14">
      <c r="A1891" s="3">
        <f>prices!A1892</f>
        <v>46258</v>
      </c>
      <c r="B1891" s="5">
        <f>prices!B1892/prices!B1891-1</f>
        <v>-4.7112462006079214E-3</v>
      </c>
      <c r="C1891" s="5">
        <f>prices!C1892/prices!C1891-1</f>
        <v>-7.7758470894874199E-3</v>
      </c>
      <c r="D1891" s="5">
        <f>prices!D1892/prices!D1891-1</f>
        <v>2.820001375610337E-3</v>
      </c>
      <c r="E1891" s="5">
        <f>prices!E1892/prices!E1891-1</f>
        <v>8.0285459411240101E-3</v>
      </c>
      <c r="F1891" s="5">
        <f>prices!F1892/prices!F1891-1</f>
        <v>1.1135857461024301E-3</v>
      </c>
      <c r="G1891" s="5">
        <f>prices!G1892/prices!G1891-1</f>
        <v>4.0545521562844744E-3</v>
      </c>
      <c r="H1891" s="5">
        <f>prices!H1892/prices!H1891-1</f>
        <v>3.9949537426409165E-3</v>
      </c>
      <c r="I1891" s="5">
        <f>prices!I1892/prices!I1891-1</f>
        <v>-7.3295870999268153E-4</v>
      </c>
      <c r="J1891" s="5">
        <f>prices!J1892/prices!J1891-1</f>
        <v>-1.3586508329209712E-3</v>
      </c>
      <c r="K1891" s="8">
        <f>SUMPRODUCT(B1891:I1891,weights!$B$5:$I$5)</f>
        <v>9.4731063711365354E-4</v>
      </c>
      <c r="L1891" s="4">
        <f t="shared" si="58"/>
        <v>280.67163658859363</v>
      </c>
      <c r="M1891" s="4">
        <f>L1891/MAX(L$2:L1891)-1</f>
        <v>-0.13350477603062882</v>
      </c>
      <c r="N1891" s="4">
        <f t="shared" si="59"/>
        <v>1.1144087141752301E-2</v>
      </c>
    </row>
    <row r="1892" spans="1:14">
      <c r="A1892" s="3">
        <f>prices!A1893</f>
        <v>46259</v>
      </c>
      <c r="B1892" s="5">
        <f>prices!B1893/prices!B1892-1</f>
        <v>5.4970224461750039E-3</v>
      </c>
      <c r="C1892" s="5">
        <f>prices!C1893/prices!C1892-1</f>
        <v>5.29749135326818E-3</v>
      </c>
      <c r="D1892" s="5">
        <f>prices!D1893/prices!D1892-1</f>
        <v>-2.057613168724326E-3</v>
      </c>
      <c r="E1892" s="5">
        <f>prices!E1893/prices!E1892-1</f>
        <v>1.2389380530973382E-2</v>
      </c>
      <c r="F1892" s="5">
        <f>prices!F1893/prices!F1892-1</f>
        <v>6.3032999629217823E-3</v>
      </c>
      <c r="G1892" s="5">
        <f>prices!G1893/prices!G1892-1</f>
        <v>4.2584434654919789E-3</v>
      </c>
      <c r="H1892" s="5">
        <f>prices!H1893/prices!H1892-1</f>
        <v>6.2827225130890341E-3</v>
      </c>
      <c r="I1892" s="5">
        <f>prices!I1893/prices!I1892-1</f>
        <v>7.0904645476772554E-3</v>
      </c>
      <c r="J1892" s="5">
        <f>prices!J1893/prices!J1892-1</f>
        <v>4.7689731843321148E-3</v>
      </c>
      <c r="K1892" s="8">
        <f>SUMPRODUCT(B1892:I1892,weights!$B$5:$I$5)</f>
        <v>5.7610934281512689E-3</v>
      </c>
      <c r="L1892" s="4">
        <f t="shared" si="58"/>
        <v>282.28861210961264</v>
      </c>
      <c r="M1892" s="4">
        <f>L1892/MAX(L$2:L1892)-1</f>
        <v>-0.12851281609029441</v>
      </c>
      <c r="N1892" s="4">
        <f t="shared" si="59"/>
        <v>1.0301383213495052E-2</v>
      </c>
    </row>
    <row r="1893" spans="1:14">
      <c r="A1893" s="3">
        <f>prices!A1894</f>
        <v>46260</v>
      </c>
      <c r="B1893" s="5">
        <f>prices!B1894/prices!B1893-1</f>
        <v>-1.4426727410782103E-2</v>
      </c>
      <c r="C1893" s="5">
        <f>prices!C1894/prices!C1893-1</f>
        <v>-1.1410155909763908E-2</v>
      </c>
      <c r="D1893" s="5">
        <f>prices!D1894/prices!D1893-1</f>
        <v>-4.1237113402059489E-4</v>
      </c>
      <c r="E1893" s="5">
        <f>prices!E1894/prices!E1893-1</f>
        <v>-2.0979020979020935E-2</v>
      </c>
      <c r="F1893" s="5">
        <f>prices!F1894/prices!F1893-1</f>
        <v>-4.237288135593098E-3</v>
      </c>
      <c r="G1893" s="5">
        <f>prices!G1894/prices!G1893-1</f>
        <v>-1.1551396402982861E-2</v>
      </c>
      <c r="H1893" s="5">
        <f>prices!H1894/prices!H1893-1</f>
        <v>-1.1706555671175845E-2</v>
      </c>
      <c r="I1893" s="5">
        <f>prices!I1894/prices!I1893-1</f>
        <v>-1.9640689487739782E-2</v>
      </c>
      <c r="J1893" s="5">
        <f>prices!J1894/prices!J1893-1</f>
        <v>-5.2106983691910802E-3</v>
      </c>
      <c r="K1893" s="8">
        <f>SUMPRODUCT(B1893:I1893,weights!$B$5:$I$5)</f>
        <v>-1.2881270659857585E-2</v>
      </c>
      <c r="L1893" s="4">
        <f t="shared" si="58"/>
        <v>278.65237609283315</v>
      </c>
      <c r="M1893" s="4">
        <f>L1893/MAX(L$2:L1893)-1</f>
        <v>-0.13973867838283249</v>
      </c>
      <c r="N1893" s="4">
        <f t="shared" si="59"/>
        <v>-1.8770532156819786E-2</v>
      </c>
    </row>
    <row r="1894" spans="1:14">
      <c r="A1894" s="3">
        <f>prices!A1895</f>
        <v>46261</v>
      </c>
      <c r="B1894" s="5">
        <f>prices!B1895/prices!B1894-1</f>
        <v>-1.2172573189522362E-2</v>
      </c>
      <c r="C1894" s="5">
        <f>prices!C1895/prices!C1894-1</f>
        <v>-9.5154185022026105E-3</v>
      </c>
      <c r="D1894" s="5">
        <f>prices!D1895/prices!D1894-1</f>
        <v>-2.2277227722772297E-2</v>
      </c>
      <c r="E1894" s="5">
        <f>prices!E1895/prices!E1894-1</f>
        <v>-8.2142857142857295E-3</v>
      </c>
      <c r="F1894" s="5">
        <f>prices!F1895/prices!F1894-1</f>
        <v>-4.6253469010175685E-3</v>
      </c>
      <c r="G1894" s="5">
        <f>prices!G1895/prices!G1894-1</f>
        <v>-5.9171597633136397E-3</v>
      </c>
      <c r="H1894" s="5">
        <f>prices!H1895/prices!H1894-1</f>
        <v>7.2650697551988053E-3</v>
      </c>
      <c r="I1894" s="5">
        <f>prices!I1895/prices!I1894-1</f>
        <v>-2.7488175131868964E-3</v>
      </c>
      <c r="J1894" s="5">
        <f>prices!J1895/prices!J1894-1</f>
        <v>-4.829032024868174E-3</v>
      </c>
      <c r="K1894" s="8">
        <f>SUMPRODUCT(B1894:I1894,weights!$B$5:$I$5)</f>
        <v>-5.7199169559060689E-3</v>
      </c>
      <c r="L1894" s="4">
        <f t="shared" si="58"/>
        <v>277.05850764201625</v>
      </c>
      <c r="M1894" s="4">
        <f>L1894/MAX(L$2:L1894)-1</f>
        <v>-0.14465930170286057</v>
      </c>
      <c r="N1894" s="4">
        <f t="shared" si="59"/>
        <v>-3.0065422318669044E-2</v>
      </c>
    </row>
    <row r="1895" spans="1:14">
      <c r="A1895" s="3">
        <f>prices!A1896</f>
        <v>46262</v>
      </c>
      <c r="B1895" s="5">
        <f>prices!B1896/prices!B1895-1</f>
        <v>3.7435657463733563E-3</v>
      </c>
      <c r="C1895" s="5">
        <f>prices!C1896/prices!C1895-1</f>
        <v>4.1629603273438898E-2</v>
      </c>
      <c r="D1895" s="5">
        <f>prices!D1896/prices!D1895-1</f>
        <v>1.3080168776371304E-2</v>
      </c>
      <c r="E1895" s="5">
        <f>prices!E1896/prices!E1895-1</f>
        <v>2.9888368743248073E-2</v>
      </c>
      <c r="F1895" s="5">
        <f>prices!F1896/prices!F1895-1</f>
        <v>-1.1152416356877359E-2</v>
      </c>
      <c r="G1895" s="5">
        <f>prices!G1896/prices!G1895-1</f>
        <v>-4.761904761904745E-3</v>
      </c>
      <c r="H1895" s="5">
        <f>prices!H1896/prices!H1895-1</f>
        <v>3.5018031673026417E-3</v>
      </c>
      <c r="I1895" s="5">
        <f>prices!I1896/prices!I1895-1</f>
        <v>4.6684877079712361E-3</v>
      </c>
      <c r="J1895" s="5">
        <f>prices!J1896/prices!J1895-1</f>
        <v>3.5200086339834957E-3</v>
      </c>
      <c r="K1895" s="8">
        <f>SUMPRODUCT(B1895:I1895,weights!$B$5:$I$5)</f>
        <v>7.2265560701839978E-3</v>
      </c>
      <c r="L1895" s="4">
        <f t="shared" si="58"/>
        <v>279.06068648221282</v>
      </c>
      <c r="M1895" s="4">
        <f>L1895/MAX(L$2:L1895)-1</f>
        <v>-0.13847813418750587</v>
      </c>
      <c r="N1895" s="4">
        <f t="shared" si="59"/>
        <v>-1.8515761221264304E-2</v>
      </c>
    </row>
    <row r="1896" spans="1:14">
      <c r="A1896" s="3">
        <f>prices!A1897</f>
        <v>46265</v>
      </c>
      <c r="B1896" s="5">
        <f>prices!B1897/prices!B1896-1</f>
        <v>-7.770007770007803E-3</v>
      </c>
      <c r="C1896" s="5">
        <f>prices!C1897/prices!C1896-1</f>
        <v>2.4466268146883019E-2</v>
      </c>
      <c r="D1896" s="5">
        <f>prices!D1897/prices!D1896-1</f>
        <v>-1.5687907816187674E-2</v>
      </c>
      <c r="E1896" s="5">
        <f>prices!E1897/prices!E1896-1</f>
        <v>-8.9160839160840055E-3</v>
      </c>
      <c r="F1896" s="5">
        <f>prices!F1897/prices!F1896-1</f>
        <v>-3.9473684210526327E-2</v>
      </c>
      <c r="G1896" s="5">
        <f>prices!G1897/prices!G1896-1</f>
        <v>1.2784090909090828E-2</v>
      </c>
      <c r="H1896" s="5">
        <f>prices!H1897/prices!H1896-1</f>
        <v>3.3749999999999947E-2</v>
      </c>
      <c r="I1896" s="5">
        <f>prices!I1897/prices!I1896-1</f>
        <v>-2.2245291413314217E-4</v>
      </c>
      <c r="J1896" s="5">
        <f>prices!J1897/prices!J1896-1</f>
        <v>-3.9399147489312947E-3</v>
      </c>
      <c r="K1896" s="8">
        <f>SUMPRODUCT(B1896:I1896,weights!$B$5:$I$5)</f>
        <v>3.4676746914699651E-3</v>
      </c>
      <c r="L1896" s="4">
        <f t="shared" si="58"/>
        <v>280.02837816211138</v>
      </c>
      <c r="M1896" s="4">
        <f>L1896/MAX(L$2:L1896)-1</f>
        <v>-0.1354906566172801</v>
      </c>
      <c r="N1896" s="4">
        <f t="shared" si="59"/>
        <v>-2.7006664626435861E-2</v>
      </c>
    </row>
    <row r="1897" spans="1:14">
      <c r="A1897" s="3">
        <f>prices!A1898</f>
        <v>46266</v>
      </c>
      <c r="B1897" s="5">
        <f>prices!B1898/prices!B1897-1</f>
        <v>2.5058731401722767E-2</v>
      </c>
      <c r="C1897" s="5">
        <f>prices!C1898/prices!C1897-1</f>
        <v>-1.2628683365981774E-2</v>
      </c>
      <c r="D1897" s="5">
        <f>prices!D1898/prices!D1897-1</f>
        <v>4.090267983074769E-3</v>
      </c>
      <c r="E1897" s="5">
        <f>prices!E1898/prices!E1897-1</f>
        <v>1.9580172869994694E-2</v>
      </c>
      <c r="F1897" s="5">
        <f>prices!F1898/prices!F1897-1</f>
        <v>4.3444227005871028E-2</v>
      </c>
      <c r="G1897" s="5">
        <f>prices!G1898/prices!G1897-1</f>
        <v>-4.4068797519746017E-2</v>
      </c>
      <c r="H1897" s="5">
        <f>prices!H1898/prices!H1897-1</f>
        <v>-2.8113663845223624E-2</v>
      </c>
      <c r="I1897" s="5">
        <f>prices!I1898/prices!I1897-1</f>
        <v>-1.6020173551880235E-2</v>
      </c>
      <c r="J1897" s="5">
        <f>prices!J1898/prices!J1897-1</f>
        <v>-1.0215777146559413E-3</v>
      </c>
      <c r="K1897" s="8">
        <f>SUMPRODUCT(B1897:I1897,weights!$B$5:$I$5)</f>
        <v>-8.2849148619154427E-3</v>
      </c>
      <c r="L1897" s="4">
        <f t="shared" si="58"/>
        <v>277.70836689011804</v>
      </c>
      <c r="M1897" s="4">
        <f>L1897/MAX(L$2:L1897)-1</f>
        <v>-0.14265304292453629</v>
      </c>
      <c r="N1897" s="4">
        <f t="shared" si="59"/>
        <v>-2.9217349033850426E-2</v>
      </c>
    </row>
    <row r="1898" spans="1:14">
      <c r="A1898" s="3">
        <f>prices!A1899</f>
        <v>46267</v>
      </c>
      <c r="B1898" s="5">
        <f>prices!B1899/prices!B1898-1</f>
        <v>3.132161955691215E-3</v>
      </c>
      <c r="C1898" s="5">
        <f>prices!C1899/prices!C1898-1</f>
        <v>-8.8644997889404387E-3</v>
      </c>
      <c r="D1898" s="5">
        <f>prices!D1899/prices!D1898-1</f>
        <v>-1.5592077538980176E-2</v>
      </c>
      <c r="E1898" s="5">
        <f>prices!E1899/prices!E1898-1</f>
        <v>-1.384083044982698E-2</v>
      </c>
      <c r="F1898" s="5">
        <f>prices!F1899/prices!F1898-1</f>
        <v>-1.1252813203300738E-3</v>
      </c>
      <c r="G1898" s="5">
        <f>prices!G1899/prices!G1898-1</f>
        <v>-7.7992277992278147E-3</v>
      </c>
      <c r="H1898" s="5">
        <f>prices!H1899/prices!H1898-1</f>
        <v>1.3996889580094596E-3</v>
      </c>
      <c r="I1898" s="5">
        <f>prices!I1899/prices!I1898-1</f>
        <v>2.2612497173435386E-4</v>
      </c>
      <c r="J1898" s="5">
        <f>prices!J1899/prices!J1898-1</f>
        <v>-5.8759218151130943E-3</v>
      </c>
      <c r="K1898" s="8">
        <f>SUMPRODUCT(B1898:I1898,weights!$B$5:$I$5)</f>
        <v>-4.0663694743660302E-3</v>
      </c>
      <c r="L1898" s="4">
        <f t="shared" si="58"/>
        <v>276.57910206422002</v>
      </c>
      <c r="M1898" s="4">
        <f>L1898/MAX(L$2:L1898)-1</f>
        <v>-0.14613933241972854</v>
      </c>
      <c r="N1898" s="4">
        <f t="shared" si="59"/>
        <v>-3.1413825819973207E-2</v>
      </c>
    </row>
    <row r="1899" spans="1:14">
      <c r="A1899" s="3">
        <f>prices!A1900</f>
        <v>46268</v>
      </c>
      <c r="B1899" s="5">
        <f>prices!B1900/prices!B1899-1</f>
        <v>-8.0725001903890758E-3</v>
      </c>
      <c r="C1899" s="5">
        <f>prices!C1900/prices!C1899-1</f>
        <v>-1.18824531516184E-2</v>
      </c>
      <c r="D1899" s="5">
        <f>prices!D1900/prices!D1899-1</f>
        <v>8.3476027397260122E-3</v>
      </c>
      <c r="E1899" s="5">
        <f>prices!E1900/prices!E1899-1</f>
        <v>-8.5087719298245768E-3</v>
      </c>
      <c r="F1899" s="5">
        <f>prices!F1900/prices!F1899-1</f>
        <v>-1.23920390536989E-2</v>
      </c>
      <c r="G1899" s="5">
        <f>prices!G1900/prices!G1899-1</f>
        <v>6.2261654603479322E-4</v>
      </c>
      <c r="H1899" s="5">
        <f>prices!H1900/prices!H1899-1</f>
        <v>-8.1275560387223944E-3</v>
      </c>
      <c r="I1899" s="5">
        <f>prices!I1900/prices!I1899-1</f>
        <v>-1.5071590052750938E-3</v>
      </c>
      <c r="J1899" s="5">
        <f>prices!J1900/prices!J1899-1</f>
        <v>-1.7144446140304748E-3</v>
      </c>
      <c r="K1899" s="8">
        <f>SUMPRODUCT(B1899:I1899,weights!$B$5:$I$5)</f>
        <v>-4.6091034530231743E-3</v>
      </c>
      <c r="L1899" s="4">
        <f t="shared" si="58"/>
        <v>275.30432036986178</v>
      </c>
      <c r="M1899" s="4">
        <f>L1899/MAX(L$2:L1899)-1</f>
        <v>-0.15007486457107344</v>
      </c>
      <c r="N1899" s="4">
        <f t="shared" si="59"/>
        <v>-3.7393869780263933E-2</v>
      </c>
    </row>
    <row r="1900" spans="1:14">
      <c r="A1900" s="3">
        <f>prices!A1901</f>
        <v>46269</v>
      </c>
      <c r="B1900" s="5">
        <f>prices!B1901/prices!B1900-1</f>
        <v>1.4971209213051839E-2</v>
      </c>
      <c r="C1900" s="5">
        <f>prices!C1901/prices!C1900-1</f>
        <v>-6.9393560622386108E-3</v>
      </c>
      <c r="D1900" s="5">
        <f>prices!D1901/prices!D1900-1</f>
        <v>7.7124460482558277E-3</v>
      </c>
      <c r="E1900" s="5">
        <f>prices!E1901/prices!E1900-1</f>
        <v>-2.6541626116960426E-4</v>
      </c>
      <c r="F1900" s="5">
        <f>prices!F1901/prices!F1900-1</f>
        <v>4.1825095057035355E-3</v>
      </c>
      <c r="G1900" s="5">
        <f>prices!G1901/prices!G1900-1</f>
        <v>-1.2677918643540509E-2</v>
      </c>
      <c r="H1900" s="5">
        <f>prices!H1901/prices!H1900-1</f>
        <v>-8.872651356993777E-3</v>
      </c>
      <c r="I1900" s="5">
        <f>prices!I1901/prices!I1900-1</f>
        <v>-2.742138364779878E-3</v>
      </c>
      <c r="J1900" s="5">
        <f>prices!J1901/prices!J1900-1</f>
        <v>1.0157727517388082E-3</v>
      </c>
      <c r="K1900" s="8">
        <f>SUMPRODUCT(B1900:I1900,weights!$B$5:$I$5)</f>
        <v>-2.1456502611546273E-3</v>
      </c>
      <c r="L1900" s="4">
        <f t="shared" si="58"/>
        <v>274.71361358296321</v>
      </c>
      <c r="M1900" s="4">
        <f>L1900/MAX(L$2:L1900)-1</f>
        <v>-0.15189850665986837</v>
      </c>
      <c r="N1900" s="4">
        <f t="shared" si="59"/>
        <v>-4.4196638267230082E-2</v>
      </c>
    </row>
    <row r="1901" spans="1:14">
      <c r="A1901" s="3">
        <f>prices!A1902</f>
        <v>46272</v>
      </c>
      <c r="B1901" s="5">
        <f>prices!B1902/prices!B1901-1</f>
        <v>-9.4553706505294821E-3</v>
      </c>
      <c r="C1901" s="5">
        <f>prices!C1902/prices!C1901-1</f>
        <v>-1.475694444444442E-2</v>
      </c>
      <c r="D1901" s="5">
        <f>prices!D1902/prices!D1901-1</f>
        <v>-2.2468754388429435E-3</v>
      </c>
      <c r="E1901" s="5">
        <f>prices!E1902/prices!E1901-1</f>
        <v>-3.7610619469026552E-2</v>
      </c>
      <c r="F1901" s="5">
        <f>prices!F1902/prices!F1901-1</f>
        <v>-2.2718667171526263E-3</v>
      </c>
      <c r="G1901" s="5">
        <f>prices!G1902/prices!G1901-1</f>
        <v>5.199306759098743E-3</v>
      </c>
      <c r="H1901" s="5">
        <f>prices!H1902/prices!H1901-1</f>
        <v>-2.1063717746182542E-3</v>
      </c>
      <c r="I1901" s="5">
        <f>prices!I1902/prices!I1901-1</f>
        <v>8.8040160439948334E-3</v>
      </c>
      <c r="J1901" s="5">
        <f>prices!J1902/prices!J1901-1</f>
        <v>-4.9607284383015315E-3</v>
      </c>
      <c r="K1901" s="8">
        <f>SUMPRODUCT(B1901:I1901,weights!$B$5:$I$5)</f>
        <v>-3.616687747715468E-3</v>
      </c>
      <c r="L1901" s="4">
        <f t="shared" si="58"/>
        <v>273.72006022258705</v>
      </c>
      <c r="M1901" s="4">
        <f>L1901/MAX(L$2:L1901)-1</f>
        <v>-0.15496582493965083</v>
      </c>
      <c r="N1901" s="4">
        <f t="shared" si="59"/>
        <v>-4.7491519075121169E-2</v>
      </c>
    </row>
    <row r="1902" spans="1:14">
      <c r="A1902" s="3">
        <f>prices!A1903</f>
        <v>46273</v>
      </c>
      <c r="B1902" s="5">
        <f>prices!B1903/prices!B1902-1</f>
        <v>-1.1149293623520351E-2</v>
      </c>
      <c r="C1902" s="5">
        <f>prices!C1903/prices!C1902-1</f>
        <v>-6.3876651982378574E-3</v>
      </c>
      <c r="D1902" s="5">
        <f>prices!D1903/prices!D1902-1</f>
        <v>-1.0555946516537684E-2</v>
      </c>
      <c r="E1902" s="5">
        <f>prices!E1903/prices!E1902-1</f>
        <v>-5.057471264367841E-3</v>
      </c>
      <c r="F1902" s="5">
        <f>prices!F1903/prices!F1902-1</f>
        <v>0</v>
      </c>
      <c r="G1902" s="5">
        <f>prices!G1903/prices!G1902-1</f>
        <v>-9.3260188087774809E-3</v>
      </c>
      <c r="H1902" s="5">
        <f>prices!H1903/prices!H1902-1</f>
        <v>-4.802110817941907E-3</v>
      </c>
      <c r="I1902" s="5">
        <f>prices!I1903/prices!I1902-1</f>
        <v>-1.3228307076769252E-2</v>
      </c>
      <c r="J1902" s="5">
        <f>prices!J1903/prices!J1902-1</f>
        <v>-6.0578279711429595E-3</v>
      </c>
      <c r="K1902" s="8">
        <f>SUMPRODUCT(B1902:I1902,weights!$B$5:$I$5)</f>
        <v>-8.3363794484029134E-3</v>
      </c>
      <c r="L1902" s="4">
        <f t="shared" si="58"/>
        <v>271.43822593793186</v>
      </c>
      <c r="M1902" s="4">
        <f>L1902/MAX(L$2:L1902)-1</f>
        <v>-0.16201035046982204</v>
      </c>
      <c r="N1902" s="4">
        <f t="shared" si="59"/>
        <v>-5.1588898940397754E-2</v>
      </c>
    </row>
    <row r="1903" spans="1:14">
      <c r="A1903" s="3">
        <f>prices!A1904</f>
        <v>46274</v>
      </c>
      <c r="B1903" s="5">
        <f>prices!B1904/prices!B1903-1</f>
        <v>-1.2278940458722798E-2</v>
      </c>
      <c r="C1903" s="5">
        <f>prices!C1904/prices!C1903-1</f>
        <v>-2.105963201064065E-2</v>
      </c>
      <c r="D1903" s="5">
        <f>prices!D1904/prices!D1903-1</f>
        <v>-2.2617354196301509E-2</v>
      </c>
      <c r="E1903" s="5">
        <f>prices!E1904/prices!E1903-1</f>
        <v>-4.3438077634011085E-2</v>
      </c>
      <c r="F1903" s="5">
        <f>prices!F1904/prices!F1903-1</f>
        <v>-1.0246679316888052E-2</v>
      </c>
      <c r="G1903" s="5">
        <f>prices!G1904/prices!G1903-1</f>
        <v>-1.8194763072542086E-3</v>
      </c>
      <c r="H1903" s="5">
        <f>prices!H1904/prices!H1903-1</f>
        <v>-1.1135266981282199E-2</v>
      </c>
      <c r="I1903" s="5">
        <f>prices!I1904/prices!I1903-1</f>
        <v>-5.9552469526874541E-3</v>
      </c>
      <c r="J1903" s="5">
        <f>prices!J1904/prices!J1903-1</f>
        <v>-8.6143066879343921E-3</v>
      </c>
      <c r="K1903" s="8">
        <f>SUMPRODUCT(B1903:I1903,weights!$B$5:$I$5)</f>
        <v>-1.2838270576848431E-2</v>
      </c>
      <c r="L1903" s="4">
        <f t="shared" si="58"/>
        <v>267.95342854844097</v>
      </c>
      <c r="M1903" s="4">
        <f>L1903/MAX(L$2:L1903)-1</f>
        <v>-0.17276868833108883</v>
      </c>
      <c r="N1903" s="4">
        <f t="shared" si="59"/>
        <v>-5.7031741529844582E-2</v>
      </c>
    </row>
    <row r="1904" spans="1:14">
      <c r="A1904" s="3">
        <f>prices!A1905</f>
        <v>46275</v>
      </c>
      <c r="B1904" s="5">
        <f>prices!B1905/prices!B1904-1</f>
        <v>-3.9093041438623688E-3</v>
      </c>
      <c r="C1904" s="5">
        <f>prices!C1905/prices!C1904-1</f>
        <v>-1.7663043478260976E-3</v>
      </c>
      <c r="D1904" s="5">
        <f>prices!D1905/prices!D1904-1</f>
        <v>9.7511279289768105E-3</v>
      </c>
      <c r="E1904" s="5">
        <f>prices!E1905/prices!E1904-1</f>
        <v>1.4492753623187582E-3</v>
      </c>
      <c r="F1904" s="5">
        <f>prices!F1905/prices!F1904-1</f>
        <v>-5.7515337423312829E-3</v>
      </c>
      <c r="G1904" s="5">
        <f>prices!G1905/prices!G1904-1</f>
        <v>-2.2190521477254421E-3</v>
      </c>
      <c r="H1904" s="5">
        <f>prices!H1905/prices!H1904-1</f>
        <v>-2.0912649471822586E-3</v>
      </c>
      <c r="I1904" s="5">
        <f>prices!I1905/prices!I1904-1</f>
        <v>8.259827665324071E-3</v>
      </c>
      <c r="J1904" s="5">
        <f>prices!J1905/prices!J1904-1</f>
        <v>1.9759725156305308E-3</v>
      </c>
      <c r="K1904" s="8">
        <f>SUMPRODUCT(B1904:I1904,weights!$B$5:$I$5)</f>
        <v>5.9462836004308176E-4</v>
      </c>
      <c r="L1904" s="4">
        <f t="shared" si="58"/>
        <v>268.11276125622663</v>
      </c>
      <c r="M1904" s="4">
        <f>L1904/MAX(L$2:L1904)-1</f>
        <v>-0.17227679313285493</v>
      </c>
      <c r="N1904" s="4">
        <f t="shared" si="59"/>
        <v>-5.8348565234232486E-2</v>
      </c>
    </row>
    <row r="1905" spans="1:14">
      <c r="A1905" s="3">
        <f>prices!A1906</f>
        <v>46276</v>
      </c>
      <c r="B1905" s="5">
        <f>prices!B1906/prices!B1905-1</f>
        <v>-1.295133437990581E-2</v>
      </c>
      <c r="C1905" s="5">
        <f>prices!C1906/prices!C1905-1</f>
        <v>-1.4972097454741817E-3</v>
      </c>
      <c r="D1905" s="5">
        <f>prices!D1906/prices!D1905-1</f>
        <v>2.0827327760161607E-2</v>
      </c>
      <c r="E1905" s="5">
        <f>prices!E1906/prices!E1905-1</f>
        <v>1.1577424023154759E-3</v>
      </c>
      <c r="F1905" s="5">
        <f>prices!F1906/prices!F1905-1</f>
        <v>2.1210952564596486E-3</v>
      </c>
      <c r="G1905" s="5">
        <f>prices!G1906/prices!G1905-1</f>
        <v>-1.5091342335186608E-2</v>
      </c>
      <c r="H1905" s="5">
        <f>prices!H1906/prices!H1905-1</f>
        <v>-1.1284255776464303E-2</v>
      </c>
      <c r="I1905" s="5">
        <f>prices!I1906/prices!I1905-1</f>
        <v>-6.1441213653603555E-3</v>
      </c>
      <c r="J1905" s="5">
        <f>prices!J1906/prices!J1905-1</f>
        <v>-3.3946962662600999E-3</v>
      </c>
      <c r="K1905" s="8">
        <f>SUMPRODUCT(B1905:I1905,weights!$B$5:$I$5)</f>
        <v>-5.8017658539791864E-3</v>
      </c>
      <c r="L1905" s="4">
        <f t="shared" si="58"/>
        <v>266.55723379295421</v>
      </c>
      <c r="M1905" s="4">
        <f>L1905/MAX(L$2:L1905)-1</f>
        <v>-0.17707904937100283</v>
      </c>
      <c r="N1905" s="4">
        <f t="shared" si="59"/>
        <v>-6.07036638098708E-2</v>
      </c>
    </row>
    <row r="1906" spans="1:14">
      <c r="A1906" s="3">
        <f>prices!A1907</f>
        <v>46279</v>
      </c>
      <c r="B1906" s="5">
        <f>prices!B1907/prices!B1906-1</f>
        <v>0</v>
      </c>
      <c r="C1906" s="5">
        <f>prices!C1907/prices!C1906-1</f>
        <v>0</v>
      </c>
      <c r="D1906" s="5">
        <f>prices!D1907/prices!D1906-1</f>
        <v>0</v>
      </c>
      <c r="E1906" s="5">
        <f>prices!E1907/prices!E1906-1</f>
        <v>0</v>
      </c>
      <c r="F1906" s="5">
        <f>prices!F1907/prices!F1906-1</f>
        <v>0</v>
      </c>
      <c r="G1906" s="5">
        <f>prices!G1907/prices!G1906-1</f>
        <v>0</v>
      </c>
      <c r="H1906" s="5">
        <f>prices!H1907/prices!H1906-1</f>
        <v>0</v>
      </c>
      <c r="I1906" s="5">
        <f>prices!I1907/prices!I1906-1</f>
        <v>0</v>
      </c>
      <c r="J1906" s="5">
        <f>prices!J1907/prices!J1906-1</f>
        <v>0</v>
      </c>
      <c r="K1906" s="8">
        <f>SUMPRODUCT(B1906:I1906,weights!$B$5:$I$5)</f>
        <v>0</v>
      </c>
      <c r="L1906" s="4">
        <f t="shared" si="58"/>
        <v>266.55723379295421</v>
      </c>
      <c r="M1906" s="4">
        <f>L1906/MAX(L$2:L1906)-1</f>
        <v>-0.17707904937100283</v>
      </c>
      <c r="N1906" s="4">
        <f t="shared" si="59"/>
        <v>-5.3118609407943884E-2</v>
      </c>
    </row>
    <row r="1907" spans="1:14">
      <c r="A1907" s="3">
        <f>prices!A1908</f>
        <v>46280</v>
      </c>
      <c r="B1907" s="5">
        <f>prices!B1908/prices!B1907-1</f>
        <v>-1.7654075546719716E-2</v>
      </c>
      <c r="C1907" s="5">
        <f>prices!C1908/prices!C1907-1</f>
        <v>2.2809887313703925E-2</v>
      </c>
      <c r="D1907" s="5">
        <f>prices!D1908/prices!D1907-1</f>
        <v>1.1719025767737312E-2</v>
      </c>
      <c r="E1907" s="5">
        <f>prices!E1908/prices!E1907-1</f>
        <v>3.787221740387392E-2</v>
      </c>
      <c r="F1907" s="5">
        <f>prices!F1908/prices!F1907-1</f>
        <v>-7.1194920146239182E-3</v>
      </c>
      <c r="G1907" s="5">
        <f>prices!G1908/prices!G1907-1</f>
        <v>-1.3629032258064555E-2</v>
      </c>
      <c r="H1907" s="5">
        <f>prices!H1908/prices!H1907-1</f>
        <v>-2.7173913043477826E-3</v>
      </c>
      <c r="I1907" s="5">
        <f>prices!I1908/prices!I1907-1</f>
        <v>-2.0352608950059747E-2</v>
      </c>
      <c r="J1907" s="5">
        <f>prices!J1908/prices!J1907-1</f>
        <v>-1.1945414371252405E-2</v>
      </c>
      <c r="K1907" s="8">
        <f>SUMPRODUCT(B1907:I1907,weights!$B$5:$I$5)</f>
        <v>-3.8270178788916299E-3</v>
      </c>
      <c r="L1907" s="4">
        <f t="shared" si="58"/>
        <v>265.53711449348066</v>
      </c>
      <c r="M1907" s="4">
        <f>L1907/MAX(L$2:L1907)-1</f>
        <v>-0.1802283825619746</v>
      </c>
      <c r="N1907" s="4">
        <f t="shared" si="59"/>
        <v>-5.0394697561292334E-2</v>
      </c>
    </row>
    <row r="1908" spans="1:14">
      <c r="A1908" s="3">
        <f>prices!A1909</f>
        <v>46281</v>
      </c>
      <c r="B1908" s="5">
        <f>prices!B1909/prices!B1908-1</f>
        <v>3.8047437869344058E-3</v>
      </c>
      <c r="C1908" s="5">
        <f>prices!C1909/prices!C1908-1</f>
        <v>-2.7632163482896432E-2</v>
      </c>
      <c r="D1908" s="5">
        <f>prices!D1909/prices!D1908-1</f>
        <v>6.9081013188194706E-3</v>
      </c>
      <c r="E1908" s="5">
        <f>prices!E1909/prices!E1908-1</f>
        <v>-1.578458681522743E-2</v>
      </c>
      <c r="F1908" s="5">
        <f>prices!F1909/prices!F1908-1</f>
        <v>2.3837209302325579E-2</v>
      </c>
      <c r="G1908" s="5">
        <f>prices!G1909/prices!G1908-1</f>
        <v>-5.3143651377647316E-3</v>
      </c>
      <c r="H1908" s="5">
        <f>prices!H1909/prices!H1908-1</f>
        <v>1.0081743869209792E-2</v>
      </c>
      <c r="I1908" s="5">
        <f>prices!I1909/prices!I1908-1</f>
        <v>-1.1166800841405422E-2</v>
      </c>
      <c r="J1908" s="5">
        <f>prices!J1909/prices!J1908-1</f>
        <v>4.2822662271937428E-3</v>
      </c>
      <c r="K1908" s="8">
        <f>SUMPRODUCT(B1908:I1908,weights!$B$5:$I$5)</f>
        <v>-2.4846969688204052E-3</v>
      </c>
      <c r="L1908" s="4">
        <f t="shared" si="58"/>
        <v>264.8773352299894</v>
      </c>
      <c r="M1908" s="4">
        <f>L1908/MAX(L$2:L1908)-1</f>
        <v>-0.1822652666149478</v>
      </c>
      <c r="N1908" s="4">
        <f t="shared" si="59"/>
        <v>-5.2094580459593698E-2</v>
      </c>
    </row>
    <row r="1909" spans="1:14">
      <c r="A1909" s="3">
        <f>prices!A1910</f>
        <v>46282</v>
      </c>
      <c r="B1909" s="5">
        <f>prices!B1910/prices!B1909-1</f>
        <v>3.1451612903226067E-3</v>
      </c>
      <c r="C1909" s="5">
        <f>prices!C1910/prices!C1909-1</f>
        <v>5.482456140351033E-4</v>
      </c>
      <c r="D1909" s="5">
        <f>prices!D1910/prices!D1909-1</f>
        <v>-1.1781011781011763E-2</v>
      </c>
      <c r="E1909" s="5">
        <f>prices!E1910/prices!E1909-1</f>
        <v>-1.3207547169812317E-3</v>
      </c>
      <c r="F1909" s="5">
        <f>prices!F1910/prices!F1909-1</f>
        <v>7.7607420026499785E-3</v>
      </c>
      <c r="G1909" s="5">
        <f>prices!G1910/prices!G1909-1</f>
        <v>1.4137760973204072E-2</v>
      </c>
      <c r="H1909" s="5">
        <f>prices!H1910/prices!H1909-1</f>
        <v>7.445373617480433E-3</v>
      </c>
      <c r="I1909" s="5">
        <f>prices!I1910/prices!I1909-1</f>
        <v>7.4848333639729869E-3</v>
      </c>
      <c r="J1909" s="5">
        <f>prices!J1910/prices!J1909-1</f>
        <v>2.2827510164702414E-3</v>
      </c>
      <c r="K1909" s="8">
        <f>SUMPRODUCT(B1909:I1909,weights!$B$5:$I$5)</f>
        <v>5.4550381404108225E-3</v>
      </c>
      <c r="L1909" s="4">
        <f t="shared" si="58"/>
        <v>266.32225119619937</v>
      </c>
      <c r="M1909" s="4">
        <f>L1909/MAX(L$2:L1909)-1</f>
        <v>-0.1778044924555936</v>
      </c>
      <c r="N1909" s="4">
        <f t="shared" si="59"/>
        <v>-5.3769640762647897E-2</v>
      </c>
    </row>
    <row r="1910" spans="1:14">
      <c r="A1910" s="3">
        <f>prices!A1911</f>
        <v>46283</v>
      </c>
      <c r="B1910" s="5">
        <f>prices!B1911/prices!B1910-1</f>
        <v>-1.4068655036578503E-2</v>
      </c>
      <c r="C1910" s="5">
        <f>prices!C1911/prices!C1910-1</f>
        <v>-3.8812785388127824E-2</v>
      </c>
      <c r="D1910" s="5">
        <f>prices!D1911/prices!D1910-1</f>
        <v>2.5245441795231471E-2</v>
      </c>
      <c r="E1910" s="5">
        <f>prices!E1911/prices!E1910-1</f>
        <v>-6.801435858681093E-3</v>
      </c>
      <c r="F1910" s="5">
        <f>prices!F1911/prices!F1910-1</f>
        <v>-1.4650638617580647E-2</v>
      </c>
      <c r="G1910" s="5">
        <f>prices!G1911/prices!G1910-1</f>
        <v>-1.9046847138920353E-2</v>
      </c>
      <c r="H1910" s="5">
        <f>prices!H1911/prices!H1910-1</f>
        <v>-1.6065977614737825E-2</v>
      </c>
      <c r="I1910" s="5">
        <f>prices!I1911/prices!I1910-1</f>
        <v>1.2720921745477343E-2</v>
      </c>
      <c r="J1910" s="5">
        <f>prices!J1911/prices!J1910-1</f>
        <v>3.2573289902282365E-3</v>
      </c>
      <c r="K1910" s="8">
        <f>SUMPRODUCT(B1910:I1910,weights!$B$5:$I$5)</f>
        <v>-8.7420488759444668E-3</v>
      </c>
      <c r="L1910" s="4">
        <f t="shared" si="58"/>
        <v>263.99404905949064</v>
      </c>
      <c r="M1910" s="4">
        <f>L1910/MAX(L$2:L1910)-1</f>
        <v>-0.18499216576812882</v>
      </c>
      <c r="N1910" s="4">
        <f t="shared" si="59"/>
        <v>-5.8529259878060125E-2</v>
      </c>
    </row>
    <row r="1911" spans="1:14">
      <c r="A1911" s="3">
        <f>prices!A1912</f>
        <v>46286</v>
      </c>
      <c r="B1911" s="5">
        <f>prices!B1912/prices!B1911-1</f>
        <v>1.7123287671232834E-2</v>
      </c>
      <c r="C1911" s="5">
        <f>prices!C1912/prices!C1911-1</f>
        <v>1.125890736342039E-2</v>
      </c>
      <c r="D1911" s="5">
        <f>prices!D1912/prices!D1911-1</f>
        <v>1.1627906976744207E-2</v>
      </c>
      <c r="E1911" s="5">
        <f>prices!E1912/prices!E1911-1</f>
        <v>-1.22693551455203E-2</v>
      </c>
      <c r="F1911" s="5">
        <f>prices!F1912/prices!F1911-1</f>
        <v>1.7918414029736818E-2</v>
      </c>
      <c r="G1911" s="5">
        <f>prices!G1912/prices!G1911-1</f>
        <v>4.1312071387258342E-3</v>
      </c>
      <c r="H1911" s="5">
        <f>prices!H1912/prices!H1911-1</f>
        <v>1.7199150927992291E-2</v>
      </c>
      <c r="I1911" s="5">
        <f>prices!I1912/prices!I1911-1</f>
        <v>5.0965250965251396E-3</v>
      </c>
      <c r="J1911" s="5">
        <f>prices!J1912/prices!J1911-1</f>
        <v>2.9083713120652277E-3</v>
      </c>
      <c r="K1911" s="8">
        <f>SUMPRODUCT(B1911:I1911,weights!$B$5:$I$5)</f>
        <v>8.8918801741824146E-3</v>
      </c>
      <c r="L1911" s="4">
        <f t="shared" si="58"/>
        <v>266.34145251042486</v>
      </c>
      <c r="M1911" s="4">
        <f>L1911/MAX(L$2:L1911)-1</f>
        <v>-0.17774521376511909</v>
      </c>
      <c r="N1911" s="4">
        <f t="shared" si="59"/>
        <v>-5.1056758895712151E-2</v>
      </c>
    </row>
    <row r="1912" spans="1:14">
      <c r="A1912" s="3">
        <f>prices!A1913</f>
        <v>46287</v>
      </c>
      <c r="B1912" s="5">
        <f>prices!B1913/prices!B1912-1</f>
        <v>-5.6116722783389195E-3</v>
      </c>
      <c r="C1912" s="5">
        <f>prices!C1913/prices!C1912-1</f>
        <v>-1.1133555691266839E-2</v>
      </c>
      <c r="D1912" s="5">
        <f>prices!D1913/prices!D1912-1</f>
        <v>-1.2170385395536831E-3</v>
      </c>
      <c r="E1912" s="5">
        <f>prices!E1913/prices!E1912-1</f>
        <v>-8.7626384207991626E-3</v>
      </c>
      <c r="F1912" s="5">
        <f>prices!F1913/prices!F1912-1</f>
        <v>-4.4943820224718767E-3</v>
      </c>
      <c r="G1912" s="5">
        <f>prices!G1913/prices!G1912-1</f>
        <v>3.0445157574261472E-3</v>
      </c>
      <c r="H1912" s="5">
        <f>prices!H1913/prices!H1912-1</f>
        <v>-1.2039167424688357E-2</v>
      </c>
      <c r="I1912" s="5">
        <f>prices!I1913/prices!I1912-1</f>
        <v>-9.8340503995083539E-3</v>
      </c>
      <c r="J1912" s="5">
        <f>prices!J1913/prices!J1912-1</f>
        <v>-3.6430728230183451E-3</v>
      </c>
      <c r="K1912" s="8">
        <f>SUMPRODUCT(B1912:I1912,weights!$B$5:$I$5)</f>
        <v>-6.06197537296649E-3</v>
      </c>
      <c r="L1912" s="4">
        <f t="shared" si="58"/>
        <v>264.72689718450653</v>
      </c>
      <c r="M1912" s="4">
        <f>L1912/MAX(L$2:L1912)-1</f>
        <v>-0.18272970202957883</v>
      </c>
      <c r="N1912" s="4">
        <f t="shared" si="59"/>
        <v>-6.2211914231548593E-2</v>
      </c>
    </row>
    <row r="1913" spans="1:14">
      <c r="A1913" s="3">
        <f>prices!A1914</f>
        <v>46288</v>
      </c>
      <c r="B1913" s="5">
        <f>prices!B1914/prices!B1913-1</f>
        <v>6.1270557884551824E-3</v>
      </c>
      <c r="C1913" s="5">
        <f>prices!C1914/prices!C1913-1</f>
        <v>-7.3159144893112371E-3</v>
      </c>
      <c r="D1913" s="5">
        <f>prices!D1914/prices!D1913-1</f>
        <v>-1.8277822908204788E-3</v>
      </c>
      <c r="E1913" s="5">
        <f>prices!E1914/prices!E1913-1</f>
        <v>-8.6458130950068934E-3</v>
      </c>
      <c r="F1913" s="5">
        <f>prices!F1914/prices!F1913-1</f>
        <v>1.6365688487584462E-2</v>
      </c>
      <c r="G1913" s="5">
        <f>prices!G1914/prices!G1913-1</f>
        <v>3.2813781788350038E-3</v>
      </c>
      <c r="H1913" s="5">
        <f>prices!H1914/prices!H1913-1</f>
        <v>1.0073656845753787E-2</v>
      </c>
      <c r="I1913" s="5">
        <f>prices!I1914/prices!I1913-1</f>
        <v>1.6423546451479476E-2</v>
      </c>
      <c r="J1913" s="5">
        <f>prices!J1914/prices!J1913-1</f>
        <v>5.0495091945645942E-3</v>
      </c>
      <c r="K1913" s="8">
        <f>SUMPRODUCT(B1913:I1913,weights!$B$5:$I$5)</f>
        <v>6.0299038519896538E-3</v>
      </c>
      <c r="L1913" s="4">
        <f t="shared" si="58"/>
        <v>266.32317492156466</v>
      </c>
      <c r="M1913" s="4">
        <f>L1913/MAX(L$2:L1913)-1</f>
        <v>-0.17780164071173021</v>
      </c>
      <c r="N1913" s="4">
        <f t="shared" si="59"/>
        <v>-4.4245813885186558E-2</v>
      </c>
    </row>
    <row r="1914" spans="1:14">
      <c r="A1914" s="3">
        <f>prices!A1915</f>
        <v>46289</v>
      </c>
      <c r="B1914" s="5">
        <f>prices!B1915/prices!B1914-1</f>
        <v>-2.3076923076922995E-2</v>
      </c>
      <c r="C1914" s="5">
        <f>prices!C1915/prices!C1914-1</f>
        <v>-1.2442572741193647E-3</v>
      </c>
      <c r="D1914" s="5">
        <f>prices!D1915/prices!D1914-1</f>
        <v>-1.1325873177348234E-2</v>
      </c>
      <c r="E1914" s="5">
        <f>prices!E1915/prices!E1914-1</f>
        <v>-5.8794708476237467E-3</v>
      </c>
      <c r="F1914" s="5">
        <f>prices!F1915/prices!F1914-1</f>
        <v>-7.9585415509900725E-3</v>
      </c>
      <c r="G1914" s="5">
        <f>prices!G1915/prices!G1914-1</f>
        <v>-1.9623875715453765E-2</v>
      </c>
      <c r="H1914" s="5">
        <f>prices!H1915/prices!H1914-1</f>
        <v>-8.0965147453082587E-3</v>
      </c>
      <c r="I1914" s="5">
        <f>prices!I1915/prices!I1914-1</f>
        <v>-1.8193847171683708E-2</v>
      </c>
      <c r="J1914" s="5">
        <f>prices!J1915/prices!J1914-1</f>
        <v>-1.6364706484466973E-2</v>
      </c>
      <c r="K1914" s="8">
        <f>SUMPRODUCT(B1914:I1914,weights!$B$5:$I$5)</f>
        <v>-1.3672232234495986E-2</v>
      </c>
      <c r="L1914" s="4">
        <f t="shared" si="58"/>
        <v>262.68194262460872</v>
      </c>
      <c r="M1914" s="4">
        <f>L1914/MAX(L$2:L1914)-1</f>
        <v>-0.189042927622741</v>
      </c>
      <c r="N1914" s="4">
        <f t="shared" si="59"/>
        <v>-5.1889996592284104E-2</v>
      </c>
    </row>
    <row r="1915" spans="1:14">
      <c r="A1915" s="3">
        <f>prices!A1916</f>
        <v>46290</v>
      </c>
      <c r="B1915" s="5">
        <f>prices!B1916/prices!B1915-1</f>
        <v>5.5774278215223738E-3</v>
      </c>
      <c r="C1915" s="5">
        <f>prices!C1916/prices!C1915-1</f>
        <v>-2.3957834211787432E-3</v>
      </c>
      <c r="D1915" s="5">
        <f>prices!D1916/prices!D1915-1</f>
        <v>9.1919330498011487E-3</v>
      </c>
      <c r="E1915" s="5">
        <f>prices!E1916/prices!E1915-1</f>
        <v>-1.4095613602759904E-2</v>
      </c>
      <c r="F1915" s="5">
        <f>prices!F1916/prices!F1915-1</f>
        <v>3.7313432835821558E-3</v>
      </c>
      <c r="G1915" s="5">
        <f>prices!G1916/prices!G1915-1</f>
        <v>6.255212677231059E-3</v>
      </c>
      <c r="H1915" s="5">
        <f>prices!H1916/prices!H1915-1</f>
        <v>1.2433104492135527E-3</v>
      </c>
      <c r="I1915" s="5">
        <f>prices!I1916/prices!I1915-1</f>
        <v>4.6133112170847479E-3</v>
      </c>
      <c r="J1915" s="5">
        <f>prices!J1916/prices!J1915-1</f>
        <v>3.3560102501399847E-3</v>
      </c>
      <c r="K1915" s="8">
        <f>SUMPRODUCT(B1915:I1915,weights!$B$5:$I$5)</f>
        <v>2.6124667898818326E-3</v>
      </c>
      <c r="L1915" s="4">
        <f t="shared" si="58"/>
        <v>263.36819047601716</v>
      </c>
      <c r="M1915" s="4">
        <f>L1915/MAX(L$2:L1915)-1</f>
        <v>-0.18692432920313562</v>
      </c>
      <c r="N1915" s="4">
        <f t="shared" si="59"/>
        <v>-5.6233273858859678E-2</v>
      </c>
    </row>
    <row r="1916" spans="1:14">
      <c r="A1916" s="3">
        <f>prices!A1917</f>
        <v>46293</v>
      </c>
      <c r="B1916" s="5">
        <f>prices!B1917/prices!B1916-1</f>
        <v>-2.316476345840135E-2</v>
      </c>
      <c r="C1916" s="5">
        <f>prices!C1917/prices!C1916-1</f>
        <v>-5.4274735830932563E-3</v>
      </c>
      <c r="D1916" s="5">
        <f>prices!D1917/prices!D1916-1</f>
        <v>-2.2498640565524863E-2</v>
      </c>
      <c r="E1916" s="5">
        <f>prices!E1917/prices!E1916-1</f>
        <v>2.9994001199760145E-3</v>
      </c>
      <c r="F1916" s="5">
        <f>prices!F1917/prices!F1916-1</f>
        <v>-1.4126394052044633E-2</v>
      </c>
      <c r="G1916" s="5">
        <f>prices!G1917/prices!G1916-1</f>
        <v>-4.7244094488189115E-3</v>
      </c>
      <c r="H1916" s="5">
        <f>prices!H1917/prices!H1916-1</f>
        <v>-7.6665586869668623E-3</v>
      </c>
      <c r="I1916" s="5">
        <f>prices!I1917/prices!I1916-1</f>
        <v>-2.8326711727980958E-2</v>
      </c>
      <c r="J1916" s="5">
        <f>prices!J1917/prices!J1916-1</f>
        <v>-1.5567943648581495E-2</v>
      </c>
      <c r="K1916" s="8">
        <f>SUMPRODUCT(B1916:I1916,weights!$B$5:$I$5)</f>
        <v>-1.367955555731817E-2</v>
      </c>
      <c r="L1916" s="4">
        <f t="shared" si="58"/>
        <v>259.76543068237015</v>
      </c>
      <c r="M1916" s="4">
        <f>L1916/MAX(L$2:L1916)-1</f>
        <v>-0.19804684301410502</v>
      </c>
      <c r="N1916" s="4">
        <f t="shared" si="59"/>
        <v>-7.2360335808575815E-2</v>
      </c>
    </row>
    <row r="1917" spans="1:14">
      <c r="A1917" s="3">
        <f>prices!A1918</f>
        <v>46294</v>
      </c>
      <c r="B1917" s="5">
        <f>prices!B1918/prices!B1917-1</f>
        <v>-1.3026052104208374E-2</v>
      </c>
      <c r="C1917" s="5">
        <f>prices!C1918/prices!C1917-1</f>
        <v>-1.8496160718597499E-2</v>
      </c>
      <c r="D1917" s="5">
        <f>prices!D1918/prices!D1917-1</f>
        <v>5.0761421319798217E-3</v>
      </c>
      <c r="E1917" s="5">
        <f>prices!E1918/prices!E1917-1</f>
        <v>1.2161084529505484E-2</v>
      </c>
      <c r="F1917" s="5">
        <f>prices!F1918/prices!F1917-1</f>
        <v>-3.7707390648555883E-4</v>
      </c>
      <c r="G1917" s="5">
        <f>prices!G1918/prices!G1917-1</f>
        <v>-1.0909393737508322E-2</v>
      </c>
      <c r="H1917" s="5">
        <f>prices!H1918/prices!H1917-1</f>
        <v>1.4689880304679104E-2</v>
      </c>
      <c r="I1917" s="5">
        <f>prices!I1918/prices!I1917-1</f>
        <v>-4.5932455395072402E-3</v>
      </c>
      <c r="J1917" s="5">
        <f>prices!J1918/prices!J1917-1</f>
        <v>-2.8116460530502874E-3</v>
      </c>
      <c r="K1917" s="8">
        <f>SUMPRODUCT(B1917:I1917,weights!$B$5:$I$5)</f>
        <v>-2.7147605408283505E-3</v>
      </c>
      <c r="L1917" s="4">
        <f t="shared" si="58"/>
        <v>259.0602297412824</v>
      </c>
      <c r="M1917" s="4">
        <f>L1917/MAX(L$2:L1917)-1</f>
        <v>-0.20022395380028302</v>
      </c>
      <c r="N1917" s="4">
        <f t="shared" si="59"/>
        <v>-6.715007314206789E-2</v>
      </c>
    </row>
    <row r="1918" spans="1:14">
      <c r="A1918" s="3">
        <f>prices!A1919</f>
        <v>46295</v>
      </c>
      <c r="B1918" s="5">
        <f>prices!B1919/prices!B1918-1</f>
        <v>4.230118443316444E-3</v>
      </c>
      <c r="C1918" s="5">
        <f>prices!C1919/prices!C1918-1</f>
        <v>8.9549301318636587E-3</v>
      </c>
      <c r="D1918" s="5">
        <f>prices!D1919/prices!D1918-1</f>
        <v>-1.9371800193717981E-2</v>
      </c>
      <c r="E1918" s="5">
        <f>prices!E1919/prices!E1918-1</f>
        <v>-2.0976954894622812E-2</v>
      </c>
      <c r="F1918" s="5">
        <f>prices!F1919/prices!F1918-1</f>
        <v>-8.8645794039985404E-3</v>
      </c>
      <c r="G1918" s="5">
        <f>prices!G1919/prices!G1918-1</f>
        <v>7.5776711290729271E-3</v>
      </c>
      <c r="H1918" s="5">
        <f>prices!H1919/prices!H1918-1</f>
        <v>-2.5951742627345897E-2</v>
      </c>
      <c r="I1918" s="5">
        <f>prices!I1919/prices!I1918-1</f>
        <v>2.9073644341308658E-3</v>
      </c>
      <c r="J1918" s="5">
        <f>prices!J1919/prices!J1918-1</f>
        <v>-4.2150535741013462E-3</v>
      </c>
      <c r="K1918" s="8">
        <f>SUMPRODUCT(B1918:I1918,weights!$B$5:$I$5)</f>
        <v>-4.5036436826084818E-3</v>
      </c>
      <c r="L1918" s="4">
        <f t="shared" si="58"/>
        <v>257.89351477419297</v>
      </c>
      <c r="M1918" s="4">
        <f>L1918/MAX(L$2:L1918)-1</f>
        <v>-0.20382586013825188</v>
      </c>
      <c r="N1918" s="4">
        <f t="shared" si="59"/>
        <v>-6.7559649845447711E-2</v>
      </c>
    </row>
    <row r="1919" spans="1:14">
      <c r="A1919" s="3">
        <f>prices!A1920</f>
        <v>46296</v>
      </c>
      <c r="B1919" s="5">
        <f>prices!B1920/prices!B1919-1</f>
        <v>-1.6259477674810396E-2</v>
      </c>
      <c r="C1919" s="5">
        <f>prices!C1920/prices!C1919-1</f>
        <v>1.1898956403004091E-2</v>
      </c>
      <c r="D1919" s="5">
        <f>prices!D1920/prices!D1919-1</f>
        <v>1.7637928601665021E-2</v>
      </c>
      <c r="E1919" s="5">
        <f>prices!E1920/prices!E1919-1</f>
        <v>4.1142742178855274E-2</v>
      </c>
      <c r="F1919" s="5">
        <f>prices!F1920/prices!F1919-1</f>
        <v>-2.6070409134157924E-2</v>
      </c>
      <c r="G1919" s="5">
        <f>prices!G1920/prices!G1919-1</f>
        <v>-4.8550179660733717E-2</v>
      </c>
      <c r="H1919" s="5">
        <f>prices!H1920/prices!H1919-1</f>
        <v>-8.5874710998568027E-3</v>
      </c>
      <c r="I1919" s="5">
        <f>prices!I1920/prices!I1919-1</f>
        <v>-1.7712765957446752E-2</v>
      </c>
      <c r="J1919" s="5">
        <f>prices!J1920/prices!J1919-1</f>
        <v>-8.7752454084688569E-3</v>
      </c>
      <c r="K1919" s="8">
        <f>SUMPRODUCT(B1919:I1919,weights!$B$5:$I$5)</f>
        <v>-1.262790834434727E-2</v>
      </c>
      <c r="L1919" s="4">
        <f t="shared" si="58"/>
        <v>254.6368591070229</v>
      </c>
      <c r="M1919" s="4">
        <f>L1919/MAX(L$2:L1919)-1</f>
        <v>-0.2138798742025656</v>
      </c>
      <c r="N1919" s="4">
        <f t="shared" si="59"/>
        <v>-7.5071329193355463E-2</v>
      </c>
    </row>
    <row r="1920" spans="1:14">
      <c r="A1920" s="3">
        <f>prices!A1921</f>
        <v>46297</v>
      </c>
      <c r="B1920" s="5">
        <f>prices!B1921/prices!B1920-1</f>
        <v>0</v>
      </c>
      <c r="C1920" s="5">
        <f>prices!C1921/prices!C1920-1</f>
        <v>0</v>
      </c>
      <c r="D1920" s="5">
        <f>prices!D1921/prices!D1920-1</f>
        <v>0</v>
      </c>
      <c r="E1920" s="5">
        <f>prices!E1921/prices!E1920-1</f>
        <v>0</v>
      </c>
      <c r="F1920" s="5">
        <f>prices!F1921/prices!F1920-1</f>
        <v>0</v>
      </c>
      <c r="G1920" s="5">
        <f>prices!G1921/prices!G1920-1</f>
        <v>0</v>
      </c>
      <c r="H1920" s="5">
        <f>prices!H1921/prices!H1920-1</f>
        <v>0</v>
      </c>
      <c r="I1920" s="5">
        <f>prices!I1921/prices!I1920-1</f>
        <v>0</v>
      </c>
      <c r="J1920" s="5">
        <f>prices!J1921/prices!J1920-1</f>
        <v>0</v>
      </c>
      <c r="K1920" s="8">
        <f>SUMPRODUCT(B1920:I1920,weights!$B$5:$I$5)</f>
        <v>0</v>
      </c>
      <c r="L1920" s="4">
        <f t="shared" si="58"/>
        <v>254.6368591070229</v>
      </c>
      <c r="M1920" s="4">
        <f>L1920/MAX(L$2:L1920)-1</f>
        <v>-0.2138798742025656</v>
      </c>
      <c r="N1920" s="4">
        <f t="shared" si="59"/>
        <v>-7.3082488392506084E-2</v>
      </c>
    </row>
    <row r="1921" spans="1:14">
      <c r="A1921" s="3">
        <f>prices!A1922</f>
        <v>46300</v>
      </c>
      <c r="B1921" s="5">
        <f>prices!B1922/prices!B1921-1</f>
        <v>1.6014387257000884E-2</v>
      </c>
      <c r="C1921" s="5">
        <f>prices!C1922/prices!C1921-1</f>
        <v>1.8987951807228898E-2</v>
      </c>
      <c r="D1921" s="5">
        <f>prices!D1922/prices!D1921-1</f>
        <v>-2.2739877981142631E-2</v>
      </c>
      <c r="E1921" s="5">
        <f>prices!E1922/prices!E1921-1</f>
        <v>-1.400966183574881E-2</v>
      </c>
      <c r="F1921" s="5">
        <f>prices!F1922/prices!F1921-1</f>
        <v>5.0801094177412853E-2</v>
      </c>
      <c r="G1921" s="5">
        <f>prices!G1922/prices!G1921-1</f>
        <v>1.2822764798875896E-2</v>
      </c>
      <c r="H1921" s="5">
        <f>prices!H1922/prices!H1921-1</f>
        <v>-1.1826762909494692E-2</v>
      </c>
      <c r="I1921" s="5">
        <f>prices!I1922/prices!I1921-1</f>
        <v>1.5324633129365939E-2</v>
      </c>
      <c r="J1921" s="5">
        <f>prices!J1922/prices!J1921-1</f>
        <v>5.9673667990518542E-3</v>
      </c>
      <c r="K1921" s="8">
        <f>SUMPRODUCT(B1921:I1921,weights!$B$5:$I$5)</f>
        <v>8.8022629055736507E-3</v>
      </c>
      <c r="L1921" s="4">
        <f t="shared" si="58"/>
        <v>256.87823968633245</v>
      </c>
      <c r="M1921" s="4">
        <f>L1921/MAX(L$2:L1921)-1</f>
        <v>-0.20696023817993392</v>
      </c>
      <c r="N1921" s="4">
        <f t="shared" si="59"/>
        <v>-6.1529361503716462E-2</v>
      </c>
    </row>
    <row r="1922" spans="1:14">
      <c r="A1922" s="3">
        <f>prices!A1923</f>
        <v>46301</v>
      </c>
      <c r="B1922" s="5">
        <f>prices!B1923/prices!B1922-1</f>
        <v>2.6635198921105774E-2</v>
      </c>
      <c r="C1922" s="5">
        <f>prices!C1923/prices!C1922-1</f>
        <v>-6.8104426787741756E-3</v>
      </c>
      <c r="D1922" s="5">
        <f>prices!D1923/prices!D1922-1</f>
        <v>9.435300794551793E-3</v>
      </c>
      <c r="E1922" s="5">
        <f>prices!E1923/prices!E1922-1</f>
        <v>-6.5164135227829822E-3</v>
      </c>
      <c r="F1922" s="5">
        <f>prices!F1923/prices!F1922-1</f>
        <v>-8.1814801041278917E-3</v>
      </c>
      <c r="G1922" s="5">
        <f>prices!G1923/prices!G1922-1</f>
        <v>8.0645161290322509E-3</v>
      </c>
      <c r="H1922" s="5">
        <f>prices!H1923/prices!H1922-1</f>
        <v>1.3710175872337915E-2</v>
      </c>
      <c r="I1922" s="5">
        <f>prices!I1923/prices!I1922-1</f>
        <v>5.3333333333334121E-3</v>
      </c>
      <c r="J1922" s="5">
        <f>prices!J1923/prices!J1922-1</f>
        <v>9.7691276060427601E-3</v>
      </c>
      <c r="K1922" s="8">
        <f>SUMPRODUCT(B1922:I1922,weights!$B$5:$I$5)</f>
        <v>6.9436609019219719E-3</v>
      </c>
      <c r="L1922" s="4">
        <f t="shared" si="58"/>
        <v>258.66191507579697</v>
      </c>
      <c r="M1922" s="4">
        <f>L1922/MAX(L$2:L1922)-1</f>
        <v>-0.20145363899211444</v>
      </c>
      <c r="N1922" s="4">
        <f t="shared" si="59"/>
        <v>-4.706894475893153E-2</v>
      </c>
    </row>
    <row r="1923" spans="1:14">
      <c r="A1923" s="3">
        <f>prices!A1924</f>
        <v>46302</v>
      </c>
      <c r="B1923" s="5">
        <f>prices!B1924/prices!B1923-1</f>
        <v>-8.4564860426928901E-3</v>
      </c>
      <c r="C1923" s="5">
        <f>prices!C1924/prices!C1923-1</f>
        <v>-9.3809523809522677E-3</v>
      </c>
      <c r="D1923" s="5">
        <f>prices!D1924/prices!D1923-1</f>
        <v>-1.2228547332911677E-2</v>
      </c>
      <c r="E1923" s="5">
        <f>prices!E1924/prices!E1923-1</f>
        <v>-2.1551511564827153E-2</v>
      </c>
      <c r="F1923" s="5">
        <f>prices!F1924/prices!F1923-1</f>
        <v>-3.7495313085864623E-3</v>
      </c>
      <c r="G1923" s="5">
        <f>prices!G1924/prices!G1923-1</f>
        <v>-1.5053763440860179E-2</v>
      </c>
      <c r="H1923" s="5">
        <f>prices!H1924/prices!H1923-1</f>
        <v>-1.2804168283354511E-2</v>
      </c>
      <c r="I1923" s="5">
        <f>prices!I1924/prices!I1923-1</f>
        <v>-1.8169761273209573E-2</v>
      </c>
      <c r="J1923" s="5">
        <f>prices!J1924/prices!J1923-1</f>
        <v>-7.5978767216511311E-3</v>
      </c>
      <c r="K1923" s="8">
        <f>SUMPRODUCT(B1923:I1923,weights!$B$5:$I$5)</f>
        <v>-1.3386059645246928E-2</v>
      </c>
      <c r="L1923" s="4">
        <f t="shared" si="58"/>
        <v>255.19945125263854</v>
      </c>
      <c r="M1923" s="4">
        <f>L1923/MAX(L$2:L1923)-1</f>
        <v>-0.21214302821006092</v>
      </c>
      <c r="N1923" s="4">
        <f t="shared" si="59"/>
        <v>-4.7597738774582399E-2</v>
      </c>
    </row>
    <row r="1924" spans="1:14">
      <c r="A1924" s="3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B687-628D-4C18-A804-05EFE962D70C}">
  <dimension ref="A1:B15"/>
  <sheetViews>
    <sheetView workbookViewId="0">
      <selection activeCell="B19" sqref="B19"/>
    </sheetView>
  </sheetViews>
  <sheetFormatPr defaultRowHeight="13.8"/>
  <cols>
    <col min="1" max="1" width="32" customWidth="1"/>
    <col min="2" max="2" width="22.3984375" customWidth="1"/>
  </cols>
  <sheetData>
    <row r="1" spans="1:2">
      <c r="A1" s="10" t="s">
        <v>22</v>
      </c>
    </row>
    <row r="2" spans="1:2">
      <c r="A2" s="10" t="s">
        <v>21</v>
      </c>
      <c r="B2" s="8">
        <f>weights!J4</f>
        <v>478445.5</v>
      </c>
    </row>
    <row r="3" spans="1:2">
      <c r="A3" s="10" t="s">
        <v>23</v>
      </c>
      <c r="B3" s="8">
        <f>_xlfn.STDEV.S(returns!K2:K1923)</f>
        <v>1.0889396193437224E-2</v>
      </c>
    </row>
    <row r="4" spans="1:2">
      <c r="A4" s="10" t="s">
        <v>24</v>
      </c>
      <c r="B4" s="8">
        <f>B3*SQRT(252)</f>
        <v>0.17286380553292979</v>
      </c>
    </row>
    <row r="5" spans="1:2">
      <c r="A5" s="10" t="s">
        <v>35</v>
      </c>
      <c r="B5">
        <f>_xlfn.PERCENTILE.INC(returns!K2:K1923,0.05)</f>
        <v>-1.4750957619934946E-2</v>
      </c>
    </row>
    <row r="6" spans="1:2">
      <c r="A6" s="10" t="s">
        <v>25</v>
      </c>
      <c r="B6">
        <f>-B5*B2</f>
        <v>7057.5292939485853</v>
      </c>
    </row>
    <row r="7" spans="1:2">
      <c r="A7" s="10" t="s">
        <v>26</v>
      </c>
      <c r="B7" s="8">
        <f>_xlfn.PERCENTILE.INC(returns!K2:K1923,0.01)</f>
        <v>-2.9146185844889504E-2</v>
      </c>
    </row>
    <row r="8" spans="1:2">
      <c r="A8" s="10" t="s">
        <v>27</v>
      </c>
      <c r="B8">
        <f>-B7*B2</f>
        <v>13944.861459651082</v>
      </c>
    </row>
    <row r="9" spans="1:2">
      <c r="A9" s="10" t="s">
        <v>28</v>
      </c>
      <c r="B9" s="8">
        <f>_xlfn.NORM.INV(0.05,AVERAGE(returns!K2:K1923),B3)</f>
        <v>-1.7364159358159173E-2</v>
      </c>
    </row>
    <row r="10" spans="1:2">
      <c r="A10" s="10" t="s">
        <v>29</v>
      </c>
      <c r="B10" s="8">
        <f>AVERAGEIF(returns!K2:K1923,"&lt;="&amp;B5)</f>
        <v>-2.4927098974625063E-2</v>
      </c>
    </row>
    <row r="11" spans="1:2">
      <c r="A11" s="10" t="s">
        <v>30</v>
      </c>
      <c r="B11">
        <f>-B10*B2</f>
        <v>11926.258332463976</v>
      </c>
    </row>
    <row r="12" spans="1:2">
      <c r="A12" s="10" t="s">
        <v>31</v>
      </c>
      <c r="B12">
        <f>B6*SQRT(10)</f>
        <v>22317.867222237528</v>
      </c>
    </row>
    <row r="13" spans="1:2">
      <c r="A13" s="10" t="s">
        <v>32</v>
      </c>
      <c r="B13" s="8">
        <f>COUNTIF(returns!K2:K1923,"&lt;"&amp;B5)/COUNT(returns!K2:K1923)</f>
        <v>5.0468262226847034E-2</v>
      </c>
    </row>
    <row r="14" spans="1:2">
      <c r="A14" s="10" t="s">
        <v>33</v>
      </c>
      <c r="B14" s="8">
        <f>MIN(returns!M2:M1923)</f>
        <v>-0.37843782282347682</v>
      </c>
    </row>
    <row r="15" spans="1:2">
      <c r="A15" s="10" t="s">
        <v>34</v>
      </c>
      <c r="B15" s="8">
        <f>MIN(returns!N22:N1923)</f>
        <v>-0.338637267628495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F301-AFFF-42A7-9DC2-D82D4F5ACA7B}">
  <dimension ref="A1:F10"/>
  <sheetViews>
    <sheetView topLeftCell="A2" workbookViewId="0">
      <selection activeCell="C18" sqref="C18"/>
    </sheetView>
  </sheetViews>
  <sheetFormatPr defaultRowHeight="13.8"/>
  <cols>
    <col min="1" max="1" width="19.59765625" customWidth="1"/>
    <col min="2" max="2" width="18.8984375" customWidth="1"/>
    <col min="3" max="3" width="20.796875" customWidth="1"/>
    <col min="4" max="4" width="14.59765625" customWidth="1"/>
    <col min="5" max="5" width="11.19921875" bestFit="1" customWidth="1"/>
    <col min="6" max="6" width="12.296875" customWidth="1"/>
  </cols>
  <sheetData>
    <row r="1" spans="1:6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>
      <c r="A2" s="6" t="s">
        <v>42</v>
      </c>
      <c r="B2" s="11">
        <v>43881</v>
      </c>
      <c r="C2" s="11">
        <v>43913</v>
      </c>
      <c r="D2" s="8">
        <f>INDEX(returns!$L$2:$L$1900,MATCH(C2,returns!$A$2:$A$1900,1))/INDEX(returns!$L$2:$L$1900,MATCH(B2,returns!$A$2:$A$1900,1))-1</f>
        <v>-0.338637267628495</v>
      </c>
      <c r="E2" s="14">
        <f>D2*risk!$B$2</f>
        <v>-162019.47682914909</v>
      </c>
      <c r="F2" s="5">
        <f>INDEX(prices!$J$2:$J$1900,MATCH(C2,prices!$A$2:$A$1900,1))/INDEX(prices!$J$2:$J$1900,MATCH(B2,prices!$A$2:$A$1900,1))-1</f>
        <v>-0.37005674269608513</v>
      </c>
    </row>
    <row r="3" spans="1:6">
      <c r="A3" s="6" t="s">
        <v>43</v>
      </c>
      <c r="B3" s="11">
        <v>44488</v>
      </c>
      <c r="C3" s="11">
        <v>44729</v>
      </c>
      <c r="D3" s="8">
        <f>INDEX(returns!$L$2:$L$1900,MATCH(C3,returns!$A$2:$A$1900,1))/INDEX(returns!$L$2:$L$1900,MATCH(B3,returns!$A$2:$A$1900,1))-1</f>
        <v>-8.1117991094678099E-2</v>
      </c>
      <c r="E3" s="14">
        <f>D3*risk!$B$2</f>
        <v>-38810.537808288813</v>
      </c>
      <c r="F3" s="5">
        <f>INDEX(prices!$J$2:$J$1900,MATCH(C3,prices!$A$2:$A$1900,1))/INDEX(prices!$J$2:$J$1900,MATCH(B3,prices!$A$2:$A$1900,1))-1</f>
        <v>-0.16967763827621307</v>
      </c>
    </row>
    <row r="4" spans="1:6" ht="14.4">
      <c r="A4" s="6" t="s">
        <v>44</v>
      </c>
      <c r="B4" s="12">
        <v>45561</v>
      </c>
      <c r="C4" s="13">
        <v>45719</v>
      </c>
      <c r="D4" s="8">
        <f>INDEX(returns!$L$2:$L$1900,MATCH(C4,returns!$A$2:$A$1900,1))/INDEX(returns!$L$2:$L$1900,MATCH(B4,returns!$A$2:$A$1900,1))-1</f>
        <v>-0.14240613208337549</v>
      </c>
      <c r="E4" s="14">
        <f>D4*risk!$B$2</f>
        <v>-68133.573067696634</v>
      </c>
      <c r="F4" s="5">
        <f>INDEX(prices!$J$2:$J$1900,MATCH(C4,prices!$A$2:$A$1900,1))/INDEX(prices!$J$2:$J$1900,MATCH(B4,prices!$A$2:$A$1900,1))-1</f>
        <v>-0.15626877428140395</v>
      </c>
    </row>
    <row r="6" spans="1:6">
      <c r="A6" s="6" t="s">
        <v>47</v>
      </c>
    </row>
    <row r="7" spans="1:6">
      <c r="A7" s="6" t="s">
        <v>36</v>
      </c>
      <c r="B7" t="s">
        <v>48</v>
      </c>
      <c r="C7" t="s">
        <v>40</v>
      </c>
    </row>
    <row r="8" spans="1:6">
      <c r="A8" t="s">
        <v>49</v>
      </c>
      <c r="B8" s="8">
        <f>weights!J6*-0.1</f>
        <v>-9.1766885134223541E-2</v>
      </c>
      <c r="C8" s="16">
        <f>B8*risk!$B$2</f>
        <v>-43905.453241486146</v>
      </c>
      <c r="D8" s="15"/>
    </row>
    <row r="9" spans="1:6">
      <c r="A9" t="s">
        <v>45</v>
      </c>
      <c r="B9" s="8">
        <f>SUMPRODUCT(weights!B5:I5,weights!B9:I9)</f>
        <v>-2.5881944756508318E-2</v>
      </c>
      <c r="C9" s="17">
        <f>B9*risk!$B$2</f>
        <v>-12383.1</v>
      </c>
    </row>
    <row r="10" spans="1:6">
      <c r="A10" t="s">
        <v>50</v>
      </c>
      <c r="B10" s="8">
        <f>SUMPRODUCT(weights!B5:I5,weights!B10:I10)</f>
        <v>-1.8587540273657083E-2</v>
      </c>
      <c r="C10" s="17">
        <f>B10*risk!$B$2</f>
        <v>-8893.125</v>
      </c>
    </row>
  </sheetData>
  <conditionalFormatting sqref="A7:C1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02D5-A18B-418F-B542-DD76CDF19173}">
  <dimension ref="A1:L20"/>
  <sheetViews>
    <sheetView topLeftCell="B1" zoomScale="96" zoomScaleNormal="100" workbookViewId="0">
      <selection activeCell="B6" sqref="B6:I6"/>
    </sheetView>
  </sheetViews>
  <sheetFormatPr defaultRowHeight="13.8"/>
  <cols>
    <col min="1" max="1" width="17.59765625" customWidth="1"/>
    <col min="7" max="7" width="18" customWidth="1"/>
    <col min="9" max="9" width="15.796875" customWidth="1"/>
  </cols>
  <sheetData>
    <row r="1" spans="1:10">
      <c r="A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t="s">
        <v>11</v>
      </c>
      <c r="B2">
        <v>50</v>
      </c>
      <c r="C2">
        <v>20</v>
      </c>
      <c r="D2">
        <v>50</v>
      </c>
      <c r="E2">
        <v>40</v>
      </c>
      <c r="F2">
        <v>150</v>
      </c>
      <c r="G2">
        <v>8</v>
      </c>
      <c r="H2">
        <v>40</v>
      </c>
      <c r="I2">
        <v>25</v>
      </c>
    </row>
    <row r="3" spans="1:10">
      <c r="A3" t="s">
        <v>12</v>
      </c>
      <c r="B3" s="4" cm="1">
        <f t="array" ref="B3">INDEX(prices!B$2:B$1923,COUNT(prices!$A$2:$A$1923))</f>
        <v>1218</v>
      </c>
      <c r="C3" s="4" cm="1">
        <f t="array" ref="C3">INDEX(prices!C$2:C$1923,COUNT(prices!$A$2:$A$1923))</f>
        <v>2100</v>
      </c>
      <c r="D3" s="4" cm="1">
        <f t="array" ref="D3">INDEX(prices!D$2:D$1923,COUNT(prices!$A$2:$A$1923))</f>
        <v>711.45</v>
      </c>
      <c r="E3" s="4" cm="1">
        <f t="array" ref="E3">INDEX(prices!E$2:E$1923,COUNT(prices!$A$2:$A$1923))</f>
        <v>1013.85</v>
      </c>
      <c r="F3" s="4" cm="1">
        <f t="array" ref="F3">INDEX(prices!F$2:F$1923,COUNT(prices!$A$2:$A$1923))</f>
        <v>266.7</v>
      </c>
      <c r="G3" s="4" cm="1">
        <f t="array" ref="G3">INDEX(prices!G$2:G$1923,COUNT(prices!$A$2:$A$1923))</f>
        <v>11625</v>
      </c>
      <c r="H3" s="4" cm="1">
        <f t="array" ref="H3">INDEX(prices!H$2:H$1923,COUNT(prices!$A$2:$A$1923))</f>
        <v>1804.1</v>
      </c>
      <c r="I3" s="4" cm="1">
        <f t="array" ref="I3">INDEX(prices!I$2:I$1923,COUNT(prices!$A$2:$A$1923))</f>
        <v>3770</v>
      </c>
    </row>
    <row r="4" spans="1:10">
      <c r="A4" t="s">
        <v>13</v>
      </c>
      <c r="B4" s="4">
        <f>B2*B3</f>
        <v>60900</v>
      </c>
      <c r="C4" s="4">
        <f t="shared" ref="C4:I4" si="0">C2*C3</f>
        <v>42000</v>
      </c>
      <c r="D4" s="4">
        <f t="shared" si="0"/>
        <v>35572.5</v>
      </c>
      <c r="E4" s="4">
        <f t="shared" si="0"/>
        <v>40554</v>
      </c>
      <c r="F4" s="4">
        <f t="shared" si="0"/>
        <v>40005</v>
      </c>
      <c r="G4" s="4">
        <f t="shared" si="0"/>
        <v>93000</v>
      </c>
      <c r="H4" s="4">
        <f t="shared" si="0"/>
        <v>72164</v>
      </c>
      <c r="I4" s="4">
        <f t="shared" si="0"/>
        <v>94250</v>
      </c>
      <c r="J4" s="4">
        <f>SUM(B4:I4)</f>
        <v>478445.5</v>
      </c>
    </row>
    <row r="5" spans="1:10">
      <c r="A5" t="s">
        <v>14</v>
      </c>
      <c r="B5" s="5">
        <f>B4/$J$4</f>
        <v>0.12728722498173772</v>
      </c>
      <c r="C5" s="5">
        <f t="shared" ref="C5:I5" si="1">C4/$J$4</f>
        <v>8.7784293090853602E-2</v>
      </c>
      <c r="D5" s="5">
        <f t="shared" si="1"/>
        <v>7.4350161094628331E-2</v>
      </c>
      <c r="E5" s="5">
        <f t="shared" si="1"/>
        <v>8.4762005285868511E-2</v>
      </c>
      <c r="F5" s="5">
        <f t="shared" si="1"/>
        <v>8.3614539169038063E-2</v>
      </c>
      <c r="G5" s="5">
        <f t="shared" si="1"/>
        <v>0.19437950612974728</v>
      </c>
      <c r="H5" s="5">
        <f t="shared" si="1"/>
        <v>0.15083013634781808</v>
      </c>
      <c r="I5" s="5">
        <f t="shared" si="1"/>
        <v>0.1969921339003084</v>
      </c>
      <c r="J5" s="5">
        <f>SUM(B5:I5)</f>
        <v>1</v>
      </c>
    </row>
    <row r="6" spans="1:10">
      <c r="A6" t="s">
        <v>15</v>
      </c>
      <c r="B6" s="4">
        <f>SLOPE(returns!B$2:B$1923,returns!$J$2:$J$1923)</f>
        <v>1.090041297730709</v>
      </c>
      <c r="C6" s="4">
        <f>SLOPE(returns!C$2:C$1923,returns!$J$2:$J$1923)</f>
        <v>0.72541900486182498</v>
      </c>
      <c r="D6" s="4">
        <f>SLOPE(returns!D$2:D$1923,returns!$J$2:$J$1923)</f>
        <v>1.08142659627399</v>
      </c>
      <c r="E6" s="4">
        <f>SLOPE(returns!E$2:E$1923,returns!$J$2:$J$1923)</f>
        <v>0.84960635177992783</v>
      </c>
      <c r="F6" s="4">
        <f>SLOPE(returns!F$2:F$1923,returns!$J$2:$J$1923)</f>
        <v>0.67713843381533001</v>
      </c>
      <c r="G6" s="4">
        <f>SLOPE(returns!G$2:G$1923,returns!$J$2:$J$1923)</f>
        <v>1.0149360289182336</v>
      </c>
      <c r="H6" s="4">
        <f>SLOPE(returns!H$2:H$1923,returns!$J$2:$J$1923)</f>
        <v>0.60965474414706711</v>
      </c>
      <c r="I6" s="4">
        <f>SLOPE(returns!I$2:I$1923,returns!$J$2:$J$1923)</f>
        <v>1.101393494981624</v>
      </c>
      <c r="J6" s="7">
        <f>SUMPRODUCT(B5:I5,B6:I6)</f>
        <v>0.91766885134223541</v>
      </c>
    </row>
    <row r="7" spans="1:10">
      <c r="A7" s="6" t="s">
        <v>16</v>
      </c>
      <c r="B7" s="5">
        <f>B5*_xlfn.COVARIANCE.S(returns!B$2:B$1923,returns!$K$2:$K$1923)/_xlfn.VAR.S(returns!$K$2:$K$1923)</f>
        <v>0.13675982796029459</v>
      </c>
      <c r="C7" s="5">
        <f>C5*_xlfn.COVARIANCE.S(returns!C$2:C$1923,returns!$K$2:$K$1923)/_xlfn.VAR.S(returns!$K$2:$K$1923)</f>
        <v>6.8343538934934583E-2</v>
      </c>
      <c r="D7" s="5">
        <f>D5*_xlfn.COVARIANCE.S(returns!D$2:D$1923,returns!$K$2:$K$1923)/_xlfn.VAR.S(returns!$K$2:$K$1923)</f>
        <v>6.7074955182333293E-2</v>
      </c>
      <c r="E7" s="5">
        <f>E5*_xlfn.COVARIANCE.S(returns!E$2:E$1923,returns!$K$2:$K$1923)/_xlfn.VAR.S(returns!$K$2:$K$1923)</f>
        <v>7.3853256148775068E-2</v>
      </c>
      <c r="F7" s="5">
        <f>F5*_xlfn.COVARIANCE.S(returns!F$2:F$1923,returns!$K$2:$K$1923)/_xlfn.VAR.S(returns!$K$2:$K$1923)</f>
        <v>5.7450531436253387E-2</v>
      </c>
      <c r="G7" s="5">
        <f>G5*_xlfn.COVARIANCE.S(returns!G$2:G$1923,returns!$K$2:$K$1923)/_xlfn.VAR.S(returns!$K$2:$K$1923)</f>
        <v>0.23589208927419902</v>
      </c>
      <c r="H7" s="5">
        <f>H5*_xlfn.COVARIANCE.S(returns!H$2:H$1923,returns!$K$2:$K$1923)/_xlfn.VAR.S(returns!$K$2:$K$1923)</f>
        <v>0.12416569969245234</v>
      </c>
      <c r="I7" s="5">
        <f>I5*_xlfn.COVARIANCE.S(returns!I$2:I$1923,returns!$K$2:$K$1923)/_xlfn.VAR.S(returns!$K$2:$K$1923)</f>
        <v>0.23646010137075707</v>
      </c>
      <c r="J7" s="9">
        <f>SUM(B7:I7)</f>
        <v>0.99999999999999933</v>
      </c>
    </row>
    <row r="9" spans="1:10">
      <c r="A9" t="s">
        <v>45</v>
      </c>
      <c r="B9">
        <v>0</v>
      </c>
      <c r="C9">
        <v>-0.15</v>
      </c>
      <c r="D9">
        <v>0</v>
      </c>
      <c r="E9">
        <v>-0.15</v>
      </c>
      <c r="F9">
        <v>0</v>
      </c>
      <c r="G9">
        <v>0</v>
      </c>
      <c r="H9">
        <v>0</v>
      </c>
      <c r="I9">
        <v>0</v>
      </c>
    </row>
    <row r="10" spans="1:10">
      <c r="A10" t="s">
        <v>46</v>
      </c>
      <c r="B10">
        <v>0</v>
      </c>
      <c r="C10">
        <v>0</v>
      </c>
      <c r="D10">
        <v>-0.25</v>
      </c>
      <c r="E10">
        <v>0</v>
      </c>
      <c r="F10">
        <v>0</v>
      </c>
      <c r="G10">
        <v>0</v>
      </c>
      <c r="H10">
        <v>0</v>
      </c>
      <c r="I10">
        <v>0</v>
      </c>
    </row>
    <row r="20" spans="12:12">
      <c r="L20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FBE7-0396-4F37-A126-641DD1B3AF76}">
  <dimension ref="A1:D1923"/>
  <sheetViews>
    <sheetView tabSelected="1" workbookViewId="0">
      <selection sqref="A1:A1048576"/>
    </sheetView>
  </sheetViews>
  <sheetFormatPr defaultRowHeight="13.8"/>
  <cols>
    <col min="1" max="1" width="10.09765625" style="18" bestFit="1" customWidth="1"/>
    <col min="2" max="2" width="20.69921875" customWidth="1"/>
    <col min="3" max="3" width="12.59765625" customWidth="1"/>
    <col min="4" max="4" width="13.796875" customWidth="1"/>
  </cols>
  <sheetData>
    <row r="1" spans="1:4">
      <c r="A1" s="18" t="s">
        <v>0</v>
      </c>
      <c r="B1" s="1" t="s">
        <v>17</v>
      </c>
      <c r="C1" s="1" t="s">
        <v>18</v>
      </c>
      <c r="D1" s="6" t="s">
        <v>19</v>
      </c>
    </row>
    <row r="2" spans="1:4">
      <c r="A2" s="18">
        <v>43468</v>
      </c>
      <c r="B2" s="8">
        <v>-1.1002036608154898E-2</v>
      </c>
      <c r="C2" s="4">
        <v>98.899796339184505</v>
      </c>
      <c r="D2" s="4">
        <v>0</v>
      </c>
    </row>
    <row r="3" spans="1:4">
      <c r="A3" s="18">
        <v>43469</v>
      </c>
      <c r="B3" s="8">
        <v>-1.5320571045939406E-3</v>
      </c>
      <c r="C3" s="4">
        <v>98.748276203560167</v>
      </c>
      <c r="D3" s="4">
        <v>-1.5320571045939202E-3</v>
      </c>
    </row>
    <row r="4" spans="1:4">
      <c r="A4" s="18">
        <v>43472</v>
      </c>
      <c r="B4" s="8">
        <v>5.1583409010272805E-3</v>
      </c>
      <c r="C4" s="4">
        <v>99.257653475606915</v>
      </c>
      <c r="D4" s="4">
        <v>0</v>
      </c>
    </row>
    <row r="5" spans="1:4">
      <c r="A5" s="18">
        <v>43473</v>
      </c>
      <c r="B5" s="8">
        <v>7.5907323295298507E-3</v>
      </c>
      <c r="C5" s="4">
        <v>100.01109175479748</v>
      </c>
      <c r="D5" s="4">
        <v>0</v>
      </c>
    </row>
    <row r="6" spans="1:4">
      <c r="A6" s="18">
        <v>43474</v>
      </c>
      <c r="B6" s="8">
        <v>5.6372893508290665E-3</v>
      </c>
      <c r="C6" s="4">
        <v>100.57488321731158</v>
      </c>
      <c r="D6" s="4">
        <v>0</v>
      </c>
    </row>
    <row r="7" spans="1:4">
      <c r="A7" s="18">
        <v>43475</v>
      </c>
      <c r="B7" s="8">
        <v>-3.4609101944811605E-3</v>
      </c>
      <c r="C7" s="4">
        <v>100.22680257867604</v>
      </c>
      <c r="D7" s="4">
        <v>-3.4609101944810261E-3</v>
      </c>
    </row>
    <row r="8" spans="1:4">
      <c r="A8" s="18">
        <v>43476</v>
      </c>
      <c r="B8" s="8">
        <v>-6.1598235813002961E-3</v>
      </c>
      <c r="C8" s="4">
        <v>99.609423156673586</v>
      </c>
      <c r="D8" s="4">
        <v>-9.5994151795526506E-3</v>
      </c>
    </row>
    <row r="9" spans="1:4">
      <c r="A9" s="18">
        <v>43479</v>
      </c>
      <c r="B9" s="8">
        <v>-5.2265399565556113E-4</v>
      </c>
      <c r="C9" s="4">
        <v>99.557361893655809</v>
      </c>
      <c r="D9" s="4">
        <v>-1.0117052002508564E-2</v>
      </c>
    </row>
    <row r="10" spans="1:4">
      <c r="A10" s="18">
        <v>43480</v>
      </c>
      <c r="B10" s="8">
        <v>1.0954985213907292E-2</v>
      </c>
      <c r="C10" s="4">
        <v>100.64801132113642</v>
      </c>
      <c r="D10" s="4">
        <v>0</v>
      </c>
    </row>
    <row r="11" spans="1:4">
      <c r="A11" s="18">
        <v>43481</v>
      </c>
      <c r="B11" s="8">
        <v>6.8846290274448651E-4</v>
      </c>
      <c r="C11" s="4">
        <v>100.71730374316603</v>
      </c>
      <c r="D11" s="4">
        <v>0</v>
      </c>
    </row>
    <row r="12" spans="1:4">
      <c r="A12" s="18">
        <v>43482</v>
      </c>
      <c r="B12" s="8">
        <v>-6.6321217758684098E-3</v>
      </c>
      <c r="C12" s="4">
        <v>100.04933431980423</v>
      </c>
      <c r="D12" s="4">
        <v>-6.6321217758683604E-3</v>
      </c>
    </row>
    <row r="13" spans="1:4">
      <c r="A13" s="18">
        <v>43483</v>
      </c>
      <c r="B13" s="8">
        <v>-1.1371452084236885E-2</v>
      </c>
      <c r="C13" s="4">
        <v>98.911628108526784</v>
      </c>
      <c r="D13" s="4">
        <v>-1.7928157005114076E-2</v>
      </c>
    </row>
    <row r="14" spans="1:4">
      <c r="A14" s="18">
        <v>43486</v>
      </c>
      <c r="B14" s="8">
        <v>6.377434562202325E-3</v>
      </c>
      <c r="C14" s="4">
        <v>99.542430544229802</v>
      </c>
      <c r="D14" s="4">
        <v>-1.1665058091032798E-2</v>
      </c>
    </row>
    <row r="15" spans="1:4">
      <c r="A15" s="18">
        <v>43487</v>
      </c>
      <c r="B15" s="8">
        <v>1.0462944714817084E-3</v>
      </c>
      <c r="C15" s="4">
        <v>99.646581238986087</v>
      </c>
      <c r="D15" s="4">
        <v>-1.0630968705341193E-2</v>
      </c>
    </row>
    <row r="16" spans="1:4">
      <c r="A16" s="18">
        <v>43488</v>
      </c>
      <c r="B16" s="8">
        <v>-4.5984512111194474E-3</v>
      </c>
      <c r="C16" s="4">
        <v>99.188361296803762</v>
      </c>
      <c r="D16" s="4">
        <v>-1.5180533925542194E-2</v>
      </c>
    </row>
    <row r="17" spans="1:4">
      <c r="A17" s="18">
        <v>43489</v>
      </c>
      <c r="B17" s="8">
        <v>4.3362453350716604E-4</v>
      </c>
      <c r="C17" s="4">
        <v>99.231371803700441</v>
      </c>
      <c r="D17" s="4">
        <v>-1.475349204397669E-2</v>
      </c>
    </row>
    <row r="18" spans="1:4">
      <c r="A18" s="18">
        <v>43490</v>
      </c>
      <c r="B18" s="8">
        <v>-1.5857667981244591E-2</v>
      </c>
      <c r="C18" s="4">
        <v>97.657793656313927</v>
      </c>
      <c r="D18" s="4">
        <v>-3.037720404682398E-2</v>
      </c>
    </row>
    <row r="19" spans="1:4">
      <c r="A19" s="18">
        <v>43493</v>
      </c>
      <c r="B19" s="8">
        <v>-3.7267668851295871E-3</v>
      </c>
      <c r="C19" s="4">
        <v>97.293845824840758</v>
      </c>
      <c r="D19" s="4">
        <v>-3.3990762173848998E-2</v>
      </c>
    </row>
    <row r="20" spans="1:4">
      <c r="A20" s="18">
        <v>43494</v>
      </c>
      <c r="B20" s="8">
        <v>4.4766570001422137E-4</v>
      </c>
      <c r="C20" s="4">
        <v>97.337400942439018</v>
      </c>
      <c r="D20" s="4">
        <v>-3.3558312972177262E-2</v>
      </c>
    </row>
    <row r="21" spans="1:4">
      <c r="A21" s="18">
        <v>43495</v>
      </c>
      <c r="B21" s="8">
        <v>-2.0034558549780418E-3</v>
      </c>
      <c r="C21" s="4">
        <v>97.142389756612545</v>
      </c>
      <c r="D21" s="4">
        <v>-3.5494536228548035E-2</v>
      </c>
    </row>
    <row r="22" spans="1:4">
      <c r="A22" s="18">
        <v>43496</v>
      </c>
      <c r="B22" s="8">
        <v>1.7932124026896933E-2</v>
      </c>
      <c r="C22" s="4">
        <v>98.884359137997293</v>
      </c>
      <c r="D22" s="4">
        <v>-1.819890462757856E-2</v>
      </c>
    </row>
    <row r="23" spans="1:4">
      <c r="A23" s="18">
        <v>43497</v>
      </c>
      <c r="B23" s="8">
        <v>1.5810605786878391E-2</v>
      </c>
      <c r="C23" s="4">
        <v>100.44778075881626</v>
      </c>
      <c r="D23" s="4">
        <v>-2.6760345475198566E-3</v>
      </c>
    </row>
    <row r="24" spans="1:4">
      <c r="A24" s="18">
        <v>43500</v>
      </c>
      <c r="B24" s="8">
        <v>-5.3015595231623459E-4</v>
      </c>
      <c r="C24" s="4">
        <v>100.39452776995003</v>
      </c>
      <c r="D24" s="4">
        <v>-3.2047717841919843E-3</v>
      </c>
    </row>
    <row r="25" spans="1:4">
      <c r="A25" s="18">
        <v>43501</v>
      </c>
      <c r="B25" s="8">
        <v>-1.3604981587523961E-4</v>
      </c>
      <c r="C25" s="4">
        <v>100.38086911293205</v>
      </c>
      <c r="D25" s="4">
        <v>-3.3403855914561076E-3</v>
      </c>
    </row>
    <row r="26" spans="1:4">
      <c r="A26" s="18">
        <v>43502</v>
      </c>
      <c r="B26" s="8">
        <v>1.1884377142062186E-2</v>
      </c>
      <c r="C26" s="4">
        <v>101.57383321931812</v>
      </c>
      <c r="D26" s="4">
        <v>0</v>
      </c>
    </row>
    <row r="27" spans="1:4">
      <c r="A27" s="18">
        <v>43503</v>
      </c>
      <c r="B27" s="8">
        <v>6.1792767657118533E-3</v>
      </c>
      <c r="C27" s="4">
        <v>102.20148604693453</v>
      </c>
      <c r="D27" s="4">
        <v>0</v>
      </c>
    </row>
    <row r="28" spans="1:4">
      <c r="A28" s="18">
        <v>43504</v>
      </c>
      <c r="B28" s="8">
        <v>-1.4767449228431841E-2</v>
      </c>
      <c r="C28" s="4">
        <v>100.69223079066614</v>
      </c>
      <c r="D28" s="4">
        <v>-1.4767449228431873E-2</v>
      </c>
    </row>
    <row r="29" spans="1:4">
      <c r="A29" s="18">
        <v>43507</v>
      </c>
      <c r="B29" s="8">
        <v>-3.0203194941826723E-3</v>
      </c>
      <c r="C29" s="4">
        <v>100.38810808309636</v>
      </c>
      <c r="D29" s="4">
        <v>-1.774316630783046E-2</v>
      </c>
    </row>
    <row r="30" spans="1:4">
      <c r="A30" s="18">
        <v>43508</v>
      </c>
      <c r="B30" s="8">
        <v>-7.6819393697527145E-5</v>
      </c>
      <c r="C30" s="4">
        <v>100.38039632949896</v>
      </c>
      <c r="D30" s="4">
        <v>-1.7818622682250096E-2</v>
      </c>
    </row>
    <row r="31" spans="1:4">
      <c r="A31" s="18">
        <v>43510</v>
      </c>
      <c r="B31" s="8">
        <v>-1.0119288146070103E-2</v>
      </c>
      <c r="C31" s="4">
        <v>99.364618174824045</v>
      </c>
      <c r="D31" s="4">
        <v>-2.7757599051032367E-2</v>
      </c>
    </row>
    <row r="32" spans="1:4">
      <c r="A32" s="18">
        <v>43511</v>
      </c>
      <c r="B32" s="8">
        <v>-4.080278705404736E-3</v>
      </c>
      <c r="C32" s="4">
        <v>98.959182839214634</v>
      </c>
      <c r="D32" s="4">
        <v>-3.1724619016116007E-2</v>
      </c>
    </row>
    <row r="33" spans="1:4">
      <c r="A33" s="18">
        <v>43514</v>
      </c>
      <c r="B33" s="8">
        <v>-1.2331852937685772E-2</v>
      </c>
      <c r="C33" s="4">
        <v>97.73883274960788</v>
      </c>
      <c r="D33" s="4">
        <v>-4.3665248617591024E-2</v>
      </c>
    </row>
    <row r="34" spans="1:4">
      <c r="A34" s="18">
        <v>43515</v>
      </c>
      <c r="B34" s="8">
        <v>-4.3559390490501707E-3</v>
      </c>
      <c r="C34" s="4">
        <v>97.313088351425279</v>
      </c>
      <c r="D34" s="4">
        <v>-4.783098450510137E-2</v>
      </c>
    </row>
    <row r="35" spans="1:4">
      <c r="A35" s="18">
        <v>43516</v>
      </c>
      <c r="B35" s="8">
        <v>1.2465980236512558E-2</v>
      </c>
      <c r="C35" s="4">
        <v>98.526191387568147</v>
      </c>
      <c r="D35" s="4">
        <v>-3.5961264376122348E-2</v>
      </c>
    </row>
    <row r="36" spans="1:4">
      <c r="A36" s="18">
        <v>43517</v>
      </c>
      <c r="B36" s="8">
        <v>2.8845664031099689E-3</v>
      </c>
      <c r="C36" s="4">
        <v>98.810396729071115</v>
      </c>
      <c r="D36" s="4">
        <v>-3.3180430628044988E-2</v>
      </c>
    </row>
    <row r="37" spans="1:4">
      <c r="A37" s="18">
        <v>43518</v>
      </c>
      <c r="B37" s="8">
        <v>9.9321657029370364E-4</v>
      </c>
      <c r="C37" s="4">
        <v>98.908536852419729</v>
      </c>
      <c r="D37" s="4">
        <v>-3.2220169411260491E-2</v>
      </c>
    </row>
    <row r="38" spans="1:4">
      <c r="A38" s="18">
        <v>43521</v>
      </c>
      <c r="B38" s="8">
        <v>8.5681291653314853E-3</v>
      </c>
      <c r="C38" s="4">
        <v>99.755997971725208</v>
      </c>
      <c r="D38" s="4">
        <v>-2.3928106819173567E-2</v>
      </c>
    </row>
    <row r="39" spans="1:4">
      <c r="A39" s="18">
        <v>43522</v>
      </c>
      <c r="B39" s="8">
        <v>-3.3871134022649321E-3</v>
      </c>
      <c r="C39" s="4">
        <v>99.418113094038858</v>
      </c>
      <c r="D39" s="4">
        <v>-2.7234173010140528E-2</v>
      </c>
    </row>
    <row r="40" spans="1:4">
      <c r="A40" s="18">
        <v>43523</v>
      </c>
      <c r="B40" s="8">
        <v>6.7228839976397094E-3</v>
      </c>
      <c r="C40" s="4">
        <v>100.0864895356343</v>
      </c>
      <c r="D40" s="4">
        <v>-2.0694381198419709E-2</v>
      </c>
    </row>
    <row r="41" spans="1:4">
      <c r="A41" s="18">
        <v>43524</v>
      </c>
      <c r="B41" s="8">
        <v>-4.5155663825792256E-3</v>
      </c>
      <c r="C41" s="4">
        <v>99.634542348136819</v>
      </c>
      <c r="D41" s="4">
        <v>-2.5116500728951108E-2</v>
      </c>
    </row>
    <row r="42" spans="1:4">
      <c r="A42" s="18">
        <v>43525</v>
      </c>
      <c r="B42" s="8">
        <v>7.8715099355306153E-3</v>
      </c>
      <c r="C42" s="4">
        <v>100.41881663815222</v>
      </c>
      <c r="D42" s="4">
        <v>-1.7442695578454126E-2</v>
      </c>
    </row>
    <row r="43" spans="1:4">
      <c r="A43" s="18">
        <v>43529</v>
      </c>
      <c r="B43" s="8">
        <v>9.5516755606437406E-3</v>
      </c>
      <c r="C43" s="4">
        <v>101.37798459486362</v>
      </c>
      <c r="D43" s="4">
        <v>-8.0576269868789518E-3</v>
      </c>
    </row>
    <row r="44" spans="1:4">
      <c r="A44" s="18">
        <v>43530</v>
      </c>
      <c r="B44" s="8">
        <v>5.7122905214972387E-3</v>
      </c>
      <c r="C44" s="4">
        <v>101.95708509535335</v>
      </c>
      <c r="D44" s="4">
        <v>-2.3913639716446333E-3</v>
      </c>
    </row>
    <row r="45" spans="1:4">
      <c r="A45" s="18">
        <v>43531</v>
      </c>
      <c r="B45" s="8">
        <v>3.474923099217697E-3</v>
      </c>
      <c r="C45" s="4">
        <v>102.3113781254801</v>
      </c>
      <c r="D45" s="4">
        <v>0</v>
      </c>
    </row>
    <row r="46" spans="1:4">
      <c r="A46" s="18">
        <v>43532</v>
      </c>
      <c r="B46" s="8">
        <v>-2.779342302841061E-3</v>
      </c>
      <c r="C46" s="4">
        <v>102.027019784194</v>
      </c>
      <c r="D46" s="4">
        <v>-2.779342302841048E-3</v>
      </c>
    </row>
    <row r="47" spans="1:4">
      <c r="A47" s="18">
        <v>43535</v>
      </c>
      <c r="B47" s="8">
        <v>9.251575000383051E-3</v>
      </c>
      <c r="C47" s="4">
        <v>102.97093040979303</v>
      </c>
      <c r="D47" s="4">
        <v>0</v>
      </c>
    </row>
    <row r="48" spans="1:4">
      <c r="A48" s="18">
        <v>43536</v>
      </c>
      <c r="B48" s="8">
        <v>1.579724419689138E-2</v>
      </c>
      <c r="C48" s="4">
        <v>104.59758734265765</v>
      </c>
      <c r="D48" s="4">
        <v>0</v>
      </c>
    </row>
    <row r="49" spans="1:4">
      <c r="A49" s="18">
        <v>43537</v>
      </c>
      <c r="B49" s="8">
        <v>-4.4814182069200367E-3</v>
      </c>
      <c r="C49" s="4">
        <v>104.12884181034035</v>
      </c>
      <c r="D49" s="4">
        <v>-4.4814182069200514E-3</v>
      </c>
    </row>
    <row r="50" spans="1:4">
      <c r="A50" s="18">
        <v>43538</v>
      </c>
      <c r="B50" s="8">
        <v>2.2029335341226365E-3</v>
      </c>
      <c r="C50" s="4">
        <v>104.3582307278337</v>
      </c>
      <c r="D50" s="4">
        <v>-2.2883569392458947E-3</v>
      </c>
    </row>
    <row r="51" spans="1:4">
      <c r="A51" s="18">
        <v>43539</v>
      </c>
      <c r="B51" s="8">
        <v>3.0109773017979583E-3</v>
      </c>
      <c r="C51" s="4">
        <v>104.67245099181099</v>
      </c>
      <c r="D51" s="4">
        <v>0</v>
      </c>
    </row>
    <row r="52" spans="1:4">
      <c r="A52" s="18">
        <v>43542</v>
      </c>
      <c r="B52" s="8">
        <v>-5.4371828985060443E-3</v>
      </c>
      <c r="C52" s="4">
        <v>104.10332773133361</v>
      </c>
      <c r="D52" s="4">
        <v>-5.4371828985060322E-3</v>
      </c>
    </row>
    <row r="53" spans="1:4">
      <c r="A53" s="18">
        <v>43543</v>
      </c>
      <c r="B53" s="8">
        <v>2.2080229630703813E-3</v>
      </c>
      <c r="C53" s="4">
        <v>104.33319026949643</v>
      </c>
      <c r="D53" s="4">
        <v>-3.2411653601299717E-3</v>
      </c>
    </row>
    <row r="54" spans="1:4">
      <c r="A54" s="18">
        <v>43544</v>
      </c>
      <c r="B54" s="8">
        <v>1.8187360105305205E-3</v>
      </c>
      <c r="C54" s="4">
        <v>104.5229447997331</v>
      </c>
      <c r="D54" s="4">
        <v>-1.4283241737560459E-3</v>
      </c>
    </row>
    <row r="55" spans="1:4">
      <c r="A55" s="18">
        <v>43546</v>
      </c>
      <c r="B55" s="8">
        <v>-4.5615015177459198E-3</v>
      </c>
      <c r="C55" s="4">
        <v>104.04616322838984</v>
      </c>
      <c r="D55" s="4">
        <v>-5.9833103886154371E-3</v>
      </c>
    </row>
    <row r="56" spans="1:4">
      <c r="A56" s="18">
        <v>43549</v>
      </c>
      <c r="B56" s="8">
        <v>-1.0358538855529292E-2</v>
      </c>
      <c r="C56" s="4">
        <v>102.96839700381983</v>
      </c>
      <c r="D56" s="4">
        <v>-1.6279870890999582E-2</v>
      </c>
    </row>
    <row r="57" spans="1:4">
      <c r="A57" s="18">
        <v>43550</v>
      </c>
      <c r="B57" s="8">
        <v>6.6759041299945202E-3</v>
      </c>
      <c r="C57" s="4">
        <v>103.65580415063654</v>
      </c>
      <c r="D57" s="4">
        <v>-9.7126496183220778E-3</v>
      </c>
    </row>
    <row r="58" spans="1:4">
      <c r="A58" s="18">
        <v>43551</v>
      </c>
      <c r="B58" s="8">
        <v>-7.0711753996990645E-3</v>
      </c>
      <c r="C58" s="4">
        <v>102.92283577829053</v>
      </c>
      <c r="D58" s="4">
        <v>-1.671514516897421E-2</v>
      </c>
    </row>
    <row r="59" spans="1:4">
      <c r="A59" s="18">
        <v>43552</v>
      </c>
      <c r="B59" s="8">
        <v>1.4175083450665904E-2</v>
      </c>
      <c r="C59" s="4">
        <v>104.38177556442699</v>
      </c>
      <c r="D59" s="4">
        <v>-2.7770002959685014E-3</v>
      </c>
    </row>
    <row r="60" spans="1:4">
      <c r="A60" s="18">
        <v>43556</v>
      </c>
      <c r="B60" s="8">
        <v>1.7772164956668349E-2</v>
      </c>
      <c r="C60" s="4">
        <v>106.23686569822793</v>
      </c>
      <c r="D60" s="4">
        <v>0</v>
      </c>
    </row>
    <row r="61" spans="1:4">
      <c r="A61" s="18">
        <v>43557</v>
      </c>
      <c r="B61" s="8">
        <v>1.4884123588311472E-4</v>
      </c>
      <c r="C61" s="4">
        <v>106.25267812461482</v>
      </c>
      <c r="D61" s="4">
        <v>0</v>
      </c>
    </row>
    <row r="62" spans="1:4">
      <c r="A62" s="18">
        <v>43558</v>
      </c>
      <c r="B62" s="8">
        <v>-4.3058695870577925E-3</v>
      </c>
      <c r="C62" s="4">
        <v>105.7951679493346</v>
      </c>
      <c r="D62" s="4">
        <v>-4.305869587057809E-3</v>
      </c>
    </row>
    <row r="63" spans="1:4">
      <c r="A63" s="18">
        <v>43559</v>
      </c>
      <c r="B63" s="8">
        <v>-5.1137349040721539E-3</v>
      </c>
      <c r="C63" s="4">
        <v>105.2541595063099</v>
      </c>
      <c r="D63" s="4">
        <v>-9.3975854155302629E-3</v>
      </c>
    </row>
    <row r="64" spans="1:4">
      <c r="A64" s="18">
        <v>43560</v>
      </c>
      <c r="B64" s="8">
        <v>3.2740631239595794E-3</v>
      </c>
      <c r="C64" s="4">
        <v>105.59876826859288</v>
      </c>
      <c r="D64" s="4">
        <v>-6.154290579433952E-3</v>
      </c>
    </row>
    <row r="65" spans="1:4">
      <c r="A65" s="18">
        <v>43563</v>
      </c>
      <c r="B65" s="8">
        <v>-1.1563319473830186E-3</v>
      </c>
      <c r="C65" s="4">
        <v>105.4766610392396</v>
      </c>
      <c r="D65" s="4">
        <v>-7.3035061240065424E-3</v>
      </c>
    </row>
    <row r="66" spans="1:4">
      <c r="A66" s="18">
        <v>43564</v>
      </c>
      <c r="B66" s="8">
        <v>6.9594382122137137E-3</v>
      </c>
      <c r="C66" s="4">
        <v>106.21071934457281</v>
      </c>
      <c r="D66" s="4">
        <v>-3.9489621139521258E-4</v>
      </c>
    </row>
    <row r="67" spans="1:4">
      <c r="A67" s="18">
        <v>43565</v>
      </c>
      <c r="B67" s="8">
        <v>-6.4184842975243102E-3</v>
      </c>
      <c r="C67" s="4">
        <v>105.5290075102309</v>
      </c>
      <c r="D67" s="4">
        <v>-6.8108458737876632E-3</v>
      </c>
    </row>
    <row r="68" spans="1:4">
      <c r="A68" s="18">
        <v>43566</v>
      </c>
      <c r="B68" s="8">
        <v>-4.6985697522955569E-4</v>
      </c>
      <c r="C68" s="4">
        <v>105.47942396996316</v>
      </c>
      <c r="D68" s="4">
        <v>-7.277502725576146E-3</v>
      </c>
    </row>
    <row r="69" spans="1:4">
      <c r="A69" s="18">
        <v>43567</v>
      </c>
      <c r="B69" s="8">
        <v>4.4862280255648836E-3</v>
      </c>
      <c r="C69" s="4">
        <v>105.95262871789765</v>
      </c>
      <c r="D69" s="4">
        <v>-2.8239232366948919E-3</v>
      </c>
    </row>
    <row r="70" spans="1:4">
      <c r="A70" s="18">
        <v>43570</v>
      </c>
      <c r="B70" s="8">
        <v>3.5250501653047678E-5</v>
      </c>
      <c r="C70" s="4">
        <v>105.95636360121141</v>
      </c>
      <c r="D70" s="4">
        <v>-2.7887722797527159E-3</v>
      </c>
    </row>
    <row r="71" spans="1:4">
      <c r="A71" s="18">
        <v>43571</v>
      </c>
      <c r="B71" s="8">
        <v>9.3480894531131828E-3</v>
      </c>
      <c r="C71" s="4">
        <v>106.94685316628212</v>
      </c>
      <c r="D71" s="4">
        <v>0</v>
      </c>
    </row>
    <row r="72" spans="1:4">
      <c r="A72" s="18">
        <v>43573</v>
      </c>
      <c r="B72" s="8">
        <v>-2.308114628984414E-4</v>
      </c>
      <c r="C72" s="4">
        <v>106.92216860665043</v>
      </c>
      <c r="D72" s="4">
        <v>-2.3081146289849475E-4</v>
      </c>
    </row>
    <row r="73" spans="1:4">
      <c r="A73" s="18">
        <v>43577</v>
      </c>
      <c r="B73" s="8">
        <v>-1.0524362308790475E-2</v>
      </c>
      <c r="C73" s="4">
        <v>105.79688096539246</v>
      </c>
      <c r="D73" s="4">
        <v>-1.0752744628228283E-2</v>
      </c>
    </row>
    <row r="74" spans="1:4">
      <c r="A74" s="18">
        <v>43578</v>
      </c>
      <c r="B74" s="8">
        <v>-2.2896312540239194E-3</v>
      </c>
      <c r="C74" s="4">
        <v>105.55464512015585</v>
      </c>
      <c r="D74" s="4">
        <v>-1.3017756062084884E-2</v>
      </c>
    </row>
    <row r="75" spans="1:4">
      <c r="A75" s="18">
        <v>43579</v>
      </c>
      <c r="B75" s="8">
        <v>7.6796510781875302E-3</v>
      </c>
      <c r="C75" s="4">
        <v>106.36526796436057</v>
      </c>
      <c r="D75" s="4">
        <v>-5.4380768082750164E-3</v>
      </c>
    </row>
    <row r="76" spans="1:4">
      <c r="A76" s="18">
        <v>43580</v>
      </c>
      <c r="B76" s="8">
        <v>-9.7340795413281712E-3</v>
      </c>
      <c r="C76" s="4">
        <v>105.3298999855608</v>
      </c>
      <c r="D76" s="4">
        <v>-1.5119221677399652E-2</v>
      </c>
    </row>
    <row r="77" spans="1:4">
      <c r="A77" s="18">
        <v>43581</v>
      </c>
      <c r="B77" s="8">
        <v>5.1181091969815752E-3</v>
      </c>
      <c r="C77" s="4">
        <v>105.86898991539405</v>
      </c>
      <c r="D77" s="4">
        <v>-1.0078494307936281E-2</v>
      </c>
    </row>
    <row r="78" spans="1:4">
      <c r="A78" s="18">
        <v>43585</v>
      </c>
      <c r="B78" s="8">
        <v>-5.8080226346985788E-3</v>
      </c>
      <c r="C78" s="4">
        <v>105.25410042565277</v>
      </c>
      <c r="D78" s="4">
        <v>-1.5827980819570708E-2</v>
      </c>
    </row>
    <row r="79" spans="1:4">
      <c r="A79" s="18">
        <v>43587</v>
      </c>
      <c r="B79" s="8">
        <v>-5.1890380686885496E-4</v>
      </c>
      <c r="C79" s="4">
        <v>105.19948367225334</v>
      </c>
      <c r="D79" s="4">
        <v>-1.6338671426937235E-2</v>
      </c>
    </row>
    <row r="80" spans="1:4">
      <c r="A80" s="18">
        <v>43588</v>
      </c>
      <c r="B80" s="8">
        <v>-1.784400488052887E-3</v>
      </c>
      <c r="C80" s="4">
        <v>105.01176566224566</v>
      </c>
      <c r="D80" s="4">
        <v>-1.8093917181721708E-2</v>
      </c>
    </row>
    <row r="81" spans="1:4">
      <c r="A81" s="18">
        <v>43591</v>
      </c>
      <c r="B81" s="8">
        <v>-3.8136434272339958E-3</v>
      </c>
      <c r="C81" s="4">
        <v>104.6112882323456</v>
      </c>
      <c r="D81" s="4">
        <v>-2.1838556860622749E-2</v>
      </c>
    </row>
    <row r="82" spans="1:4">
      <c r="A82" s="18">
        <v>43592</v>
      </c>
      <c r="B82" s="8">
        <v>-4.7448986152032122E-3</v>
      </c>
      <c r="C82" s="4">
        <v>104.11491827567733</v>
      </c>
      <c r="D82" s="4">
        <v>-2.6479833737619862E-2</v>
      </c>
    </row>
    <row r="83" spans="1:4">
      <c r="A83" s="18">
        <v>43593</v>
      </c>
      <c r="B83" s="8">
        <v>-1.1027496817844413E-2</v>
      </c>
      <c r="C83" s="4">
        <v>102.96679134570216</v>
      </c>
      <c r="D83" s="4">
        <v>-3.7215324273185635E-2</v>
      </c>
    </row>
    <row r="84" spans="1:4">
      <c r="A84" s="18">
        <v>43594</v>
      </c>
      <c r="B84" s="8">
        <v>-5.1904401256986556E-3</v>
      </c>
      <c r="C84" s="4">
        <v>102.43234838028698</v>
      </c>
      <c r="D84" s="4">
        <v>-4.2212600486486007E-2</v>
      </c>
    </row>
    <row r="85" spans="1:4">
      <c r="A85" s="18">
        <v>43595</v>
      </c>
      <c r="B85" s="8">
        <v>-3.412752764870036E-3</v>
      </c>
      <c r="C85" s="4">
        <v>102.08277210014002</v>
      </c>
      <c r="D85" s="4">
        <v>-4.5481292082333424E-2</v>
      </c>
    </row>
    <row r="86" spans="1:4">
      <c r="A86" s="18">
        <v>43598</v>
      </c>
      <c r="B86" s="8">
        <v>-2.6304440103348682E-2</v>
      </c>
      <c r="C86" s="4">
        <v>99.397541935848096</v>
      </c>
      <c r="D86" s="4">
        <v>-7.0589372262279459E-2</v>
      </c>
    </row>
    <row r="87" spans="1:4">
      <c r="A87" s="18">
        <v>43599</v>
      </c>
      <c r="B87" s="8">
        <v>1.4889081560810773E-2</v>
      </c>
      <c r="C87" s="4">
        <v>100.87748004467504</v>
      </c>
      <c r="D87" s="4">
        <v>-5.6751301622408268E-2</v>
      </c>
    </row>
    <row r="88" spans="1:4">
      <c r="A88" s="18">
        <v>43600</v>
      </c>
      <c r="B88" s="8">
        <v>-7.5090797747635867E-3</v>
      </c>
      <c r="C88" s="4">
        <v>100.11998299954246</v>
      </c>
      <c r="D88" s="4">
        <v>-6.383423134596744E-2</v>
      </c>
    </row>
    <row r="89" spans="1:4">
      <c r="A89" s="18">
        <v>43601</v>
      </c>
      <c r="B89" s="8">
        <v>5.7994155983856887E-3</v>
      </c>
      <c r="C89" s="4">
        <v>100.70062039066011</v>
      </c>
      <c r="D89" s="4">
        <v>-5.8405016984560576E-2</v>
      </c>
    </row>
    <row r="90" spans="1:4">
      <c r="A90" s="18">
        <v>43602</v>
      </c>
      <c r="B90" s="8">
        <v>1.1384345297448329E-2</v>
      </c>
      <c r="C90" s="4">
        <v>101.84703102485464</v>
      </c>
      <c r="D90" s="4">
        <v>-4.7685574567567945E-2</v>
      </c>
    </row>
    <row r="91" spans="1:4">
      <c r="A91" s="18">
        <v>43605</v>
      </c>
      <c r="B91" s="8">
        <v>3.7018166942745685E-2</v>
      </c>
      <c r="C91" s="4">
        <v>105.6172214219557</v>
      </c>
      <c r="D91" s="4">
        <v>-1.2432640184925292E-2</v>
      </c>
    </row>
    <row r="92" spans="1:4">
      <c r="A92" s="18">
        <v>43606</v>
      </c>
      <c r="B92" s="8">
        <v>-1.0530475339130574E-2</v>
      </c>
      <c r="C92" s="4">
        <v>104.5050218763843</v>
      </c>
      <c r="D92" s="4">
        <v>-2.2832193913188248E-2</v>
      </c>
    </row>
    <row r="93" spans="1:4">
      <c r="A93" s="18">
        <v>43607</v>
      </c>
      <c r="B93" s="8">
        <v>5.8327012031613246E-3</v>
      </c>
      <c r="C93" s="4">
        <v>105.1145684432191</v>
      </c>
      <c r="D93" s="4">
        <v>-1.7132666074935132E-2</v>
      </c>
    </row>
    <row r="94" spans="1:4">
      <c r="A94" s="18">
        <v>43608</v>
      </c>
      <c r="B94" s="8">
        <v>-8.4227803190619864E-3</v>
      </c>
      <c r="C94" s="4">
        <v>104.22921152488887</v>
      </c>
      <c r="D94" s="4">
        <v>-2.5411141711367935E-2</v>
      </c>
    </row>
    <row r="95" spans="1:4">
      <c r="A95" s="18">
        <v>43609</v>
      </c>
      <c r="B95" s="8">
        <v>1.7679111991894869E-2</v>
      </c>
      <c r="C95" s="4">
        <v>106.07189142826428</v>
      </c>
      <c r="D95" s="4">
        <v>-8.1812761396302669E-3</v>
      </c>
    </row>
    <row r="96" spans="1:4">
      <c r="A96" s="18">
        <v>43612</v>
      </c>
      <c r="B96" s="8">
        <v>4.5009862055180802E-3</v>
      </c>
      <c r="C96" s="4">
        <v>106.5493195483761</v>
      </c>
      <c r="D96" s="4">
        <v>-3.7171137451602609E-3</v>
      </c>
    </row>
    <row r="97" spans="1:4">
      <c r="A97" s="18">
        <v>43613</v>
      </c>
      <c r="B97" s="8">
        <v>3.450943473065197E-4</v>
      </c>
      <c r="C97" s="4">
        <v>106.5860891162616</v>
      </c>
      <c r="D97" s="4">
        <v>-3.3733021527955209E-3</v>
      </c>
    </row>
    <row r="98" spans="1:4">
      <c r="A98" s="18">
        <v>43614</v>
      </c>
      <c r="B98" s="8">
        <v>-3.0597075330867536E-3</v>
      </c>
      <c r="C98" s="4">
        <v>106.25996685647033</v>
      </c>
      <c r="D98" s="4">
        <v>-6.4226883678738522E-3</v>
      </c>
    </row>
    <row r="99" spans="1:4">
      <c r="A99" s="18">
        <v>43615</v>
      </c>
      <c r="B99" s="8">
        <v>9.3861954625721526E-4</v>
      </c>
      <c r="C99" s="4">
        <v>106.35970453834646</v>
      </c>
      <c r="D99" s="4">
        <v>-5.4900972824581951E-3</v>
      </c>
    </row>
    <row r="100" spans="1:4">
      <c r="A100" s="18">
        <v>43616</v>
      </c>
      <c r="B100" s="8">
        <v>-1.9146817445044816E-3</v>
      </c>
      <c r="C100" s="4">
        <v>106.15605955371601</v>
      </c>
      <c r="D100" s="4">
        <v>-7.39426723792036E-3</v>
      </c>
    </row>
    <row r="101" spans="1:4">
      <c r="A101" s="18">
        <v>43619</v>
      </c>
      <c r="B101" s="8">
        <v>1.3594453848322889E-2</v>
      </c>
      <c r="C101" s="4">
        <v>107.59919320603881</v>
      </c>
      <c r="D101" s="4">
        <v>0</v>
      </c>
    </row>
    <row r="102" spans="1:4">
      <c r="A102" s="18">
        <v>43620</v>
      </c>
      <c r="B102" s="8">
        <v>-3.3552408621460974E-3</v>
      </c>
      <c r="C102" s="4">
        <v>107.23817199625995</v>
      </c>
      <c r="D102" s="4">
        <v>-3.3552408621461138E-3</v>
      </c>
    </row>
    <row r="103" spans="1:4">
      <c r="A103" s="18">
        <v>43622</v>
      </c>
      <c r="B103" s="8">
        <v>-1.5934270717584582E-2</v>
      </c>
      <c r="C103" s="4">
        <v>105.52940993241265</v>
      </c>
      <c r="D103" s="4">
        <v>-1.9236048263510552E-2</v>
      </c>
    </row>
    <row r="104" spans="1:4">
      <c r="A104" s="18">
        <v>43623</v>
      </c>
      <c r="B104" s="8">
        <v>-2.7860530732784043E-3</v>
      </c>
      <c r="C104" s="4">
        <v>105.23539939554919</v>
      </c>
      <c r="D104" s="4">
        <v>-2.1968508685406674E-2</v>
      </c>
    </row>
    <row r="105" spans="1:4">
      <c r="A105" s="18">
        <v>43626</v>
      </c>
      <c r="B105" s="8">
        <v>9.1476168914274777E-3</v>
      </c>
      <c r="C105" s="4">
        <v>106.19805251263604</v>
      </c>
      <c r="D105" s="4">
        <v>-1.3021851295109244E-2</v>
      </c>
    </row>
    <row r="106" spans="1:4">
      <c r="A106" s="18">
        <v>43627</v>
      </c>
      <c r="B106" s="8">
        <v>-2.970613028695464E-3</v>
      </c>
      <c r="C106" s="4">
        <v>105.88257919421991</v>
      </c>
      <c r="D106" s="4">
        <v>-1.5953781442689774E-2</v>
      </c>
    </row>
    <row r="107" spans="1:4">
      <c r="A107" s="18">
        <v>43628</v>
      </c>
      <c r="B107" s="8">
        <v>-5.0394606854857645E-3</v>
      </c>
      <c r="C107" s="4">
        <v>105.34898809909281</v>
      </c>
      <c r="D107" s="4">
        <v>-2.09128436738103E-2</v>
      </c>
    </row>
    <row r="108" spans="1:4">
      <c r="A108" s="18">
        <v>43629</v>
      </c>
      <c r="B108" s="8">
        <v>-1.5329206936020477E-3</v>
      </c>
      <c r="C108" s="4">
        <v>105.18749645518568</v>
      </c>
      <c r="D108" s="4">
        <v>-2.2413706636582598E-2</v>
      </c>
    </row>
    <row r="109" spans="1:4">
      <c r="A109" s="18">
        <v>43630</v>
      </c>
      <c r="B109" s="8">
        <v>-1.0675827632015268E-3</v>
      </c>
      <c r="C109" s="4">
        <v>105.0752000970658</v>
      </c>
      <c r="D109" s="4">
        <v>-2.3457360912919389E-2</v>
      </c>
    </row>
    <row r="110" spans="1:4">
      <c r="A110" s="18">
        <v>43633</v>
      </c>
      <c r="B110" s="8">
        <v>-1.6958232788177419E-2</v>
      </c>
      <c r="C110" s="4">
        <v>103.29331039355544</v>
      </c>
      <c r="D110" s="4">
        <v>-4.0017798314139208E-2</v>
      </c>
    </row>
    <row r="111" spans="1:4">
      <c r="A111" s="18">
        <v>43634</v>
      </c>
      <c r="B111" s="8">
        <v>-4.1834177995293213E-3</v>
      </c>
      <c r="C111" s="4">
        <v>102.86119132028273</v>
      </c>
      <c r="D111" s="4">
        <v>-4.4033804943903299E-2</v>
      </c>
    </row>
    <row r="112" spans="1:4">
      <c r="A112" s="18">
        <v>43635</v>
      </c>
      <c r="B112" s="8">
        <v>-5.7944548220202044E-4</v>
      </c>
      <c r="C112" s="4">
        <v>102.80158886767828</v>
      </c>
      <c r="D112" s="4">
        <v>-4.4587735236766401E-2</v>
      </c>
    </row>
    <row r="113" spans="1:4">
      <c r="A113" s="18">
        <v>43636</v>
      </c>
      <c r="B113" s="8">
        <v>2.2072333833485201E-2</v>
      </c>
      <c r="C113" s="4">
        <v>105.07065985577836</v>
      </c>
      <c r="D113" s="4">
        <v>-2.3499556780306241E-2</v>
      </c>
    </row>
    <row r="114" spans="1:4">
      <c r="A114" s="18">
        <v>43637</v>
      </c>
      <c r="B114" s="8">
        <v>-1.5540101307546045E-2</v>
      </c>
      <c r="C114" s="4">
        <v>103.43785115716885</v>
      </c>
      <c r="D114" s="4">
        <v>-3.8674472594803833E-2</v>
      </c>
    </row>
    <row r="115" spans="1:4">
      <c r="A115" s="18">
        <v>43640</v>
      </c>
      <c r="B115" s="8">
        <v>1.205173455470026E-3</v>
      </c>
      <c r="C115" s="4">
        <v>103.56251170967434</v>
      </c>
      <c r="D115" s="4">
        <v>-3.7515908587109292E-2</v>
      </c>
    </row>
    <row r="116" spans="1:4">
      <c r="A116" s="18">
        <v>43641</v>
      </c>
      <c r="B116" s="8">
        <v>6.4043159992186504E-3</v>
      </c>
      <c r="C116" s="4">
        <v>104.22575876033588</v>
      </c>
      <c r="D116" s="4">
        <v>-3.1351856321480298E-2</v>
      </c>
    </row>
    <row r="117" spans="1:4">
      <c r="A117" s="18">
        <v>43642</v>
      </c>
      <c r="B117" s="8">
        <v>5.3488591799552721E-3</v>
      </c>
      <c r="C117" s="4">
        <v>104.7832476668689</v>
      </c>
      <c r="D117" s="4">
        <v>-2.6170693806018774E-2</v>
      </c>
    </row>
    <row r="118" spans="1:4">
      <c r="A118" s="18">
        <v>43643</v>
      </c>
      <c r="B118" s="8">
        <v>-2.9526810067022381E-3</v>
      </c>
      <c r="C118" s="4">
        <v>104.47385616166237</v>
      </c>
      <c r="D118" s="4">
        <v>-2.9046101102187749E-2</v>
      </c>
    </row>
    <row r="119" spans="1:4">
      <c r="A119" s="18">
        <v>43644</v>
      </c>
      <c r="B119" s="8">
        <v>-2.3359357697271595E-3</v>
      </c>
      <c r="C119" s="4">
        <v>104.22981194405301</v>
      </c>
      <c r="D119" s="4">
        <v>-3.1314187045379249E-2</v>
      </c>
    </row>
    <row r="120" spans="1:4">
      <c r="A120" s="18">
        <v>43647</v>
      </c>
      <c r="B120" s="8">
        <v>4.9051515675982071E-3</v>
      </c>
      <c r="C120" s="4">
        <v>104.74107496950084</v>
      </c>
      <c r="D120" s="4">
        <v>-2.6562636311454724E-2</v>
      </c>
    </row>
    <row r="121" spans="1:4">
      <c r="A121" s="18">
        <v>43648</v>
      </c>
      <c r="B121" s="8">
        <v>1.2382128822263081E-3</v>
      </c>
      <c r="C121" s="4">
        <v>104.87076671782631</v>
      </c>
      <c r="D121" s="4">
        <v>-2.5357313627695111E-2</v>
      </c>
    </row>
    <row r="122" spans="1:4">
      <c r="A122" s="18">
        <v>43649</v>
      </c>
      <c r="B122" s="8">
        <v>6.2276254586962664E-4</v>
      </c>
      <c r="C122" s="4">
        <v>104.93607630349481</v>
      </c>
      <c r="D122" s="4">
        <v>-2.47503426670167E-2</v>
      </c>
    </row>
    <row r="123" spans="1:4">
      <c r="A123" s="18">
        <v>43650</v>
      </c>
      <c r="B123" s="8">
        <v>-1.1041732360009145E-3</v>
      </c>
      <c r="C123" s="4">
        <v>104.82020869654956</v>
      </c>
      <c r="D123" s="4">
        <v>-2.5827187237062676E-2</v>
      </c>
    </row>
    <row r="124" spans="1:4">
      <c r="A124" s="18">
        <v>43651</v>
      </c>
      <c r="B124" s="8">
        <v>-2.0415555596505642E-2</v>
      </c>
      <c r="C124" s="4">
        <v>102.68024589826783</v>
      </c>
      <c r="D124" s="4">
        <v>-4.5715466456628717E-2</v>
      </c>
    </row>
    <row r="125" spans="1:4">
      <c r="A125" s="18">
        <v>43654</v>
      </c>
      <c r="B125" s="8">
        <v>-2.498667395608881E-2</v>
      </c>
      <c r="C125" s="4">
        <v>100.11460807227678</v>
      </c>
      <c r="D125" s="4">
        <v>-6.9559862957615293E-2</v>
      </c>
    </row>
    <row r="126" spans="1:4">
      <c r="A126" s="18">
        <v>43655</v>
      </c>
      <c r="B126" s="8">
        <v>8.5061244644681188E-3</v>
      </c>
      <c r="C126" s="4">
        <v>100.96619538925101</v>
      </c>
      <c r="D126" s="4">
        <v>-6.164542334519596E-2</v>
      </c>
    </row>
    <row r="127" spans="1:4">
      <c r="A127" s="18">
        <v>43656</v>
      </c>
      <c r="B127" s="8">
        <v>-2.4395873641075432E-3</v>
      </c>
      <c r="C127" s="4">
        <v>100.71987953477738</v>
      </c>
      <c r="D127" s="4">
        <v>-6.3934621313455509E-2</v>
      </c>
    </row>
    <row r="128" spans="1:4">
      <c r="A128" s="18">
        <v>43657</v>
      </c>
      <c r="B128" s="8">
        <v>6.9793854562119478E-3</v>
      </c>
      <c r="C128" s="4">
        <v>101.42284239715381</v>
      </c>
      <c r="D128" s="4">
        <v>-5.7401460223387213E-2</v>
      </c>
    </row>
    <row r="129" spans="1:4">
      <c r="A129" s="18">
        <v>43658</v>
      </c>
      <c r="B129" s="8">
        <v>-1.9101283099621856E-3</v>
      </c>
      <c r="C129" s="4">
        <v>101.22911175461418</v>
      </c>
      <c r="D129" s="4">
        <v>-5.9201944379143501E-2</v>
      </c>
    </row>
    <row r="130" spans="1:4">
      <c r="A130" s="18">
        <v>43661</v>
      </c>
      <c r="B130" s="8">
        <v>1.1706528868938783E-2</v>
      </c>
      <c r="C130" s="4">
        <v>102.41415327374661</v>
      </c>
      <c r="D130" s="4">
        <v>-4.8188464781176443E-2</v>
      </c>
    </row>
    <row r="131" spans="1:4">
      <c r="A131" s="18">
        <v>43662</v>
      </c>
      <c r="B131" s="8">
        <v>1.0067779930503928E-2</v>
      </c>
      <c r="C131" s="4">
        <v>103.44523643067559</v>
      </c>
      <c r="D131" s="4">
        <v>-3.8605835709278113E-2</v>
      </c>
    </row>
    <row r="132" spans="1:4">
      <c r="A132" s="18">
        <v>43663</v>
      </c>
      <c r="B132" s="8">
        <v>-3.6427443764683936E-3</v>
      </c>
      <c r="C132" s="4">
        <v>103.06841187739531</v>
      </c>
      <c r="D132" s="4">
        <v>-4.2107948894817726E-2</v>
      </c>
    </row>
    <row r="133" spans="1:4">
      <c r="A133" s="18">
        <v>43664</v>
      </c>
      <c r="B133" s="8">
        <v>-1.4066733847789316E-2</v>
      </c>
      <c r="C133" s="4">
        <v>101.61857595940165</v>
      </c>
      <c r="D133" s="4">
        <v>-5.5582361432627403E-2</v>
      </c>
    </row>
    <row r="134" spans="1:4">
      <c r="A134" s="18">
        <v>43665</v>
      </c>
      <c r="B134" s="8">
        <v>-1.2868837447607549E-2</v>
      </c>
      <c r="C134" s="4">
        <v>100.31086302372275</v>
      </c>
      <c r="D134" s="4">
        <v>-6.7735918506004356E-2</v>
      </c>
    </row>
    <row r="135" spans="1:4">
      <c r="A135" s="18">
        <v>43668</v>
      </c>
      <c r="B135" s="8">
        <v>7.7498558917071169E-3</v>
      </c>
      <c r="C135" s="4">
        <v>101.08825775652936</v>
      </c>
      <c r="D135" s="4">
        <v>-6.0511006221411257E-2</v>
      </c>
    </row>
    <row r="136" spans="1:4">
      <c r="A136" s="18">
        <v>43669</v>
      </c>
      <c r="B136" s="8">
        <v>4.4771125585622417E-4</v>
      </c>
      <c r="C136" s="4">
        <v>101.13351610736186</v>
      </c>
      <c r="D136" s="4">
        <v>-6.0090386424143549E-2</v>
      </c>
    </row>
    <row r="137" spans="1:4">
      <c r="A137" s="18">
        <v>43670</v>
      </c>
      <c r="B137" s="8">
        <v>-7.6006254118121041E-3</v>
      </c>
      <c r="C137" s="4">
        <v>100.36483813485034</v>
      </c>
      <c r="D137" s="4">
        <v>-6.7234287317894603E-2</v>
      </c>
    </row>
    <row r="138" spans="1:4">
      <c r="A138" s="18">
        <v>43671</v>
      </c>
      <c r="B138" s="8">
        <v>2.5034386225669496E-4</v>
      </c>
      <c r="C138" s="4">
        <v>100.3899638560638</v>
      </c>
      <c r="D138" s="4">
        <v>-6.7000775146801028E-2</v>
      </c>
    </row>
    <row r="139" spans="1:4">
      <c r="A139" s="18">
        <v>43672</v>
      </c>
      <c r="B139" s="8">
        <v>2.5550996550584605E-3</v>
      </c>
      <c r="C139" s="4">
        <v>100.64647021808376</v>
      </c>
      <c r="D139" s="4">
        <v>-6.4616869149208722E-2</v>
      </c>
    </row>
    <row r="140" spans="1:4">
      <c r="A140" s="18">
        <v>43675</v>
      </c>
      <c r="B140" s="8">
        <v>-1.49977169114839E-2</v>
      </c>
      <c r="C140" s="4">
        <v>99.13700294961285</v>
      </c>
      <c r="D140" s="4">
        <v>-7.8645480549486391E-2</v>
      </c>
    </row>
    <row r="141" spans="1:4">
      <c r="A141" s="18">
        <v>43676</v>
      </c>
      <c r="B141" s="8">
        <v>-8.815957481417341E-3</v>
      </c>
      <c r="C141" s="4">
        <v>98.263015346773912</v>
      </c>
      <c r="D141" s="4">
        <v>-8.6768102818273851E-2</v>
      </c>
    </row>
    <row r="142" spans="1:4">
      <c r="A142" s="18">
        <v>43677</v>
      </c>
      <c r="B142" s="8">
        <v>6.2482641756728564E-3</v>
      </c>
      <c r="C142" s="4">
        <v>98.876988625358763</v>
      </c>
      <c r="D142" s="4">
        <v>-8.1061988671031426E-2</v>
      </c>
    </row>
    <row r="143" spans="1:4">
      <c r="A143" s="18">
        <v>43678</v>
      </c>
      <c r="B143" s="8">
        <v>-4.8661821278833482E-3</v>
      </c>
      <c r="C143" s="4">
        <v>98.395835190451109</v>
      </c>
      <c r="D143" s="4">
        <v>-8.5533708398393249E-2</v>
      </c>
    </row>
    <row r="144" spans="1:4">
      <c r="A144" s="18">
        <v>43679</v>
      </c>
      <c r="B144" s="8">
        <v>6.0297485818629161E-3</v>
      </c>
      <c r="C144" s="4">
        <v>98.989137338151963</v>
      </c>
      <c r="D144" s="4">
        <v>-8.0019706573446814E-2</v>
      </c>
    </row>
    <row r="145" spans="1:4">
      <c r="A145" s="18">
        <v>43682</v>
      </c>
      <c r="B145" s="8">
        <v>-1.06395605089018E-2</v>
      </c>
      <c r="C145" s="4">
        <v>97.935936421718708</v>
      </c>
      <c r="D145" s="4">
        <v>-8.9807892572355885E-2</v>
      </c>
    </row>
    <row r="146" spans="1:4">
      <c r="A146" s="18">
        <v>43683</v>
      </c>
      <c r="B146" s="8">
        <v>7.4124742390593076E-3</v>
      </c>
      <c r="C146" s="4">
        <v>98.661884027522845</v>
      </c>
      <c r="D146" s="4">
        <v>-8.3061117023453424E-2</v>
      </c>
    </row>
    <row r="147" spans="1:4">
      <c r="A147" s="18">
        <v>43684</v>
      </c>
      <c r="B147" s="8">
        <v>-7.2891186621701232E-3</v>
      </c>
      <c r="C147" s="4">
        <v>97.942725847412973</v>
      </c>
      <c r="D147" s="4">
        <v>-8.9744793347427132E-2</v>
      </c>
    </row>
    <row r="148" spans="1:4">
      <c r="A148" s="18">
        <v>43685</v>
      </c>
      <c r="B148" s="8">
        <v>1.7408511756788422E-2</v>
      </c>
      <c r="C148" s="4">
        <v>99.647762941819565</v>
      </c>
      <c r="D148" s="4">
        <v>-7.3898604880737961E-2</v>
      </c>
    </row>
    <row r="149" spans="1:4">
      <c r="A149" s="18">
        <v>43686</v>
      </c>
      <c r="B149" s="8">
        <v>6.7181581039972346E-3</v>
      </c>
      <c r="C149" s="4">
        <v>100.31721236797235</v>
      </c>
      <c r="D149" s="4">
        <v>-6.7676909287994302E-2</v>
      </c>
    </row>
    <row r="150" spans="1:4">
      <c r="A150" s="18">
        <v>43690</v>
      </c>
      <c r="B150" s="8">
        <v>-7.1035566931052577E-3</v>
      </c>
      <c r="C150" s="4">
        <v>99.604603362622171</v>
      </c>
      <c r="D150" s="4">
        <v>-7.4299719219158122E-2</v>
      </c>
    </row>
    <row r="151" spans="1:4">
      <c r="A151" s="18">
        <v>43691</v>
      </c>
      <c r="B151" s="8">
        <v>2.00816622342205E-3</v>
      </c>
      <c r="C151" s="4">
        <v>99.804625962792343</v>
      </c>
      <c r="D151" s="4">
        <v>-7.2440759182281766E-2</v>
      </c>
    </row>
    <row r="152" spans="1:4">
      <c r="A152" s="18">
        <v>43693</v>
      </c>
      <c r="B152" s="8">
        <v>3.4232702647083958E-3</v>
      </c>
      <c r="C152" s="4">
        <v>100.14628417113111</v>
      </c>
      <c r="D152" s="4">
        <v>-6.9265473214434992E-2</v>
      </c>
    </row>
    <row r="153" spans="1:4">
      <c r="A153" s="18">
        <v>43696</v>
      </c>
      <c r="B153" s="8">
        <v>7.3881944571823985E-3</v>
      </c>
      <c r="C153" s="4">
        <v>100.88618439275167</v>
      </c>
      <c r="D153" s="4">
        <v>-6.2389025542529564E-2</v>
      </c>
    </row>
    <row r="154" spans="1:4">
      <c r="A154" s="18">
        <v>43697</v>
      </c>
      <c r="B154" s="8">
        <v>4.2732125287377699E-3</v>
      </c>
      <c r="C154" s="4">
        <v>101.31729249987532</v>
      </c>
      <c r="D154" s="4">
        <v>-5.8382414579395969E-2</v>
      </c>
    </row>
    <row r="155" spans="1:4">
      <c r="A155" s="18">
        <v>43698</v>
      </c>
      <c r="B155" s="8">
        <v>-6.2211875919622895E-3</v>
      </c>
      <c r="C155" s="4">
        <v>100.68697861692388</v>
      </c>
      <c r="D155" s="4">
        <v>-6.4240394218188168E-2</v>
      </c>
    </row>
    <row r="156" spans="1:4">
      <c r="A156" s="18">
        <v>43699</v>
      </c>
      <c r="B156" s="8">
        <v>-7.8261219146209971E-3</v>
      </c>
      <c r="C156" s="4">
        <v>99.898990047053005</v>
      </c>
      <c r="D156" s="4">
        <v>-7.1563762975814238E-2</v>
      </c>
    </row>
    <row r="157" spans="1:4">
      <c r="A157" s="18">
        <v>43700</v>
      </c>
      <c r="B157" s="8">
        <v>8.2309107281562151E-3</v>
      </c>
      <c r="C157" s="4">
        <v>100.72124971596327</v>
      </c>
      <c r="D157" s="4">
        <v>-6.3921887192082805E-2</v>
      </c>
    </row>
    <row r="158" spans="1:4">
      <c r="A158" s="18">
        <v>43703</v>
      </c>
      <c r="B158" s="8">
        <v>1.0010299432328371E-2</v>
      </c>
      <c r="C158" s="4">
        <v>101.72949958481837</v>
      </c>
      <c r="D158" s="4">
        <v>-5.4551464990826748E-2</v>
      </c>
    </row>
    <row r="159" spans="1:4">
      <c r="A159" s="18">
        <v>43704</v>
      </c>
      <c r="B159" s="8">
        <v>1.7373069823718096E-3</v>
      </c>
      <c r="C159" s="4">
        <v>101.90623495476027</v>
      </c>
      <c r="D159" s="4">
        <v>-5.2908930649482211E-2</v>
      </c>
    </row>
    <row r="160" spans="1:4">
      <c r="A160" s="18">
        <v>43705</v>
      </c>
      <c r="B160" s="8">
        <v>-7.879936880189526E-3</v>
      </c>
      <c r="C160" s="4">
        <v>101.10322025561899</v>
      </c>
      <c r="D160" s="4">
        <v>-6.0371948495755445E-2</v>
      </c>
    </row>
    <row r="161" spans="1:4">
      <c r="A161" s="18">
        <v>43706</v>
      </c>
      <c r="B161" s="8">
        <v>3.5378934901644957E-3</v>
      </c>
      <c r="C161" s="4">
        <v>101.46091268039601</v>
      </c>
      <c r="D161" s="4">
        <v>-5.7047644529162667E-2</v>
      </c>
    </row>
    <row r="162" spans="1:4">
      <c r="A162" s="18">
        <v>43707</v>
      </c>
      <c r="B162" s="8">
        <v>7.9524894550518505E-3</v>
      </c>
      <c r="C162" s="4">
        <v>102.26777951858679</v>
      </c>
      <c r="D162" s="4">
        <v>-4.9548825865664559E-2</v>
      </c>
    </row>
    <row r="163" spans="1:4">
      <c r="A163" s="18">
        <v>43711</v>
      </c>
      <c r="B163" s="8">
        <v>-1.7713359792422285E-2</v>
      </c>
      <c r="C163" s="4">
        <v>100.45627354480195</v>
      </c>
      <c r="D163" s="4">
        <v>-6.6384509478236264E-2</v>
      </c>
    </row>
    <row r="164" spans="1:4">
      <c r="A164" s="18">
        <v>43712</v>
      </c>
      <c r="B164" s="8">
        <v>-7.6191594413080876E-3</v>
      </c>
      <c r="C164" s="4">
        <v>99.690881179784441</v>
      </c>
      <c r="D164" s="4">
        <v>-7.3497874757396664E-2</v>
      </c>
    </row>
    <row r="165" spans="1:4">
      <c r="A165" s="18">
        <v>43713</v>
      </c>
      <c r="B165" s="8">
        <v>8.1303220480677466E-3</v>
      </c>
      <c r="C165" s="4">
        <v>100.50140014903174</v>
      </c>
      <c r="D165" s="4">
        <v>-6.596511410095518E-2</v>
      </c>
    </row>
    <row r="166" spans="1:4">
      <c r="A166" s="18">
        <v>43714</v>
      </c>
      <c r="B166" s="8">
        <v>8.7038422961132015E-3</v>
      </c>
      <c r="C166" s="4">
        <v>101.37614848646749</v>
      </c>
      <c r="D166" s="4">
        <v>-5.7835421755021654E-2</v>
      </c>
    </row>
    <row r="167" spans="1:4">
      <c r="A167" s="18">
        <v>43717</v>
      </c>
      <c r="B167" s="8">
        <v>9.1202300772091731E-3</v>
      </c>
      <c r="C167" s="4">
        <v>102.30072228500538</v>
      </c>
      <c r="D167" s="4">
        <v>-4.9242664030830885E-2</v>
      </c>
    </row>
    <row r="168" spans="1:4">
      <c r="A168" s="18">
        <v>43719</v>
      </c>
      <c r="B168" s="8">
        <v>5.3293549828693863E-3</v>
      </c>
      <c r="C168" s="4">
        <v>102.84591914906612</v>
      </c>
      <c r="D168" s="4">
        <v>-4.4175740684883835E-2</v>
      </c>
    </row>
    <row r="169" spans="1:4">
      <c r="A169" s="18">
        <v>43720</v>
      </c>
      <c r="B169" s="8">
        <v>-8.3034520003873544E-3</v>
      </c>
      <c r="C169" s="4">
        <v>101.99194299597613</v>
      </c>
      <c r="D169" s="4">
        <v>-5.2112381542912645E-2</v>
      </c>
    </row>
    <row r="170" spans="1:4">
      <c r="A170" s="18">
        <v>43721</v>
      </c>
      <c r="B170" s="8">
        <v>2.7252751510102513E-3</v>
      </c>
      <c r="C170" s="4">
        <v>102.26989910382632</v>
      </c>
      <c r="D170" s="4">
        <v>-4.9529126970381365E-2</v>
      </c>
    </row>
    <row r="171" spans="1:4">
      <c r="A171" s="18">
        <v>43724</v>
      </c>
      <c r="B171" s="8">
        <v>-4.5736572533642524E-3</v>
      </c>
      <c r="C171" s="4">
        <v>101.80215163798927</v>
      </c>
      <c r="D171" s="4">
        <v>-5.3876254972924698E-2</v>
      </c>
    </row>
    <row r="172" spans="1:4">
      <c r="A172" s="18">
        <v>43725</v>
      </c>
      <c r="B172" s="8">
        <v>-1.9122893806907043E-2</v>
      </c>
      <c r="C172" s="4">
        <v>99.855399902901354</v>
      </c>
      <c r="D172" s="4">
        <v>-7.1968878877270659E-2</v>
      </c>
    </row>
    <row r="173" spans="1:4">
      <c r="A173" s="18">
        <v>43726</v>
      </c>
      <c r="B173" s="8">
        <v>-5.3759522925096964E-4</v>
      </c>
      <c r="C173" s="4">
        <v>99.801718116298602</v>
      </c>
      <c r="D173" s="4">
        <v>-7.2467783980582734E-2</v>
      </c>
    </row>
    <row r="174" spans="1:4">
      <c r="A174" s="18">
        <v>43727</v>
      </c>
      <c r="B174" s="8">
        <v>-1.4218789290897395E-2</v>
      </c>
      <c r="C174" s="4">
        <v>98.382658515533421</v>
      </c>
      <c r="D174" s="4">
        <v>-8.5656169120681858E-2</v>
      </c>
    </row>
    <row r="175" spans="1:4">
      <c r="A175" s="18">
        <v>43728</v>
      </c>
      <c r="B175" s="8">
        <v>5.0019926275094051E-2</v>
      </c>
      <c r="C175" s="4">
        <v>103.30375184122815</v>
      </c>
      <c r="D175" s="4">
        <v>-3.992075811001139E-2</v>
      </c>
    </row>
    <row r="176" spans="1:4">
      <c r="A176" s="18">
        <v>43731</v>
      </c>
      <c r="B176" s="8">
        <v>2.5350247350231843E-2</v>
      </c>
      <c r="C176" s="4">
        <v>105.92252750261025</v>
      </c>
      <c r="D176" s="4">
        <v>-1.5582511852277103E-2</v>
      </c>
    </row>
    <row r="177" spans="1:4">
      <c r="A177" s="18">
        <v>43732</v>
      </c>
      <c r="B177" s="8">
        <v>5.9070314488644258E-3</v>
      </c>
      <c r="C177" s="4">
        <v>106.54821520371138</v>
      </c>
      <c r="D177" s="4">
        <v>-9.7675267909763663E-3</v>
      </c>
    </row>
    <row r="178" spans="1:4">
      <c r="A178" s="18">
        <v>43733</v>
      </c>
      <c r="B178" s="8">
        <v>-1.7276036409775493E-2</v>
      </c>
      <c r="C178" s="4">
        <v>104.70748435845547</v>
      </c>
      <c r="D178" s="4">
        <v>-2.6874819052277399E-2</v>
      </c>
    </row>
    <row r="179" spans="1:4">
      <c r="A179" s="18">
        <v>43734</v>
      </c>
      <c r="B179" s="8">
        <v>1.5472094279911249E-2</v>
      </c>
      <c r="C179" s="4">
        <v>106.32752842826181</v>
      </c>
      <c r="D179" s="4">
        <v>-1.1818534506498724E-2</v>
      </c>
    </row>
    <row r="180" spans="1:4">
      <c r="A180" s="18">
        <v>43735</v>
      </c>
      <c r="B180" s="8">
        <v>-7.6122172387630572E-3</v>
      </c>
      <c r="C180" s="4">
        <v>105.51814018340514</v>
      </c>
      <c r="D180" s="4">
        <v>-1.9340786493154405E-2</v>
      </c>
    </row>
    <row r="181" spans="1:4">
      <c r="A181" s="18">
        <v>43738</v>
      </c>
      <c r="B181" s="8">
        <v>1.8778789650132407E-3</v>
      </c>
      <c r="C181" s="4">
        <v>105.71629047928289</v>
      </c>
      <c r="D181" s="4">
        <v>-1.7499227184263333E-2</v>
      </c>
    </row>
    <row r="182" spans="1:4">
      <c r="A182" s="18">
        <v>43739</v>
      </c>
      <c r="B182" s="8">
        <v>-6.0825521256752547E-3</v>
      </c>
      <c r="C182" s="4">
        <v>105.07326563190963</v>
      </c>
      <c r="D182" s="4">
        <v>-2.3475339348431157E-2</v>
      </c>
    </row>
    <row r="183" spans="1:4">
      <c r="A183" s="18">
        <v>43741</v>
      </c>
      <c r="B183" s="8">
        <v>-8.4808243888397463E-4</v>
      </c>
      <c r="C183" s="4">
        <v>104.98415484053102</v>
      </c>
      <c r="D183" s="4">
        <v>-2.4303512764266899E-2</v>
      </c>
    </row>
    <row r="184" spans="1:4">
      <c r="A184" s="18">
        <v>43742</v>
      </c>
      <c r="B184" s="8">
        <v>-1.0385503503668923E-2</v>
      </c>
      <c r="C184" s="4">
        <v>103.89384153260497</v>
      </c>
      <c r="D184" s="4">
        <v>-3.4436612050971038E-2</v>
      </c>
    </row>
    <row r="185" spans="1:4">
      <c r="A185" s="18">
        <v>43745</v>
      </c>
      <c r="B185" s="8">
        <v>-1.019237927036659E-2</v>
      </c>
      <c r="C185" s="4">
        <v>102.83491609584929</v>
      </c>
      <c r="D185" s="4">
        <v>-4.4278000310527643E-2</v>
      </c>
    </row>
    <row r="186" spans="1:4">
      <c r="A186" s="18">
        <v>43747</v>
      </c>
      <c r="B186" s="8">
        <v>8.8391595082819904E-3</v>
      </c>
      <c r="C186" s="4">
        <v>103.7438903222413</v>
      </c>
      <c r="D186" s="4">
        <v>-3.5830221109698246E-2</v>
      </c>
    </row>
    <row r="187" spans="1:4">
      <c r="A187" s="18">
        <v>43748</v>
      </c>
      <c r="B187" s="8">
        <v>-2.3289129263276546E-3</v>
      </c>
      <c r="C187" s="4">
        <v>103.50227983504232</v>
      </c>
      <c r="D187" s="4">
        <v>-3.8075688570930244E-2</v>
      </c>
    </row>
    <row r="188" spans="1:4">
      <c r="A188" s="18">
        <v>43749</v>
      </c>
      <c r="B188" s="8">
        <v>4.6822310784895432E-3</v>
      </c>
      <c r="C188" s="4">
        <v>103.98690142638047</v>
      </c>
      <c r="D188" s="4">
        <v>-3.3571736664802398E-2</v>
      </c>
    </row>
    <row r="189" spans="1:4">
      <c r="A189" s="18">
        <v>43752</v>
      </c>
      <c r="B189" s="8">
        <v>5.7226143682108047E-3</v>
      </c>
      <c r="C189" s="4">
        <v>104.58197836258879</v>
      </c>
      <c r="D189" s="4">
        <v>-2.8041240399195533E-2</v>
      </c>
    </row>
    <row r="190" spans="1:4">
      <c r="A190" s="18">
        <v>43753</v>
      </c>
      <c r="B190" s="8">
        <v>8.3774457855588756E-3</v>
      </c>
      <c r="C190" s="4">
        <v>105.45810821646785</v>
      </c>
      <c r="D190" s="4">
        <v>-1.9898708584840885E-2</v>
      </c>
    </row>
    <row r="191" spans="1:4">
      <c r="A191" s="18">
        <v>43754</v>
      </c>
      <c r="B191" s="8">
        <v>-2.4989876338997008E-4</v>
      </c>
      <c r="C191" s="4">
        <v>105.4317543656351</v>
      </c>
      <c r="D191" s="4">
        <v>-2.0143634685562462E-2</v>
      </c>
    </row>
    <row r="192" spans="1:4">
      <c r="A192" s="18">
        <v>43755</v>
      </c>
      <c r="B192" s="8">
        <v>8.8544814397496611E-3</v>
      </c>
      <c r="C192" s="4">
        <v>106.36529787782587</v>
      </c>
      <c r="D192" s="4">
        <v>-1.146751468526519E-2</v>
      </c>
    </row>
    <row r="193" spans="1:4">
      <c r="A193" s="18">
        <v>43756</v>
      </c>
      <c r="B193" s="8">
        <v>1.170569668635478E-2</v>
      </c>
      <c r="C193" s="4">
        <v>107.61037779273747</v>
      </c>
      <c r="D193" s="4">
        <v>0</v>
      </c>
    </row>
    <row r="194" spans="1:4">
      <c r="A194" s="18">
        <v>43760</v>
      </c>
      <c r="B194" s="8">
        <v>-1.3246887337372094E-2</v>
      </c>
      <c r="C194" s="4">
        <v>106.18487524178502</v>
      </c>
      <c r="D194" s="4">
        <v>-1.3246887337372115E-2</v>
      </c>
    </row>
    <row r="195" spans="1:4">
      <c r="A195" s="18">
        <v>43761</v>
      </c>
      <c r="B195" s="8">
        <v>5.0790169983578395E-3</v>
      </c>
      <c r="C195" s="4">
        <v>106.72419002810656</v>
      </c>
      <c r="D195" s="4">
        <v>-8.2351515049760016E-3</v>
      </c>
    </row>
    <row r="196" spans="1:4">
      <c r="A196" s="18">
        <v>43762</v>
      </c>
      <c r="B196" s="8">
        <v>6.1251832258063011E-4</v>
      </c>
      <c r="C196" s="4">
        <v>106.78956054996137</v>
      </c>
      <c r="D196" s="4">
        <v>-7.6276773635813866E-3</v>
      </c>
    </row>
    <row r="197" spans="1:4">
      <c r="A197" s="18">
        <v>43763</v>
      </c>
      <c r="B197" s="8">
        <v>6.1401279954875505E-3</v>
      </c>
      <c r="C197" s="4">
        <v>107.44526212032</v>
      </c>
      <c r="D197" s="4">
        <v>-1.5343842834144583E-3</v>
      </c>
    </row>
    <row r="198" spans="1:4">
      <c r="A198" s="18">
        <v>43765</v>
      </c>
      <c r="B198" s="8">
        <v>2.9560096744044081E-3</v>
      </c>
      <c r="C198" s="4">
        <v>107.76287135461658</v>
      </c>
      <c r="D198" s="4">
        <v>0</v>
      </c>
    </row>
    <row r="199" spans="1:4">
      <c r="A199" s="18">
        <v>43767</v>
      </c>
      <c r="B199" s="8">
        <v>2.0691590707108683E-2</v>
      </c>
      <c r="C199" s="4">
        <v>109.99265658210911</v>
      </c>
      <c r="D199" s="4">
        <v>0</v>
      </c>
    </row>
    <row r="200" spans="1:4">
      <c r="A200" s="18">
        <v>43768</v>
      </c>
      <c r="B200" s="8">
        <v>7.4256117458641252E-3</v>
      </c>
      <c r="C200" s="4">
        <v>110.80941934478402</v>
      </c>
      <c r="D200" s="4">
        <v>0</v>
      </c>
    </row>
    <row r="201" spans="1:4">
      <c r="A201" s="18">
        <v>43769</v>
      </c>
      <c r="B201" s="8">
        <v>2.1790504284539504E-3</v>
      </c>
      <c r="C201" s="4">
        <v>111.05087865748401</v>
      </c>
      <c r="D201" s="4">
        <v>0</v>
      </c>
    </row>
    <row r="202" spans="1:4">
      <c r="A202" s="18">
        <v>43770</v>
      </c>
      <c r="B202" s="8">
        <v>-1.45185917082961E-3</v>
      </c>
      <c r="C202" s="4">
        <v>110.88964842087645</v>
      </c>
      <c r="D202" s="4">
        <v>-1.4518591708295725E-3</v>
      </c>
    </row>
    <row r="203" spans="1:4">
      <c r="A203" s="18">
        <v>43773</v>
      </c>
      <c r="B203" s="8">
        <v>-2.4240807874424618E-3</v>
      </c>
      <c r="C203" s="4">
        <v>110.62084295461315</v>
      </c>
      <c r="D203" s="4">
        <v>-3.8724205343499962E-3</v>
      </c>
    </row>
    <row r="204" spans="1:4">
      <c r="A204" s="18">
        <v>43774</v>
      </c>
      <c r="B204" s="8">
        <v>-6.652165295386786E-3</v>
      </c>
      <c r="C204" s="4">
        <v>109.88497482216404</v>
      </c>
      <c r="D204" s="4">
        <v>-1.0498825848249127E-2</v>
      </c>
    </row>
    <row r="205" spans="1:4">
      <c r="A205" s="18">
        <v>43775</v>
      </c>
      <c r="B205" s="8">
        <v>-5.3919515022363878E-5</v>
      </c>
      <c r="C205" s="4">
        <v>109.87904987761338</v>
      </c>
      <c r="D205" s="4">
        <v>-1.0552179271673401E-2</v>
      </c>
    </row>
    <row r="206" spans="1:4">
      <c r="A206" s="18">
        <v>43776</v>
      </c>
      <c r="B206" s="8">
        <v>6.1637645463623967E-3</v>
      </c>
      <c r="C206" s="4">
        <v>110.55631846963699</v>
      </c>
      <c r="D206" s="4">
        <v>-4.4534558737927554E-3</v>
      </c>
    </row>
    <row r="207" spans="1:4">
      <c r="A207" s="18">
        <v>43777</v>
      </c>
      <c r="B207" s="8">
        <v>-1.7231269526826996E-2</v>
      </c>
      <c r="C207" s="4">
        <v>108.65129274819296</v>
      </c>
      <c r="D207" s="4">
        <v>-2.1607986702132487E-2</v>
      </c>
    </row>
    <row r="208" spans="1:4">
      <c r="A208" s="18">
        <v>43780</v>
      </c>
      <c r="B208" s="8">
        <v>-5.7717938928614019E-3</v>
      </c>
      <c r="C208" s="4">
        <v>108.02417988025744</v>
      </c>
      <c r="D208" s="4">
        <v>-2.7255063749309638E-2</v>
      </c>
    </row>
    <row r="209" spans="1:4">
      <c r="A209" s="18">
        <v>43782</v>
      </c>
      <c r="B209" s="8">
        <v>-2.8322463483998672E-3</v>
      </c>
      <c r="C209" s="4">
        <v>107.71822879125268</v>
      </c>
      <c r="D209" s="4">
        <v>-3.0010117042930107E-2</v>
      </c>
    </row>
    <row r="210" spans="1:4">
      <c r="A210" s="18">
        <v>43783</v>
      </c>
      <c r="B210" s="8">
        <v>2.682477824081415E-3</v>
      </c>
      <c r="C210" s="4">
        <v>108.00718055123455</v>
      </c>
      <c r="D210" s="4">
        <v>-2.7408140692314342E-2</v>
      </c>
    </row>
    <row r="211" spans="1:4">
      <c r="A211" s="18">
        <v>43784</v>
      </c>
      <c r="B211" s="8">
        <v>-2.4941000671800584E-3</v>
      </c>
      <c r="C211" s="4">
        <v>107.73779983496578</v>
      </c>
      <c r="D211" s="4">
        <v>-2.9833882113952548E-2</v>
      </c>
    </row>
    <row r="212" spans="1:4">
      <c r="A212" s="18">
        <v>43787</v>
      </c>
      <c r="B212" s="8">
        <v>-2.3765289208474523E-3</v>
      </c>
      <c r="C212" s="4">
        <v>107.48175783778952</v>
      </c>
      <c r="D212" s="4">
        <v>-3.2139509951135015E-2</v>
      </c>
    </row>
    <row r="213" spans="1:4">
      <c r="A213" s="18">
        <v>43788</v>
      </c>
      <c r="B213" s="8">
        <v>2.8525023535540856E-3</v>
      </c>
      <c r="C213" s="4">
        <v>107.78834980498596</v>
      </c>
      <c r="D213" s="4">
        <v>-2.9378685625358392E-2</v>
      </c>
    </row>
    <row r="214" spans="1:4">
      <c r="A214" s="18">
        <v>43789</v>
      </c>
      <c r="B214" s="8">
        <v>1.7419846621715612E-2</v>
      </c>
      <c r="C214" s="4">
        <v>109.66600632619665</v>
      </c>
      <c r="D214" s="4">
        <v>-1.247061120118409E-2</v>
      </c>
    </row>
    <row r="215" spans="1:4">
      <c r="A215" s="18">
        <v>43790</v>
      </c>
      <c r="B215" s="8">
        <v>-4.374103666885119E-3</v>
      </c>
      <c r="C215" s="4">
        <v>109.18631584579259</v>
      </c>
      <c r="D215" s="4">
        <v>-1.6790167121885746E-2</v>
      </c>
    </row>
    <row r="216" spans="1:4">
      <c r="A216" s="18">
        <v>43791</v>
      </c>
      <c r="B216" s="8">
        <v>-3.1520194192840682E-3</v>
      </c>
      <c r="C216" s="4">
        <v>108.84215845792656</v>
      </c>
      <c r="D216" s="4">
        <v>-1.9889263608348751E-2</v>
      </c>
    </row>
    <row r="217" spans="1:4">
      <c r="A217" s="18">
        <v>43794</v>
      </c>
      <c r="B217" s="8">
        <v>1.0096811516832262E-2</v>
      </c>
      <c r="C217" s="4">
        <v>109.94111721696143</v>
      </c>
      <c r="D217" s="4">
        <v>-9.9932702373786153E-3</v>
      </c>
    </row>
    <row r="218" spans="1:4">
      <c r="A218" s="18">
        <v>43795</v>
      </c>
      <c r="B218" s="8">
        <v>-1.0011759342457375E-2</v>
      </c>
      <c r="C218" s="4">
        <v>108.84041320954432</v>
      </c>
      <c r="D218" s="4">
        <v>-1.9904979363175146E-2</v>
      </c>
    </row>
    <row r="219" spans="1:4">
      <c r="A219" s="18">
        <v>43796</v>
      </c>
      <c r="B219" s="8">
        <v>4.5241158523427168E-3</v>
      </c>
      <c r="C219" s="4">
        <v>109.33281984832117</v>
      </c>
      <c r="D219" s="4">
        <v>-1.54709159435098E-2</v>
      </c>
    </row>
    <row r="220" spans="1:4">
      <c r="A220" s="18">
        <v>43797</v>
      </c>
      <c r="B220" s="8">
        <v>2.5096147780722376E-3</v>
      </c>
      <c r="C220" s="4">
        <v>109.60720310874083</v>
      </c>
      <c r="D220" s="4">
        <v>-1.3000127204719547E-2</v>
      </c>
    </row>
    <row r="221" spans="1:4">
      <c r="A221" s="18">
        <v>43798</v>
      </c>
      <c r="B221" s="8">
        <v>-9.2738824035069022E-3</v>
      </c>
      <c r="C221" s="4">
        <v>108.59071879653307</v>
      </c>
      <c r="D221" s="4">
        <v>-2.2153447957299344E-2</v>
      </c>
    </row>
    <row r="222" spans="1:4">
      <c r="A222" s="18">
        <v>43801</v>
      </c>
      <c r="B222" s="8">
        <v>-5.6923778239011498E-3</v>
      </c>
      <c r="C222" s="4">
        <v>107.9725793969742</v>
      </c>
      <c r="D222" s="4">
        <v>-2.7719719985325408E-2</v>
      </c>
    </row>
    <row r="223" spans="1:4">
      <c r="A223" s="18">
        <v>43802</v>
      </c>
      <c r="B223" s="8">
        <v>-4.7208982459278192E-3</v>
      </c>
      <c r="C223" s="4">
        <v>107.46285183629072</v>
      </c>
      <c r="D223" s="4">
        <v>-3.230975625379684E-2</v>
      </c>
    </row>
    <row r="224" spans="1:4">
      <c r="A224" s="18">
        <v>43803</v>
      </c>
      <c r="B224" s="8">
        <v>-2.5959087666909218E-3</v>
      </c>
      <c r="C224" s="4">
        <v>107.18388807711528</v>
      </c>
      <c r="D224" s="4">
        <v>-3.4821791840978999E-2</v>
      </c>
    </row>
    <row r="225" spans="1:4">
      <c r="A225" s="18">
        <v>43804</v>
      </c>
      <c r="B225" s="8">
        <v>1.8211229635449844E-3</v>
      </c>
      <c r="C225" s="4">
        <v>107.37908311701456</v>
      </c>
      <c r="D225" s="4">
        <v>-3.306408364218727E-2</v>
      </c>
    </row>
    <row r="226" spans="1:4">
      <c r="A226" s="18">
        <v>43805</v>
      </c>
      <c r="B226" s="8">
        <v>-8.7507212053258426E-3</v>
      </c>
      <c r="C226" s="4">
        <v>106.43943869737406</v>
      </c>
      <c r="D226" s="4">
        <v>-4.152547026965081E-2</v>
      </c>
    </row>
    <row r="227" spans="1:4">
      <c r="A227" s="18">
        <v>43808</v>
      </c>
      <c r="B227" s="8">
        <v>-1.5191569977987198E-3</v>
      </c>
      <c r="C227" s="4">
        <v>106.27774047923518</v>
      </c>
      <c r="D227" s="4">
        <v>-4.2981543558702429E-2</v>
      </c>
    </row>
    <row r="228" spans="1:4">
      <c r="A228" s="18">
        <v>43809</v>
      </c>
      <c r="B228" s="8">
        <v>-5.0162776134594122E-3</v>
      </c>
      <c r="C228" s="4">
        <v>105.74462182886013</v>
      </c>
      <c r="D228" s="4">
        <v>-4.778221381741643E-2</v>
      </c>
    </row>
    <row r="229" spans="1:4">
      <c r="A229" s="18">
        <v>43810</v>
      </c>
      <c r="B229" s="8">
        <v>2.0619829752547467E-3</v>
      </c>
      <c r="C229" s="4">
        <v>105.96266543879601</v>
      </c>
      <c r="D229" s="4">
        <v>-4.581875695357307E-2</v>
      </c>
    </row>
    <row r="230" spans="1:4">
      <c r="A230" s="18">
        <v>43811</v>
      </c>
      <c r="B230" s="8">
        <v>2.6702662039708273E-3</v>
      </c>
      <c r="C230" s="4">
        <v>106.24561396319989</v>
      </c>
      <c r="D230" s="4">
        <v>-4.3270839027803376E-2</v>
      </c>
    </row>
    <row r="231" spans="1:4">
      <c r="A231" s="18">
        <v>43812</v>
      </c>
      <c r="B231" s="8">
        <v>1.7263521744123184E-2</v>
      </c>
      <c r="C231" s="4">
        <v>108.07978743007132</v>
      </c>
      <c r="D231" s="4">
        <v>-2.675432435412306E-2</v>
      </c>
    </row>
    <row r="232" spans="1:4">
      <c r="A232" s="18">
        <v>43815</v>
      </c>
      <c r="B232" s="8">
        <v>-4.4167378630154547E-3</v>
      </c>
      <c r="C232" s="4">
        <v>107.60242734070226</v>
      </c>
      <c r="D232" s="4">
        <v>-3.1052895379764189E-2</v>
      </c>
    </row>
    <row r="233" spans="1:4">
      <c r="A233" s="18">
        <v>43816</v>
      </c>
      <c r="B233" s="8">
        <v>7.0461644046192137E-3</v>
      </c>
      <c r="C233" s="4">
        <v>108.36061173408093</v>
      </c>
      <c r="D233" s="4">
        <v>-2.4225534781230351E-2</v>
      </c>
    </row>
    <row r="234" spans="1:4">
      <c r="A234" s="18">
        <v>43817</v>
      </c>
      <c r="B234" s="8">
        <v>9.3668418446909343E-3</v>
      </c>
      <c r="C234" s="4">
        <v>109.37560844638801</v>
      </c>
      <c r="D234" s="4">
        <v>-1.5085609689438395E-2</v>
      </c>
    </row>
    <row r="235" spans="1:4">
      <c r="A235" s="18">
        <v>43818</v>
      </c>
      <c r="B235" s="8">
        <v>1.3309316707245124E-3</v>
      </c>
      <c r="C235" s="4">
        <v>109.52117990767408</v>
      </c>
      <c r="D235" s="4">
        <v>-1.3774755934421679E-2</v>
      </c>
    </row>
    <row r="236" spans="1:4">
      <c r="A236" s="18">
        <v>43819</v>
      </c>
      <c r="B236" s="8">
        <v>-2.2772495291540607E-3</v>
      </c>
      <c r="C236" s="4">
        <v>109.27177285229693</v>
      </c>
      <c r="D236" s="4">
        <v>-1.6020636907109864E-2</v>
      </c>
    </row>
    <row r="237" spans="1:4">
      <c r="A237" s="18">
        <v>43822</v>
      </c>
      <c r="B237" s="8">
        <v>1.5519170544999795E-4</v>
      </c>
      <c r="C237" s="4">
        <v>109.28873092508344</v>
      </c>
      <c r="D237" s="4">
        <v>-1.5867931471623797E-2</v>
      </c>
    </row>
    <row r="238" spans="1:4">
      <c r="A238" s="18">
        <v>43823</v>
      </c>
      <c r="B238" s="8">
        <v>-5.6804119906419381E-3</v>
      </c>
      <c r="C238" s="4">
        <v>108.66792590749455</v>
      </c>
      <c r="D238" s="4">
        <v>-2.1458207074067648E-2</v>
      </c>
    </row>
    <row r="239" spans="1:4">
      <c r="A239" s="18">
        <v>43825</v>
      </c>
      <c r="B239" s="8">
        <v>-1.3649097097370283E-2</v>
      </c>
      <c r="C239" s="4">
        <v>107.18470683541332</v>
      </c>
      <c r="D239" s="4">
        <v>-3.4814419019548515E-2</v>
      </c>
    </row>
    <row r="240" spans="1:4">
      <c r="A240" s="18">
        <v>43826</v>
      </c>
      <c r="B240" s="8">
        <v>1.0649801637045743E-2</v>
      </c>
      <c r="C240" s="4">
        <v>108.32620270173538</v>
      </c>
      <c r="D240" s="4">
        <v>-2.4535384039169883E-2</v>
      </c>
    </row>
    <row r="241" spans="1:4">
      <c r="A241" s="18">
        <v>43829</v>
      </c>
      <c r="B241" s="8">
        <v>3.7173587046164551E-3</v>
      </c>
      <c r="C241" s="4">
        <v>108.72889005428672</v>
      </c>
      <c r="D241" s="4">
        <v>-2.0909232157982571E-2</v>
      </c>
    </row>
    <row r="242" spans="1:4">
      <c r="A242" s="18">
        <v>43830</v>
      </c>
      <c r="B242" s="8">
        <v>-5.3390501395186116E-3</v>
      </c>
      <c r="C242" s="4">
        <v>108.14838105867268</v>
      </c>
      <c r="D242" s="4">
        <v>-2.6136646858630819E-2</v>
      </c>
    </row>
    <row r="243" spans="1:4">
      <c r="A243" s="18">
        <v>43831</v>
      </c>
      <c r="B243" s="8">
        <v>1.9412760941752462E-3</v>
      </c>
      <c r="C243" s="4">
        <v>108.35832692544564</v>
      </c>
      <c r="D243" s="4">
        <v>-2.4246109212184175E-2</v>
      </c>
    </row>
    <row r="244" spans="1:4">
      <c r="A244" s="18">
        <v>43832</v>
      </c>
      <c r="B244" s="8">
        <v>8.6298971207734287E-3</v>
      </c>
      <c r="C244" s="4">
        <v>109.29344813899137</v>
      </c>
      <c r="D244" s="4">
        <v>-1.582545351949094E-2</v>
      </c>
    </row>
    <row r="245" spans="1:4">
      <c r="A245" s="18">
        <v>43833</v>
      </c>
      <c r="B245" s="8">
        <v>1.5162480865381009E-3</v>
      </c>
      <c r="C245" s="4">
        <v>109.45916412060326</v>
      </c>
      <c r="D245" s="4">
        <v>-1.4333200746570407E-2</v>
      </c>
    </row>
    <row r="246" spans="1:4">
      <c r="A246" s="18">
        <v>43836</v>
      </c>
      <c r="B246" s="8">
        <v>-1.6530288788311205E-2</v>
      </c>
      <c r="C246" s="4">
        <v>107.64977252716254</v>
      </c>
      <c r="D246" s="4">
        <v>-3.0626557587279946E-2</v>
      </c>
    </row>
    <row r="247" spans="1:4">
      <c r="A247" s="18">
        <v>43837</v>
      </c>
      <c r="B247" s="8">
        <v>5.8206233151057961E-3</v>
      </c>
      <c r="C247" s="4">
        <v>108.27636130299996</v>
      </c>
      <c r="D247" s="4">
        <v>-2.4984199927328254E-2</v>
      </c>
    </row>
    <row r="248" spans="1:4">
      <c r="A248" s="18">
        <v>43838</v>
      </c>
      <c r="B248" s="8">
        <v>-8.2300763941341865E-3</v>
      </c>
      <c r="C248" s="4">
        <v>107.3852385777974</v>
      </c>
      <c r="D248" s="4">
        <v>-3.3008654447414187E-2</v>
      </c>
    </row>
    <row r="249" spans="1:4">
      <c r="A249" s="18">
        <v>43839</v>
      </c>
      <c r="B249" s="8">
        <v>1.2843857291619453E-2</v>
      </c>
      <c r="C249" s="4">
        <v>108.76447925731713</v>
      </c>
      <c r="D249" s="4">
        <v>-2.0588755602905628E-2</v>
      </c>
    </row>
    <row r="250" spans="1:4">
      <c r="A250" s="18">
        <v>43840</v>
      </c>
      <c r="B250" s="8">
        <v>7.9265758950650585E-3</v>
      </c>
      <c r="C250" s="4">
        <v>109.62660915683749</v>
      </c>
      <c r="D250" s="4">
        <v>-1.2825378041712021E-2</v>
      </c>
    </row>
    <row r="251" spans="1:4">
      <c r="A251" s="18">
        <v>43843</v>
      </c>
      <c r="B251" s="8">
        <v>5.8761467707666281E-3</v>
      </c>
      <c r="C251" s="4">
        <v>110.27079120222453</v>
      </c>
      <c r="D251" s="4">
        <v>-7.0245950747090946E-3</v>
      </c>
    </row>
    <row r="252" spans="1:4">
      <c r="A252" s="18">
        <v>43844</v>
      </c>
      <c r="B252" s="8">
        <v>1.4219120029833284E-3</v>
      </c>
      <c r="C252" s="4">
        <v>110.42758656381343</v>
      </c>
      <c r="D252" s="4">
        <v>-5.6126714277786593E-3</v>
      </c>
    </row>
    <row r="253" spans="1:4">
      <c r="A253" s="18">
        <v>43845</v>
      </c>
      <c r="B253" s="8">
        <v>2.0476891136277982E-3</v>
      </c>
      <c r="C253" s="4">
        <v>110.65370793066435</v>
      </c>
      <c r="D253" s="4">
        <v>-3.5764753203317845E-3</v>
      </c>
    </row>
    <row r="254" spans="1:4">
      <c r="A254" s="18">
        <v>43846</v>
      </c>
      <c r="B254" s="8">
        <v>4.2413674342589732E-5</v>
      </c>
      <c r="C254" s="4">
        <v>110.65840116099733</v>
      </c>
      <c r="D254" s="4">
        <v>-3.5342133374487439E-3</v>
      </c>
    </row>
    <row r="255" spans="1:4">
      <c r="A255" s="18">
        <v>43847</v>
      </c>
      <c r="B255" s="8">
        <v>3.165195480198375E-3</v>
      </c>
      <c r="C255" s="4">
        <v>111.0086566321981</v>
      </c>
      <c r="D255" s="4">
        <v>-3.8020433333207926E-4</v>
      </c>
    </row>
    <row r="256" spans="1:4">
      <c r="A256" s="18">
        <v>43850</v>
      </c>
      <c r="B256" s="8">
        <v>-9.1667784339482718E-3</v>
      </c>
      <c r="C256" s="4">
        <v>109.99106487260049</v>
      </c>
      <c r="D256" s="4">
        <v>-9.5434975183971149E-3</v>
      </c>
    </row>
    <row r="257" spans="1:4">
      <c r="A257" s="18">
        <v>43851</v>
      </c>
      <c r="B257" s="8">
        <v>-7.9331889266224254E-3</v>
      </c>
      <c r="C257" s="4">
        <v>109.11848497472576</v>
      </c>
      <c r="D257" s="4">
        <v>-1.7400976076185404E-2</v>
      </c>
    </row>
    <row r="258" spans="1:4">
      <c r="A258" s="18">
        <v>43852</v>
      </c>
      <c r="B258" s="8">
        <v>-4.1387291975159201E-3</v>
      </c>
      <c r="C258" s="4">
        <v>108.66687311497216</v>
      </c>
      <c r="D258" s="4">
        <v>-2.1467687345949504E-2</v>
      </c>
    </row>
    <row r="259" spans="1:4">
      <c r="A259" s="18">
        <v>43853</v>
      </c>
      <c r="B259" s="8">
        <v>8.0787549310780467E-3</v>
      </c>
      <c r="C259" s="4">
        <v>109.54476615199458</v>
      </c>
      <c r="D259" s="4">
        <v>-1.3562364599876364E-2</v>
      </c>
    </row>
    <row r="260" spans="1:4">
      <c r="A260" s="18">
        <v>43854</v>
      </c>
      <c r="B260" s="8">
        <v>1.9374684543377557E-3</v>
      </c>
      <c r="C260" s="4">
        <v>109.75700568075189</v>
      </c>
      <c r="D260" s="4">
        <v>-1.1651172799116982E-2</v>
      </c>
    </row>
    <row r="261" spans="1:4">
      <c r="A261" s="18">
        <v>43857</v>
      </c>
      <c r="B261" s="8">
        <v>-6.2227208592110375E-3</v>
      </c>
      <c r="C261" s="4">
        <v>109.07401847205773</v>
      </c>
      <c r="D261" s="4">
        <v>-1.7801391662316646E-2</v>
      </c>
    </row>
    <row r="262" spans="1:4">
      <c r="A262" s="18">
        <v>43858</v>
      </c>
      <c r="B262" s="8">
        <v>-6.0204815020791528E-3</v>
      </c>
      <c r="C262" s="4">
        <v>108.41734036148927</v>
      </c>
      <c r="D262" s="4">
        <v>-2.3714700215181628E-2</v>
      </c>
    </row>
    <row r="263" spans="1:4">
      <c r="A263" s="18">
        <v>43859</v>
      </c>
      <c r="B263" s="8">
        <v>5.9319687498994101E-3</v>
      </c>
      <c r="C263" s="4">
        <v>109.06046863646083</v>
      </c>
      <c r="D263" s="4">
        <v>-1.792340632587186E-2</v>
      </c>
    </row>
    <row r="264" spans="1:4">
      <c r="A264" s="18">
        <v>43860</v>
      </c>
      <c r="B264" s="8">
        <v>-8.0099272076324616E-3</v>
      </c>
      <c r="C264" s="4">
        <v>108.18690222145248</v>
      </c>
      <c r="D264" s="4">
        <v>-2.5789768353521314E-2</v>
      </c>
    </row>
    <row r="265" spans="1:4">
      <c r="A265" s="18">
        <v>43861</v>
      </c>
      <c r="B265" s="8">
        <v>-1.110533410147177E-2</v>
      </c>
      <c r="C265" s="4">
        <v>106.98545052688</v>
      </c>
      <c r="D265" s="4">
        <v>-3.6608698461027656E-2</v>
      </c>
    </row>
    <row r="266" spans="1:4">
      <c r="A266" s="18">
        <v>43864</v>
      </c>
      <c r="B266" s="8">
        <v>-2.9092157985323386E-2</v>
      </c>
      <c r="C266" s="4">
        <v>103.873012898021</v>
      </c>
      <c r="D266" s="4">
        <v>-6.463583040708587E-2</v>
      </c>
    </row>
    <row r="267" spans="1:4">
      <c r="A267" s="18">
        <v>43865</v>
      </c>
      <c r="B267" s="8">
        <v>2.0715451901062196E-2</v>
      </c>
      <c r="C267" s="4">
        <v>106.02478930052837</v>
      </c>
      <c r="D267" s="4">
        <v>-4.5259338941906813E-2</v>
      </c>
    </row>
    <row r="268" spans="1:4">
      <c r="A268" s="18">
        <v>43866</v>
      </c>
      <c r="B268" s="8">
        <v>3.1618828687579926E-3</v>
      </c>
      <c r="C268" s="4">
        <v>106.36002726548139</v>
      </c>
      <c r="D268" s="4">
        <v>-4.2240560801600546E-2</v>
      </c>
    </row>
    <row r="269" spans="1:4">
      <c r="A269" s="18">
        <v>43867</v>
      </c>
      <c r="B269" s="8">
        <v>-6.0639547676354165E-4</v>
      </c>
      <c r="C269" s="4">
        <v>106.29553102603916</v>
      </c>
      <c r="D269" s="4">
        <v>-4.2821341793358059E-2</v>
      </c>
    </row>
    <row r="270" spans="1:4">
      <c r="A270" s="18">
        <v>43868</v>
      </c>
      <c r="B270" s="8">
        <v>-5.135121711492322E-3</v>
      </c>
      <c r="C270" s="4">
        <v>105.74969053683273</v>
      </c>
      <c r="D270" s="4">
        <v>-4.7736570702892056E-2</v>
      </c>
    </row>
    <row r="271" spans="1:4">
      <c r="A271" s="18">
        <v>43871</v>
      </c>
      <c r="B271" s="8">
        <v>-8.4149520164512603E-3</v>
      </c>
      <c r="C271" s="4">
        <v>104.85981196521071</v>
      </c>
      <c r="D271" s="4">
        <v>-5.5749821767448582E-2</v>
      </c>
    </row>
    <row r="272" spans="1:4">
      <c r="A272" s="18">
        <v>43872</v>
      </c>
      <c r="B272" s="8">
        <v>5.6290609871410182E-3</v>
      </c>
      <c r="C272" s="4">
        <v>105.45007424186302</v>
      </c>
      <c r="D272" s="4">
        <v>-5.0434579927058798E-2</v>
      </c>
    </row>
    <row r="273" spans="1:4">
      <c r="A273" s="18">
        <v>43873</v>
      </c>
      <c r="B273" s="8">
        <v>4.1830404563513498E-3</v>
      </c>
      <c r="C273" s="4">
        <v>105.89117616854199</v>
      </c>
      <c r="D273" s="4">
        <v>-4.6462509358941362E-2</v>
      </c>
    </row>
    <row r="274" spans="1:4">
      <c r="A274" s="18">
        <v>43874</v>
      </c>
      <c r="B274" s="8">
        <v>1.2606954377307202E-3</v>
      </c>
      <c r="C274" s="4">
        <v>106.02467269123362</v>
      </c>
      <c r="D274" s="4">
        <v>-4.5260388994784906E-2</v>
      </c>
    </row>
    <row r="275" spans="1:4">
      <c r="A275" s="18">
        <v>43875</v>
      </c>
      <c r="B275" s="8">
        <v>-4.9816708666544926E-3</v>
      </c>
      <c r="C275" s="4">
        <v>105.49649266814113</v>
      </c>
      <c r="D275" s="4">
        <v>-5.0016587500170573E-2</v>
      </c>
    </row>
    <row r="276" spans="1:4">
      <c r="A276" s="18">
        <v>43878</v>
      </c>
      <c r="B276" s="8">
        <v>-6.0782784751440312E-3</v>
      </c>
      <c r="C276" s="4">
        <v>104.85525560755318</v>
      </c>
      <c r="D276" s="4">
        <v>-5.5790851228112226E-2</v>
      </c>
    </row>
    <row r="277" spans="1:4">
      <c r="A277" s="18">
        <v>43879</v>
      </c>
      <c r="B277" s="8">
        <v>-2.6812655387449718E-3</v>
      </c>
      <c r="C277" s="4">
        <v>104.57411082413635</v>
      </c>
      <c r="D277" s="4">
        <v>-5.8322526680081976E-2</v>
      </c>
    </row>
    <row r="278" spans="1:4">
      <c r="A278" s="18">
        <v>43880</v>
      </c>
      <c r="B278" s="8">
        <v>1.3672719895445693E-3</v>
      </c>
      <c r="C278" s="4">
        <v>104.71709207669772</v>
      </c>
      <c r="D278" s="4">
        <v>-5.7034997447626523E-2</v>
      </c>
    </row>
    <row r="279" spans="1:4">
      <c r="A279" s="18">
        <v>43881</v>
      </c>
      <c r="B279" s="8">
        <v>-3.3348198810985033E-3</v>
      </c>
      <c r="C279" s="4">
        <v>104.36787943614952</v>
      </c>
      <c r="D279" s="4">
        <v>-6.0179615885318394E-2</v>
      </c>
    </row>
    <row r="280" spans="1:4">
      <c r="A280" s="18">
        <v>43885</v>
      </c>
      <c r="B280" s="8">
        <v>-2.1676072430901534E-2</v>
      </c>
      <c r="C280" s="4">
        <v>102.10559372203194</v>
      </c>
      <c r="D280" s="4">
        <v>-8.055123060342595E-2</v>
      </c>
    </row>
    <row r="281" spans="1:4">
      <c r="A281" s="18">
        <v>43886</v>
      </c>
      <c r="B281" s="8">
        <v>-9.4683487187796726E-3</v>
      </c>
      <c r="C281" s="4">
        <v>101.1388223545337</v>
      </c>
      <c r="D281" s="4">
        <v>-8.9256892181125536E-2</v>
      </c>
    </row>
    <row r="282" spans="1:4">
      <c r="A282" s="18">
        <v>43887</v>
      </c>
      <c r="B282" s="8">
        <v>-2.2424334821166871E-2</v>
      </c>
      <c r="C282" s="4">
        <v>98.870851538637112</v>
      </c>
      <c r="D282" s="4">
        <v>-0.10967970056692611</v>
      </c>
    </row>
    <row r="283" spans="1:4">
      <c r="A283" s="18">
        <v>43888</v>
      </c>
      <c r="B283" s="8">
        <v>4.906940296928417E-3</v>
      </c>
      <c r="C283" s="4">
        <v>99.356004904243676</v>
      </c>
      <c r="D283" s="4">
        <v>-0.10531095201246465</v>
      </c>
    </row>
    <row r="284" spans="1:4">
      <c r="A284" s="18">
        <v>43889</v>
      </c>
      <c r="B284" s="8">
        <v>-2.6037564463347963E-2</v>
      </c>
      <c r="C284" s="4">
        <v>96.769016521728716</v>
      </c>
      <c r="D284" s="4">
        <v>-0.12860647577409146</v>
      </c>
    </row>
    <row r="285" spans="1:4">
      <c r="A285" s="18">
        <v>43892</v>
      </c>
      <c r="B285" s="8">
        <v>-6.6297283664857798E-3</v>
      </c>
      <c r="C285" s="4">
        <v>96.127464227897676</v>
      </c>
      <c r="D285" s="4">
        <v>-0.134383578140024</v>
      </c>
    </row>
    <row r="286" spans="1:4">
      <c r="A286" s="18">
        <v>43893</v>
      </c>
      <c r="B286" s="8">
        <v>2.0717868366768595E-2</v>
      </c>
      <c r="C286" s="4">
        <v>98.119020378202521</v>
      </c>
      <c r="D286" s="4">
        <v>-0.11644985105581585</v>
      </c>
    </row>
    <row r="287" spans="1:4">
      <c r="A287" s="18">
        <v>43894</v>
      </c>
      <c r="B287" s="8">
        <v>1.9793539581577165E-3</v>
      </c>
      <c r="C287" s="4">
        <v>98.313232649558671</v>
      </c>
      <c r="D287" s="4">
        <v>-0.11470099257127231</v>
      </c>
    </row>
    <row r="288" spans="1:4">
      <c r="A288" s="18">
        <v>43895</v>
      </c>
      <c r="B288" s="8">
        <v>-8.0020589249023711E-4</v>
      </c>
      <c r="C288" s="4">
        <v>98.234561821482728</v>
      </c>
      <c r="D288" s="4">
        <v>-0.11540941405363259</v>
      </c>
    </row>
    <row r="289" spans="1:4">
      <c r="A289" s="18">
        <v>43896</v>
      </c>
      <c r="B289" s="8">
        <v>-1.2842707084530662E-2</v>
      </c>
      <c r="C289" s="4">
        <v>96.972964118432216</v>
      </c>
      <c r="D289" s="4">
        <v>-0.12676995183867501</v>
      </c>
    </row>
    <row r="290" spans="1:4">
      <c r="A290" s="18">
        <v>43899</v>
      </c>
      <c r="B290" s="8">
        <v>-4.9452512461205675E-2</v>
      </c>
      <c r="C290" s="4">
        <v>92.177407401965397</v>
      </c>
      <c r="D290" s="4">
        <v>-0.16995337167687219</v>
      </c>
    </row>
    <row r="291" spans="1:4">
      <c r="A291" s="18">
        <v>43901</v>
      </c>
      <c r="B291" s="8">
        <v>-7.1628510738007412E-4</v>
      </c>
      <c r="C291" s="4">
        <v>92.111382097806455</v>
      </c>
      <c r="D291" s="4">
        <v>-0.17054792171517108</v>
      </c>
    </row>
    <row r="292" spans="1:4">
      <c r="A292" s="18">
        <v>43902</v>
      </c>
      <c r="B292" s="8">
        <v>-8.6438250552846693E-2</v>
      </c>
      <c r="C292" s="4">
        <v>84.149435373267266</v>
      </c>
      <c r="D292" s="4">
        <v>-0.24224430827953458</v>
      </c>
    </row>
    <row r="293" spans="1:4">
      <c r="A293" s="18">
        <v>43903</v>
      </c>
      <c r="B293" s="8">
        <v>4.1355378191151516E-2</v>
      </c>
      <c r="C293" s="4">
        <v>87.629467097700598</v>
      </c>
      <c r="D293" s="4">
        <v>-0.21090703507193709</v>
      </c>
    </row>
    <row r="294" spans="1:4">
      <c r="A294" s="18">
        <v>43906</v>
      </c>
      <c r="B294" s="8">
        <v>-6.9660887589630974E-2</v>
      </c>
      <c r="C294" s="4">
        <v>81.525120640668405</v>
      </c>
      <c r="D294" s="4">
        <v>-0.26587595139955955</v>
      </c>
    </row>
    <row r="295" spans="1:4">
      <c r="A295" s="18">
        <v>43907</v>
      </c>
      <c r="B295" s="8">
        <v>-5.1742467173438748E-3</v>
      </c>
      <c r="C295" s="4">
        <v>81.103289552812356</v>
      </c>
      <c r="D295" s="4">
        <v>-0.26967449034815361</v>
      </c>
    </row>
    <row r="296" spans="1:4">
      <c r="A296" s="18">
        <v>43908</v>
      </c>
      <c r="B296" s="8">
        <v>-3.7431208389338229E-2</v>
      </c>
      <c r="C296" s="4">
        <v>78.067495420500194</v>
      </c>
      <c r="D296" s="4">
        <v>-0.29701145669198159</v>
      </c>
    </row>
    <row r="297" spans="1:4">
      <c r="A297" s="18">
        <v>43909</v>
      </c>
      <c r="B297" s="8">
        <v>-3.1169737693169317E-2</v>
      </c>
      <c r="C297" s="4">
        <v>75.6341520658805</v>
      </c>
      <c r="D297" s="4">
        <v>-0.31892342518819572</v>
      </c>
    </row>
    <row r="298" spans="1:4">
      <c r="A298" s="18">
        <v>43910</v>
      </c>
      <c r="B298" s="8">
        <v>5.2258324563766965E-2</v>
      </c>
      <c r="C298" s="4">
        <v>79.586666132644581</v>
      </c>
      <c r="D298" s="4">
        <v>-0.28333150448890188</v>
      </c>
    </row>
    <row r="299" spans="1:4">
      <c r="A299" s="18">
        <v>43913</v>
      </c>
      <c r="B299" s="8">
        <v>-0.13270615204976902</v>
      </c>
      <c r="C299" s="4">
        <v>69.025025915711652</v>
      </c>
      <c r="D299" s="4">
        <v>-0.37843782282347682</v>
      </c>
    </row>
    <row r="300" spans="1:4">
      <c r="A300" s="18">
        <v>43914</v>
      </c>
      <c r="B300" s="8">
        <v>3.3151829218069515E-2</v>
      </c>
      <c r="C300" s="4">
        <v>71.313331786642138</v>
      </c>
      <c r="D300" s="4">
        <v>-0.35783189967730933</v>
      </c>
    </row>
    <row r="301" spans="1:4">
      <c r="A301" s="18">
        <v>43915</v>
      </c>
      <c r="B301" s="8">
        <v>7.5062669515533448E-2</v>
      </c>
      <c r="C301" s="4">
        <v>76.666300842594438</v>
      </c>
      <c r="D301" s="4">
        <v>-0.30962904778936928</v>
      </c>
    </row>
    <row r="302" spans="1:4">
      <c r="A302" s="18">
        <v>43916</v>
      </c>
      <c r="B302" s="8">
        <v>2.3843682732045506E-2</v>
      </c>
      <c r="C302" s="4">
        <v>78.494307796124801</v>
      </c>
      <c r="D302" s="4">
        <v>-0.29316806183743904</v>
      </c>
    </row>
    <row r="303" spans="1:4">
      <c r="A303" s="18">
        <v>43917</v>
      </c>
      <c r="B303" s="8">
        <v>-2.7200195581767268E-3</v>
      </c>
      <c r="C303" s="4">
        <v>78.280801743713795</v>
      </c>
      <c r="D303" s="4">
        <v>-0.29509065853358518</v>
      </c>
    </row>
    <row r="304" spans="1:4">
      <c r="A304" s="18">
        <v>43920</v>
      </c>
      <c r="B304" s="8">
        <v>-4.2633045504402625E-2</v>
      </c>
      <c r="C304" s="4">
        <v>74.943452760852921</v>
      </c>
      <c r="D304" s="4">
        <v>-0.32514309056480128</v>
      </c>
    </row>
    <row r="305" spans="1:4">
      <c r="A305" s="18">
        <v>43921</v>
      </c>
      <c r="B305" s="8">
        <v>3.3423473411460562E-2</v>
      </c>
      <c r="C305" s="4">
        <v>77.448323261568333</v>
      </c>
      <c r="D305" s="4">
        <v>-0.30258702859575359</v>
      </c>
    </row>
    <row r="306" spans="1:4">
      <c r="A306" s="18">
        <v>43922</v>
      </c>
      <c r="B306" s="8">
        <v>-3.3880411808143059E-2</v>
      </c>
      <c r="C306" s="4">
        <v>74.824342175616209</v>
      </c>
      <c r="D306" s="4">
        <v>-0.32621566726727014</v>
      </c>
    </row>
    <row r="307" spans="1:4">
      <c r="A307" s="18">
        <v>43924</v>
      </c>
      <c r="B307" s="8">
        <v>2.3456583535921122E-3</v>
      </c>
      <c r="C307" s="4">
        <v>74.999854518892477</v>
      </c>
      <c r="D307" s="4">
        <v>-0.32463519941867613</v>
      </c>
    </row>
    <row r="308" spans="1:4">
      <c r="A308" s="18">
        <v>43928</v>
      </c>
      <c r="B308" s="8">
        <v>8.8313612427650873E-2</v>
      </c>
      <c r="C308" s="4">
        <v>81.623362603004153</v>
      </c>
      <c r="D308" s="4">
        <v>-0.26499129417285938</v>
      </c>
    </row>
    <row r="309" spans="1:4">
      <c r="A309" s="18">
        <v>43929</v>
      </c>
      <c r="B309" s="8">
        <v>6.6573664592105269E-3</v>
      </c>
      <c r="C309" s="4">
        <v>82.166759239485359</v>
      </c>
      <c r="D309" s="4">
        <v>-0.26009807186745815</v>
      </c>
    </row>
    <row r="310" spans="1:4">
      <c r="A310" s="18">
        <v>43930</v>
      </c>
      <c r="B310" s="8">
        <v>4.6356710763973352E-2</v>
      </c>
      <c r="C310" s="4">
        <v>85.975739931963219</v>
      </c>
      <c r="D310" s="4">
        <v>-0.22579865219131168</v>
      </c>
    </row>
    <row r="311" spans="1:4">
      <c r="A311" s="18">
        <v>43934</v>
      </c>
      <c r="B311" s="8">
        <v>6.3563389010634318E-3</v>
      </c>
      <c r="C311" s="4">
        <v>86.52223087224047</v>
      </c>
      <c r="D311" s="4">
        <v>-0.2208775660469795</v>
      </c>
    </row>
    <row r="312" spans="1:4">
      <c r="A312" s="18">
        <v>43936</v>
      </c>
      <c r="B312" s="8">
        <v>-1.2173016780897963E-2</v>
      </c>
      <c r="C312" s="4">
        <v>85.468994303911956</v>
      </c>
      <c r="D312" s="4">
        <v>-0.23036183650986375</v>
      </c>
    </row>
    <row r="313" spans="1:4">
      <c r="A313" s="18">
        <v>43937</v>
      </c>
      <c r="B313" s="8">
        <v>1.2435423928383323E-2</v>
      </c>
      <c r="C313" s="4">
        <v>86.531837480813678</v>
      </c>
      <c r="D313" s="4">
        <v>-0.22079105967540158</v>
      </c>
    </row>
    <row r="314" spans="1:4">
      <c r="A314" s="18">
        <v>43938</v>
      </c>
      <c r="B314" s="8">
        <v>3.1360764593095038E-2</v>
      </c>
      <c r="C314" s="4">
        <v>89.245542065857435</v>
      </c>
      <c r="D314" s="4">
        <v>-0.19635447152904673</v>
      </c>
    </row>
    <row r="315" spans="1:4">
      <c r="A315" s="18">
        <v>43941</v>
      </c>
      <c r="B315" s="8">
        <v>1.0995625738727151E-3</v>
      </c>
      <c r="C315" s="4">
        <v>89.343673123798041</v>
      </c>
      <c r="D315" s="4">
        <v>-0.19547081298327984</v>
      </c>
    </row>
    <row r="316" spans="1:4">
      <c r="A316" s="18">
        <v>43942</v>
      </c>
      <c r="B316" s="8">
        <v>-3.1370400719947678E-2</v>
      </c>
      <c r="C316" s="4">
        <v>86.540926296112474</v>
      </c>
      <c r="D316" s="4">
        <v>-0.22070921597088811</v>
      </c>
    </row>
    <row r="317" spans="1:4">
      <c r="A317" s="18">
        <v>43943</v>
      </c>
      <c r="B317" s="8">
        <v>2.0903837385650315E-2</v>
      </c>
      <c r="C317" s="4">
        <v>88.349963746609959</v>
      </c>
      <c r="D317" s="4">
        <v>-0.20441904814540768</v>
      </c>
    </row>
    <row r="318" spans="1:4">
      <c r="A318" s="18">
        <v>43944</v>
      </c>
      <c r="B318" s="8">
        <v>9.6470412928165404E-3</v>
      </c>
      <c r="C318" s="4">
        <v>89.202279495092341</v>
      </c>
      <c r="D318" s="4">
        <v>-0.19674404585108818</v>
      </c>
    </row>
    <row r="319" spans="1:4">
      <c r="A319" s="18">
        <v>43945</v>
      </c>
      <c r="B319" s="8">
        <v>-1.847666345826417E-3</v>
      </c>
      <c r="C319" s="4">
        <v>89.037463445298258</v>
      </c>
      <c r="D319" s="4">
        <v>-0.19822819484465382</v>
      </c>
    </row>
    <row r="320" spans="1:4">
      <c r="A320" s="18">
        <v>43948</v>
      </c>
      <c r="B320" s="8">
        <v>4.8126991960226262E-3</v>
      </c>
      <c r="C320" s="4">
        <v>89.46597397403734</v>
      </c>
      <c r="D320" s="4">
        <v>-0.19436950832258904</v>
      </c>
    </row>
    <row r="321" spans="1:4">
      <c r="A321" s="18">
        <v>43949</v>
      </c>
      <c r="B321" s="8">
        <v>-4.2268865091305945E-3</v>
      </c>
      <c r="C321" s="4">
        <v>89.087811455620255</v>
      </c>
      <c r="D321" s="4">
        <v>-0.19777481697920452</v>
      </c>
    </row>
    <row r="322" spans="1:4">
      <c r="A322" s="18">
        <v>43950</v>
      </c>
      <c r="B322" s="8">
        <v>1.4993037404385196E-2</v>
      </c>
      <c r="C322" s="4">
        <v>90.423508345049186</v>
      </c>
      <c r="D322" s="4">
        <v>-0.18574702480343397</v>
      </c>
    </row>
    <row r="323" spans="1:4">
      <c r="A323" s="18">
        <v>43951</v>
      </c>
      <c r="B323" s="8">
        <v>2.7175587158058657E-2</v>
      </c>
      <c r="C323" s="4">
        <v>92.880820277217509</v>
      </c>
      <c r="D323" s="4">
        <v>-0.1636192221072712</v>
      </c>
    </row>
    <row r="324" spans="1:4">
      <c r="A324" s="18">
        <v>43955</v>
      </c>
      <c r="B324" s="8">
        <v>-4.7912743056846674E-2</v>
      </c>
      <c r="C324" s="4">
        <v>88.430645400366032</v>
      </c>
      <c r="D324" s="4">
        <v>-0.20369251941613109</v>
      </c>
    </row>
    <row r="325" spans="1:4">
      <c r="A325" s="18">
        <v>43956</v>
      </c>
      <c r="B325" s="8">
        <v>-7.0409079024925866E-3</v>
      </c>
      <c r="C325" s="4">
        <v>87.808013370344071</v>
      </c>
      <c r="D325" s="4">
        <v>-0.20929924704898806</v>
      </c>
    </row>
    <row r="326" spans="1:4">
      <c r="A326" s="18">
        <v>43957</v>
      </c>
      <c r="B326" s="8">
        <v>-4.2475624090331145E-3</v>
      </c>
      <c r="C326" s="4">
        <v>87.435043353540323</v>
      </c>
      <c r="D326" s="4">
        <v>-0.21265779784401684</v>
      </c>
    </row>
    <row r="327" spans="1:4">
      <c r="A327" s="18">
        <v>43958</v>
      </c>
      <c r="B327" s="8">
        <v>-7.7041668852791427E-3</v>
      </c>
      <c r="C327" s="4">
        <v>86.761429187923028</v>
      </c>
      <c r="D327" s="4">
        <v>-0.21872361356524983</v>
      </c>
    </row>
    <row r="328" spans="1:4">
      <c r="A328" s="18">
        <v>43959</v>
      </c>
      <c r="B328" s="8">
        <v>4.8490480639820036E-3</v>
      </c>
      <c r="C328" s="4">
        <v>87.182139528155034</v>
      </c>
      <c r="D328" s="4">
        <v>-0.21493516681617353</v>
      </c>
    </row>
    <row r="329" spans="1:4">
      <c r="A329" s="18">
        <v>43962</v>
      </c>
      <c r="B329" s="8">
        <v>1.4855250676657035E-2</v>
      </c>
      <c r="C329" s="4">
        <v>88.477252065373065</v>
      </c>
      <c r="D329" s="4">
        <v>-0.2032728319217999</v>
      </c>
    </row>
    <row r="330" spans="1:4">
      <c r="A330" s="18">
        <v>43963</v>
      </c>
      <c r="B330" s="8">
        <v>-5.3973930888828459E-3</v>
      </c>
      <c r="C330" s="4">
        <v>87.999705556552072</v>
      </c>
      <c r="D330" s="4">
        <v>-0.20757308163251043</v>
      </c>
    </row>
    <row r="331" spans="1:4">
      <c r="A331" s="18">
        <v>43964</v>
      </c>
      <c r="B331" s="8">
        <v>1.7043067265384255E-2</v>
      </c>
      <c r="C331" s="4">
        <v>89.499490457686406</v>
      </c>
      <c r="D331" s="4">
        <v>-0.19406769635987209</v>
      </c>
    </row>
    <row r="332" spans="1:4">
      <c r="A332" s="18">
        <v>43965</v>
      </c>
      <c r="B332" s="8">
        <v>-9.0002901701698827E-3</v>
      </c>
      <c r="C332" s="4">
        <v>88.69396907348488</v>
      </c>
      <c r="D332" s="4">
        <v>-0.20132132095014665</v>
      </c>
    </row>
    <row r="333" spans="1:4">
      <c r="A333" s="18">
        <v>43966</v>
      </c>
      <c r="B333" s="8">
        <v>-3.7202782870639287E-3</v>
      </c>
      <c r="C333" s="4">
        <v>88.364002826147271</v>
      </c>
      <c r="D333" s="4">
        <v>-0.20429262789815672</v>
      </c>
    </row>
    <row r="334" spans="1:4">
      <c r="A334" s="18">
        <v>43969</v>
      </c>
      <c r="B334" s="8">
        <v>-3.0687842503651683E-2</v>
      </c>
      <c r="C334" s="4">
        <v>85.652302224426236</v>
      </c>
      <c r="D334" s="4">
        <v>-0.22871117041221256</v>
      </c>
    </row>
    <row r="335" spans="1:4">
      <c r="A335" s="18">
        <v>43970</v>
      </c>
      <c r="B335" s="8">
        <v>1.3197706160882495E-4</v>
      </c>
      <c r="C335" s="4">
        <v>85.663606363593843</v>
      </c>
      <c r="D335" s="4">
        <v>-0.22860937797883196</v>
      </c>
    </row>
    <row r="336" spans="1:4">
      <c r="A336" s="18">
        <v>43971</v>
      </c>
      <c r="B336" s="8">
        <v>2.5259443813994212E-2</v>
      </c>
      <c r="C336" s="4">
        <v>87.827421415439147</v>
      </c>
      <c r="D336" s="4">
        <v>-0.20912447990324634</v>
      </c>
    </row>
    <row r="337" spans="1:4">
      <c r="A337" s="18">
        <v>43972</v>
      </c>
      <c r="B337" s="8">
        <v>1.5590894594466484E-2</v>
      </c>
      <c r="C337" s="4">
        <v>89.196729485231046</v>
      </c>
      <c r="D337" s="4">
        <v>-0.19679402303207394</v>
      </c>
    </row>
    <row r="338" spans="1:4">
      <c r="A338" s="18">
        <v>43973</v>
      </c>
      <c r="B338" s="8">
        <v>3.0767954713832018E-3</v>
      </c>
      <c r="C338" s="4">
        <v>89.471169578573409</v>
      </c>
      <c r="D338" s="4">
        <v>-0.19432272251955107</v>
      </c>
    </row>
    <row r="339" spans="1:4">
      <c r="A339" s="18">
        <v>43977</v>
      </c>
      <c r="B339" s="8">
        <v>1.4461676293655726E-3</v>
      </c>
      <c r="C339" s="4">
        <v>89.600559887779426</v>
      </c>
      <c r="D339" s="4">
        <v>-0.19315757812114343</v>
      </c>
    </row>
    <row r="340" spans="1:4">
      <c r="A340" s="18">
        <v>43978</v>
      </c>
      <c r="B340" s="8">
        <v>1.5766070530473814E-2</v>
      </c>
      <c r="C340" s="4">
        <v>91.013208634540106</v>
      </c>
      <c r="D340" s="4">
        <v>-0.1804368435908229</v>
      </c>
    </row>
    <row r="341" spans="1:4">
      <c r="A341" s="18">
        <v>43979</v>
      </c>
      <c r="B341" s="8">
        <v>2.9010809130866948E-2</v>
      </c>
      <c r="C341" s="4">
        <v>93.653575458624516</v>
      </c>
      <c r="D341" s="4">
        <v>-0.15666065328954548</v>
      </c>
    </row>
    <row r="342" spans="1:4">
      <c r="A342" s="18">
        <v>43980</v>
      </c>
      <c r="B342" s="8">
        <v>1.638647936557612E-2</v>
      </c>
      <c r="C342" s="4">
        <v>95.1882278403897</v>
      </c>
      <c r="D342" s="4">
        <v>-0.14284129048649608</v>
      </c>
    </row>
    <row r="343" spans="1:4">
      <c r="A343" s="18">
        <v>43983</v>
      </c>
      <c r="B343" s="8">
        <v>1.5977906967876036E-2</v>
      </c>
      <c r="C343" s="4">
        <v>96.70913648926043</v>
      </c>
      <c r="D343" s="4">
        <v>-0.12914568836918472</v>
      </c>
    </row>
    <row r="344" spans="1:4">
      <c r="A344" s="18">
        <v>43984</v>
      </c>
      <c r="B344" s="8">
        <v>4.7255195486748409E-3</v>
      </c>
      <c r="C344" s="4">
        <v>97.166137404275901</v>
      </c>
      <c r="D344" s="4">
        <v>-0.12503044929552543</v>
      </c>
    </row>
    <row r="345" spans="1:4">
      <c r="A345" s="18">
        <v>43985</v>
      </c>
      <c r="B345" s="8">
        <v>3.2888925831719212E-3</v>
      </c>
      <c r="C345" s="4">
        <v>97.485706392920292</v>
      </c>
      <c r="D345" s="4">
        <v>-0.12215276842971223</v>
      </c>
    </row>
    <row r="346" spans="1:4">
      <c r="A346" s="18">
        <v>43986</v>
      </c>
      <c r="B346" s="8">
        <v>7.7515432820388528E-3</v>
      </c>
      <c r="C346" s="4">
        <v>98.241371065405133</v>
      </c>
      <c r="D346" s="4">
        <v>-0.1153480976191773</v>
      </c>
    </row>
    <row r="347" spans="1:4">
      <c r="A347" s="18">
        <v>43987</v>
      </c>
      <c r="B347" s="8">
        <v>7.0528264574774499E-3</v>
      </c>
      <c r="C347" s="4">
        <v>98.934250406474078</v>
      </c>
      <c r="D347" s="4">
        <v>-0.1091088012764081</v>
      </c>
    </row>
    <row r="348" spans="1:4">
      <c r="A348" s="18">
        <v>43990</v>
      </c>
      <c r="B348" s="8">
        <v>-8.6217760444274477E-4</v>
      </c>
      <c r="C348" s="4">
        <v>98.84895151146128</v>
      </c>
      <c r="D348" s="4">
        <v>-0.10987690771594272</v>
      </c>
    </row>
    <row r="349" spans="1:4">
      <c r="A349" s="18">
        <v>43991</v>
      </c>
      <c r="B349" s="8">
        <v>-5.2123528630385677E-3</v>
      </c>
      <c r="C349" s="4">
        <v>98.33371589604215</v>
      </c>
      <c r="D349" s="4">
        <v>-0.11451654336446637</v>
      </c>
    </row>
    <row r="350" spans="1:4">
      <c r="A350" s="18">
        <v>43992</v>
      </c>
      <c r="B350" s="8">
        <v>3.4036891444693155E-3</v>
      </c>
      <c r="C350" s="4">
        <v>98.668413297372837</v>
      </c>
      <c r="D350" s="4">
        <v>-0.11150263293550877</v>
      </c>
    </row>
    <row r="351" spans="1:4">
      <c r="A351" s="18">
        <v>43993</v>
      </c>
      <c r="B351" s="8">
        <v>-2.9267902116940234E-2</v>
      </c>
      <c r="C351" s="4">
        <v>95.780595834951527</v>
      </c>
      <c r="D351" s="4">
        <v>-0.1375070869059114</v>
      </c>
    </row>
    <row r="352" spans="1:4">
      <c r="A352" s="18">
        <v>43994</v>
      </c>
      <c r="B352" s="8">
        <v>8.5918781288742418E-3</v>
      </c>
      <c r="C352" s="4">
        <v>96.603531041476401</v>
      </c>
      <c r="D352" s="4">
        <v>-0.13009665290958916</v>
      </c>
    </row>
    <row r="353" spans="1:4">
      <c r="A353" s="18">
        <v>43997</v>
      </c>
      <c r="B353" s="8">
        <v>-1.1131584007561613E-2</v>
      </c>
      <c r="C353" s="4">
        <v>95.528180720261119</v>
      </c>
      <c r="D353" s="4">
        <v>-0.13978005509618519</v>
      </c>
    </row>
    <row r="354" spans="1:4">
      <c r="A354" s="18">
        <v>43998</v>
      </c>
      <c r="B354" s="8">
        <v>3.9436762838565183E-3</v>
      </c>
      <c r="C354" s="4">
        <v>95.904912941007566</v>
      </c>
      <c r="D354" s="4">
        <v>-0.13638762610056765</v>
      </c>
    </row>
    <row r="355" spans="1:4">
      <c r="A355" s="18">
        <v>43999</v>
      </c>
      <c r="B355" s="8">
        <v>4.0027206619918237E-3</v>
      </c>
      <c r="C355" s="4">
        <v>96.288793517623077</v>
      </c>
      <c r="D355" s="4">
        <v>-0.1329308270076085</v>
      </c>
    </row>
    <row r="356" spans="1:4">
      <c r="A356" s="18">
        <v>44000</v>
      </c>
      <c r="B356" s="8">
        <v>1.1399051196857208E-2</v>
      </c>
      <c r="C356" s="4">
        <v>97.386394404614066</v>
      </c>
      <c r="D356" s="4">
        <v>-0.12304706111345165</v>
      </c>
    </row>
    <row r="357" spans="1:4">
      <c r="A357" s="18">
        <v>44001</v>
      </c>
      <c r="B357" s="8">
        <v>1.4842284379484426E-2</v>
      </c>
      <c r="C357" s="4">
        <v>98.831830965059979</v>
      </c>
      <c r="D357" s="4">
        <v>-0.11003107620707286</v>
      </c>
    </row>
    <row r="358" spans="1:4">
      <c r="A358" s="18">
        <v>44004</v>
      </c>
      <c r="B358" s="8">
        <v>1.7627049850675218E-3</v>
      </c>
      <c r="C358" s="4">
        <v>99.006042326185437</v>
      </c>
      <c r="D358" s="4">
        <v>-0.1084623235485479</v>
      </c>
    </row>
    <row r="359" spans="1:4">
      <c r="A359" s="18">
        <v>44005</v>
      </c>
      <c r="B359" s="8">
        <v>1.6841727745649029E-2</v>
      </c>
      <c r="C359" s="4">
        <v>100.67347513621725</v>
      </c>
      <c r="D359" s="4">
        <v>-9.3447288726764111E-2</v>
      </c>
    </row>
    <row r="360" spans="1:4">
      <c r="A360" s="18">
        <v>44006</v>
      </c>
      <c r="B360" s="8">
        <v>-9.5697820816597889E-3</v>
      </c>
      <c r="C360" s="4">
        <v>99.710051917760254</v>
      </c>
      <c r="D360" s="4">
        <v>-0.10212280061918688</v>
      </c>
    </row>
    <row r="361" spans="1:4">
      <c r="A361" s="18">
        <v>44007</v>
      </c>
      <c r="B361" s="8">
        <v>-5.9452123208164577E-4</v>
      </c>
      <c r="C361" s="4">
        <v>99.650772174843183</v>
      </c>
      <c r="D361" s="4">
        <v>-0.10265660767802076</v>
      </c>
    </row>
    <row r="362" spans="1:4">
      <c r="A362" s="18">
        <v>44008</v>
      </c>
      <c r="B362" s="8">
        <v>1.2507093605265222E-2</v>
      </c>
      <c r="C362" s="4">
        <v>100.8971137102709</v>
      </c>
      <c r="D362" s="4">
        <v>-9.1433449874183559E-2</v>
      </c>
    </row>
    <row r="363" spans="1:4">
      <c r="A363" s="18">
        <v>44011</v>
      </c>
      <c r="B363" s="8">
        <v>-8.840364538878244E-3</v>
      </c>
      <c r="C363" s="4">
        <v>100.00514644415145</v>
      </c>
      <c r="D363" s="4">
        <v>-9.9465509385126882E-2</v>
      </c>
    </row>
    <row r="364" spans="1:4">
      <c r="A364" s="18">
        <v>44012</v>
      </c>
      <c r="B364" s="8">
        <v>5.7039464811209036E-4</v>
      </c>
      <c r="C364" s="4">
        <v>100.06218884446686</v>
      </c>
      <c r="D364" s="4">
        <v>-9.8951849331239794E-2</v>
      </c>
    </row>
    <row r="365" spans="1:4">
      <c r="A365" s="18">
        <v>44013</v>
      </c>
      <c r="B365" s="8">
        <v>5.6361087940555096E-4</v>
      </c>
      <c r="C365" s="4">
        <v>100.11858498271674</v>
      </c>
      <c r="D365" s="4">
        <v>-9.8444008790654514E-2</v>
      </c>
    </row>
    <row r="366" spans="1:4">
      <c r="A366" s="18">
        <v>44014</v>
      </c>
      <c r="B366" s="8">
        <v>1.9380655615115424E-2</v>
      </c>
      <c r="C366" s="4">
        <v>102.05894879893944</v>
      </c>
      <c r="D366" s="4">
        <v>-8.0971262607282157E-2</v>
      </c>
    </row>
    <row r="367" spans="1:4">
      <c r="A367" s="18">
        <v>44015</v>
      </c>
      <c r="B367" s="8">
        <v>5.3517953000239375E-3</v>
      </c>
      <c r="C367" s="4">
        <v>102.60514740144698</v>
      </c>
      <c r="D367" s="4">
        <v>-7.6052808929916949E-2</v>
      </c>
    </row>
    <row r="368" spans="1:4">
      <c r="A368" s="18">
        <v>44018</v>
      </c>
      <c r="B368" s="8">
        <v>1.9211765143834977E-2</v>
      </c>
      <c r="C368" s="4">
        <v>104.57637339587217</v>
      </c>
      <c r="D368" s="4">
        <v>-5.830215248977233E-2</v>
      </c>
    </row>
    <row r="369" spans="1:4">
      <c r="A369" s="18">
        <v>44019</v>
      </c>
      <c r="B369" s="8">
        <v>8.8306920611361511E-4</v>
      </c>
      <c r="C369" s="4">
        <v>104.66872157090511</v>
      </c>
      <c r="D369" s="4">
        <v>-5.7470568119172505E-2</v>
      </c>
    </row>
    <row r="370" spans="1:4">
      <c r="A370" s="18">
        <v>44020</v>
      </c>
      <c r="B370" s="8">
        <v>-9.7554317814112154E-3</v>
      </c>
      <c r="C370" s="4">
        <v>103.64763299797261</v>
      </c>
      <c r="D370" s="4">
        <v>-6.6665349693858289E-2</v>
      </c>
    </row>
    <row r="371" spans="1:4">
      <c r="A371" s="18">
        <v>44021</v>
      </c>
      <c r="B371" s="8">
        <v>1.9104131418518355E-3</v>
      </c>
      <c r="C371" s="4">
        <v>103.84564279817378</v>
      </c>
      <c r="D371" s="4">
        <v>-6.4882294912167682E-2</v>
      </c>
    </row>
    <row r="372" spans="1:4">
      <c r="A372" s="18">
        <v>44022</v>
      </c>
      <c r="B372" s="8">
        <v>2.2665497352082711E-3</v>
      </c>
      <c r="C372" s="4">
        <v>104.08101411236052</v>
      </c>
      <c r="D372" s="4">
        <v>-6.276280412531221E-2</v>
      </c>
    </row>
    <row r="373" spans="1:4">
      <c r="A373" s="18">
        <v>44025</v>
      </c>
      <c r="B373" s="8">
        <v>7.130377989676669E-3</v>
      </c>
      <c r="C373" s="4">
        <v>104.82315108453054</v>
      </c>
      <c r="D373" s="4">
        <v>-5.6079948652740907E-2</v>
      </c>
    </row>
    <row r="374" spans="1:4">
      <c r="A374" s="18">
        <v>44026</v>
      </c>
      <c r="B374" s="8">
        <v>-1.9299652372599486E-2</v>
      </c>
      <c r="C374" s="4">
        <v>102.80010070799862</v>
      </c>
      <c r="D374" s="4">
        <v>-7.4297277511269244E-2</v>
      </c>
    </row>
    <row r="375" spans="1:4">
      <c r="A375" s="18">
        <v>44027</v>
      </c>
      <c r="B375" s="8">
        <v>5.3768530360484516E-3</v>
      </c>
      <c r="C375" s="4">
        <v>103.35284174159652</v>
      </c>
      <c r="D375" s="4">
        <v>-6.9319910017377362E-2</v>
      </c>
    </row>
    <row r="376" spans="1:4">
      <c r="A376" s="18">
        <v>44028</v>
      </c>
      <c r="B376" s="8">
        <v>1.2793596457876725E-2</v>
      </c>
      <c r="C376" s="4">
        <v>104.6750962916133</v>
      </c>
      <c r="D376" s="4">
        <v>-5.7413164514759307E-2</v>
      </c>
    </row>
    <row r="377" spans="1:4">
      <c r="A377" s="18">
        <v>44029</v>
      </c>
      <c r="B377" s="8">
        <v>8.8276252636492209E-3</v>
      </c>
      <c r="C377" s="4">
        <v>105.59912881611206</v>
      </c>
      <c r="D377" s="4">
        <v>-4.9092361152646702E-2</v>
      </c>
    </row>
    <row r="378" spans="1:4">
      <c r="A378" s="18">
        <v>44032</v>
      </c>
      <c r="B378" s="8">
        <v>-3.3907932171253615E-3</v>
      </c>
      <c r="C378" s="4">
        <v>105.24106400638804</v>
      </c>
      <c r="D378" s="4">
        <v>-5.231669232456293E-2</v>
      </c>
    </row>
    <row r="379" spans="1:4">
      <c r="A379" s="18">
        <v>44033</v>
      </c>
      <c r="B379" s="8">
        <v>1.5127471564983685E-2</v>
      </c>
      <c r="C379" s="4">
        <v>106.8330952096133</v>
      </c>
      <c r="D379" s="4">
        <v>-3.798064003509305E-2</v>
      </c>
    </row>
    <row r="380" spans="1:4">
      <c r="A380" s="18">
        <v>44034</v>
      </c>
      <c r="B380" s="8">
        <v>-8.4533733099243415E-3</v>
      </c>
      <c r="C380" s="4">
        <v>105.92999517395175</v>
      </c>
      <c r="D380" s="4">
        <v>-4.6112948816250943E-2</v>
      </c>
    </row>
    <row r="381" spans="1:4">
      <c r="A381" s="18">
        <v>44035</v>
      </c>
      <c r="B381" s="8">
        <v>5.3781336723164527E-3</v>
      </c>
      <c r="C381" s="4">
        <v>106.4997008479051</v>
      </c>
      <c r="D381" s="4">
        <v>-4.0982816746692907E-2</v>
      </c>
    </row>
    <row r="382" spans="1:4">
      <c r="A382" s="18">
        <v>44036</v>
      </c>
      <c r="B382" s="8">
        <v>3.4273347303229152E-3</v>
      </c>
      <c r="C382" s="4">
        <v>106.86471097139012</v>
      </c>
      <c r="D382" s="4">
        <v>-3.7695943847552482E-2</v>
      </c>
    </row>
    <row r="383" spans="1:4">
      <c r="A383" s="18">
        <v>44039</v>
      </c>
      <c r="B383" s="8">
        <v>-8.9917436623282421E-4</v>
      </c>
      <c r="C383" s="4">
        <v>106.76862096262978</v>
      </c>
      <c r="D383" s="4">
        <v>-3.8561222987366528E-2</v>
      </c>
    </row>
    <row r="384" spans="1:4">
      <c r="A384" s="18">
        <v>44040</v>
      </c>
      <c r="B384" s="8">
        <v>1.878820383836223E-2</v>
      </c>
      <c r="C384" s="4">
        <v>108.7746115768165</v>
      </c>
      <c r="D384" s="4">
        <v>-2.049751526674759E-2</v>
      </c>
    </row>
    <row r="385" spans="1:4">
      <c r="A385" s="18">
        <v>44041</v>
      </c>
      <c r="B385" s="8">
        <v>-5.6846102942271735E-3</v>
      </c>
      <c r="C385" s="4">
        <v>108.15627030009637</v>
      </c>
      <c r="D385" s="4">
        <v>-2.606560517468326E-2</v>
      </c>
    </row>
    <row r="386" spans="1:4">
      <c r="A386" s="18">
        <v>44042</v>
      </c>
      <c r="B386" s="8">
        <v>3.905853264259906E-3</v>
      </c>
      <c r="C386" s="4">
        <v>108.57871282149819</v>
      </c>
      <c r="D386" s="4">
        <v>-2.226156033947968E-2</v>
      </c>
    </row>
    <row r="387" spans="1:4">
      <c r="A387" s="18">
        <v>44043</v>
      </c>
      <c r="B387" s="8">
        <v>4.5095105116592883E-3</v>
      </c>
      <c r="C387" s="4">
        <v>109.06834966830917</v>
      </c>
      <c r="D387" s="4">
        <v>-1.7852438568177198E-2</v>
      </c>
    </row>
    <row r="388" spans="1:4">
      <c r="A388" s="18">
        <v>44046</v>
      </c>
      <c r="B388" s="8">
        <v>-1.4292314281263265E-2</v>
      </c>
      <c r="C388" s="4">
        <v>107.50951053671098</v>
      </c>
      <c r="D388" s="4">
        <v>-3.1889600186737144E-2</v>
      </c>
    </row>
    <row r="389" spans="1:4">
      <c r="A389" s="18">
        <v>44047</v>
      </c>
      <c r="B389" s="8">
        <v>2.224764032151659E-2</v>
      </c>
      <c r="C389" s="4">
        <v>109.90134345827403</v>
      </c>
      <c r="D389" s="4">
        <v>-1.0351428220171988E-2</v>
      </c>
    </row>
    <row r="390" spans="1:4">
      <c r="A390" s="18">
        <v>44048</v>
      </c>
      <c r="B390" s="8">
        <v>4.2527983679703958E-3</v>
      </c>
      <c r="C390" s="4">
        <v>110.36873171237112</v>
      </c>
      <c r="D390" s="4">
        <v>-6.1426523892426088E-3</v>
      </c>
    </row>
    <row r="391" spans="1:4">
      <c r="A391" s="18">
        <v>44049</v>
      </c>
      <c r="B391" s="8">
        <v>7.8270640625106407E-3</v>
      </c>
      <c r="C391" s="4">
        <v>111.23259484598189</v>
      </c>
      <c r="D391" s="4">
        <v>0</v>
      </c>
    </row>
    <row r="392" spans="1:4">
      <c r="A392" s="18">
        <v>44050</v>
      </c>
      <c r="B392" s="8">
        <v>-4.8572045863506811E-4</v>
      </c>
      <c r="C392" s="4">
        <v>111.17856689899814</v>
      </c>
      <c r="D392" s="4">
        <v>-4.8572045863504165E-4</v>
      </c>
    </row>
    <row r="393" spans="1:4">
      <c r="A393" s="18">
        <v>44053</v>
      </c>
      <c r="B393" s="8">
        <v>1.2306790816111832E-2</v>
      </c>
      <c r="C393" s="4">
        <v>112.54681826505922</v>
      </c>
      <c r="D393" s="4">
        <v>0</v>
      </c>
    </row>
    <row r="394" spans="1:4">
      <c r="A394" s="18">
        <v>44054</v>
      </c>
      <c r="B394" s="8">
        <v>4.1571766064621247E-3</v>
      </c>
      <c r="C394" s="4">
        <v>113.01469526508247</v>
      </c>
      <c r="D394" s="4">
        <v>0</v>
      </c>
    </row>
    <row r="395" spans="1:4">
      <c r="A395" s="18">
        <v>44055</v>
      </c>
      <c r="B395" s="8">
        <v>-2.9865725698771071E-3</v>
      </c>
      <c r="C395" s="4">
        <v>112.67716867621075</v>
      </c>
      <c r="D395" s="4">
        <v>-2.9865725698771106E-3</v>
      </c>
    </row>
    <row r="396" spans="1:4">
      <c r="A396" s="18">
        <v>44056</v>
      </c>
      <c r="B396" s="8">
        <v>4.8375026343813526E-3</v>
      </c>
      <c r="C396" s="4">
        <v>113.22224477651656</v>
      </c>
      <c r="D396" s="4">
        <v>0</v>
      </c>
    </row>
    <row r="397" spans="1:4">
      <c r="A397" s="18">
        <v>44057</v>
      </c>
      <c r="B397" s="8">
        <v>-7.245013262704208E-3</v>
      </c>
      <c r="C397" s="4">
        <v>112.40194811147755</v>
      </c>
      <c r="D397" s="4">
        <v>-7.2450132627042141E-3</v>
      </c>
    </row>
    <row r="398" spans="1:4">
      <c r="A398" s="18">
        <v>44060</v>
      </c>
      <c r="B398" s="8">
        <v>8.3883347501410247E-3</v>
      </c>
      <c r="C398" s="4">
        <v>113.34481327880461</v>
      </c>
      <c r="D398" s="4">
        <v>0</v>
      </c>
    </row>
    <row r="399" spans="1:4">
      <c r="A399" s="18">
        <v>44061</v>
      </c>
      <c r="B399" s="8">
        <v>8.4554057053635705E-3</v>
      </c>
      <c r="C399" s="4">
        <v>114.30318965967558</v>
      </c>
      <c r="D399" s="4">
        <v>0</v>
      </c>
    </row>
    <row r="400" spans="1:4">
      <c r="A400" s="18">
        <v>44062</v>
      </c>
      <c r="B400" s="8">
        <v>3.9636992829995233E-3</v>
      </c>
      <c r="C400" s="4">
        <v>114.75625313057418</v>
      </c>
      <c r="D400" s="4">
        <v>0</v>
      </c>
    </row>
    <row r="401" spans="1:4">
      <c r="A401" s="18">
        <v>44063</v>
      </c>
      <c r="B401" s="8">
        <v>-8.1430818126797255E-3</v>
      </c>
      <c r="C401" s="4">
        <v>113.82178357281532</v>
      </c>
      <c r="D401" s="4">
        <v>-8.1430818126798643E-3</v>
      </c>
    </row>
    <row r="402" spans="1:4">
      <c r="A402" s="18">
        <v>44064</v>
      </c>
      <c r="B402" s="8">
        <v>3.1813382344586293E-3</v>
      </c>
      <c r="C402" s="4">
        <v>114.18388916480978</v>
      </c>
      <c r="D402" s="4">
        <v>-4.987649475738265E-3</v>
      </c>
    </row>
    <row r="403" spans="1:4">
      <c r="A403" s="18">
        <v>44067</v>
      </c>
      <c r="B403" s="8">
        <v>5.622807252260404E-3</v>
      </c>
      <c r="C403" s="4">
        <v>114.82592316489698</v>
      </c>
      <c r="D403" s="4">
        <v>0</v>
      </c>
    </row>
    <row r="404" spans="1:4">
      <c r="A404" s="18">
        <v>44068</v>
      </c>
      <c r="B404" s="8">
        <v>-6.0319667461040888E-3</v>
      </c>
      <c r="C404" s="4">
        <v>114.13329701477562</v>
      </c>
      <c r="D404" s="4">
        <v>-6.0319667461040671E-3</v>
      </c>
    </row>
    <row r="405" spans="1:4">
      <c r="A405" s="18">
        <v>44069</v>
      </c>
      <c r="B405" s="8">
        <v>-3.8655188147880526E-4</v>
      </c>
      <c r="C405" s="4">
        <v>114.08917857407518</v>
      </c>
      <c r="D405" s="4">
        <v>-6.4161869594882015E-3</v>
      </c>
    </row>
    <row r="406" spans="1:4">
      <c r="A406" s="18">
        <v>44070</v>
      </c>
      <c r="B406" s="8">
        <v>3.0255856651430465E-3</v>
      </c>
      <c r="C406" s="4">
        <v>114.43436515731685</v>
      </c>
      <c r="D406" s="4">
        <v>-3.4100140176346327E-3</v>
      </c>
    </row>
    <row r="407" spans="1:4">
      <c r="A407" s="18">
        <v>44071</v>
      </c>
      <c r="B407" s="8">
        <v>7.702829253103595E-3</v>
      </c>
      <c r="C407" s="4">
        <v>115.31583353281097</v>
      </c>
      <c r="D407" s="4">
        <v>0</v>
      </c>
    </row>
    <row r="408" spans="1:4">
      <c r="A408" s="18">
        <v>44074</v>
      </c>
      <c r="B408" s="8">
        <v>-2.8080263562295614E-2</v>
      </c>
      <c r="C408" s="4">
        <v>112.07773453430383</v>
      </c>
      <c r="D408" s="4">
        <v>-2.8080263562295649E-2</v>
      </c>
    </row>
    <row r="409" spans="1:4">
      <c r="A409" s="18">
        <v>44075</v>
      </c>
      <c r="B409" s="8">
        <v>3.3753201665365075E-3</v>
      </c>
      <c r="C409" s="4">
        <v>112.45603277189718</v>
      </c>
      <c r="D409" s="4">
        <v>-2.4799723275642616E-2</v>
      </c>
    </row>
    <row r="410" spans="1:4">
      <c r="A410" s="18">
        <v>44076</v>
      </c>
      <c r="B410" s="8">
        <v>3.5908378306830782E-3</v>
      </c>
      <c r="C410" s="4">
        <v>112.85984414866304</v>
      </c>
      <c r="D410" s="4">
        <v>-2.1297937229488251E-2</v>
      </c>
    </row>
    <row r="411" spans="1:4">
      <c r="A411" s="18">
        <v>44077</v>
      </c>
      <c r="B411" s="8">
        <v>9.3681642692338609E-3</v>
      </c>
      <c r="C411" s="4">
        <v>113.91713370804784</v>
      </c>
      <c r="D411" s="4">
        <v>-1.212929553481612E-2</v>
      </c>
    </row>
    <row r="412" spans="1:4">
      <c r="A412" s="18">
        <v>44078</v>
      </c>
      <c r="B412" s="8">
        <v>-1.0656734835893323E-2</v>
      </c>
      <c r="C412" s="4">
        <v>112.70314902085617</v>
      </c>
      <c r="D412" s="4">
        <v>-2.2656771684448795E-2</v>
      </c>
    </row>
    <row r="413" spans="1:4">
      <c r="A413" s="18">
        <v>44081</v>
      </c>
      <c r="B413" s="8">
        <v>1.4147803808604465E-3</v>
      </c>
      <c r="C413" s="4">
        <v>112.86259922495206</v>
      </c>
      <c r="D413" s="4">
        <v>-2.1274045659661178E-2</v>
      </c>
    </row>
    <row r="414" spans="1:4">
      <c r="A414" s="18">
        <v>44082</v>
      </c>
      <c r="B414" s="8">
        <v>-2.8898882021694285E-3</v>
      </c>
      <c r="C414" s="4">
        <v>112.5364389309857</v>
      </c>
      <c r="D414" s="4">
        <v>-2.4102454248266292E-2</v>
      </c>
    </row>
    <row r="415" spans="1:4">
      <c r="A415" s="18">
        <v>44083</v>
      </c>
      <c r="B415" s="8">
        <v>-1.0948489744518708E-3</v>
      </c>
      <c r="C415" s="4">
        <v>112.41322852623364</v>
      </c>
      <c r="D415" s="4">
        <v>-2.5170914675402778E-2</v>
      </c>
    </row>
    <row r="416" spans="1:4">
      <c r="A416" s="18">
        <v>44084</v>
      </c>
      <c r="B416" s="8">
        <v>1.2865817676044727E-2</v>
      </c>
      <c r="C416" s="4">
        <v>113.85951662882772</v>
      </c>
      <c r="D416" s="4">
        <v>-1.2628941398310944E-2</v>
      </c>
    </row>
    <row r="417" spans="1:4">
      <c r="A417" s="18">
        <v>44085</v>
      </c>
      <c r="B417" s="8">
        <v>-1.2869090706500266E-3</v>
      </c>
      <c r="C417" s="4">
        <v>113.71298978409826</v>
      </c>
      <c r="D417" s="4">
        <v>-1.3899598169722749E-2</v>
      </c>
    </row>
    <row r="418" spans="1:4">
      <c r="A418" s="18">
        <v>44088</v>
      </c>
      <c r="B418" s="8">
        <v>-3.3203347577720524E-3</v>
      </c>
      <c r="C418" s="4">
        <v>113.33542459170793</v>
      </c>
      <c r="D418" s="4">
        <v>-1.7173781608572858E-2</v>
      </c>
    </row>
    <row r="419" spans="1:4">
      <c r="A419" s="18">
        <v>44089</v>
      </c>
      <c r="B419" s="8">
        <v>4.293782199327625E-3</v>
      </c>
      <c r="C419" s="4">
        <v>113.82206222037306</v>
      </c>
      <c r="D419" s="4">
        <v>-1.2953739887011206E-2</v>
      </c>
    </row>
    <row r="420" spans="1:4">
      <c r="A420" s="18">
        <v>44090</v>
      </c>
      <c r="B420" s="8">
        <v>9.7724369749926307E-3</v>
      </c>
      <c r="C420" s="4">
        <v>114.93438114978532</v>
      </c>
      <c r="D420" s="4">
        <v>-3.3078925186549313E-3</v>
      </c>
    </row>
    <row r="421" spans="1:4">
      <c r="A421" s="18">
        <v>44091</v>
      </c>
      <c r="B421" s="8">
        <v>-8.1686043785196127E-3</v>
      </c>
      <c r="C421" s="4">
        <v>113.99552766068274</v>
      </c>
      <c r="D421" s="4">
        <v>-1.1449476031863082E-2</v>
      </c>
    </row>
    <row r="422" spans="1:4">
      <c r="A422" s="18">
        <v>44092</v>
      </c>
      <c r="B422" s="8">
        <v>-3.5195446078320385E-3</v>
      </c>
      <c r="C422" s="4">
        <v>113.59431531598761</v>
      </c>
      <c r="D422" s="4">
        <v>-1.4928723698064639E-2</v>
      </c>
    </row>
    <row r="423" spans="1:4">
      <c r="A423" s="18">
        <v>44095</v>
      </c>
      <c r="B423" s="8">
        <v>-2.2897476403303432E-2</v>
      </c>
      <c r="C423" s="4">
        <v>110.99329216149037</v>
      </c>
      <c r="D423" s="4">
        <v>-3.7484370002760281E-2</v>
      </c>
    </row>
    <row r="424" spans="1:4">
      <c r="A424" s="18">
        <v>44096</v>
      </c>
      <c r="B424" s="8">
        <v>-1.1970277825283137E-2</v>
      </c>
      <c r="C424" s="4">
        <v>109.66467161757451</v>
      </c>
      <c r="D424" s="4">
        <v>-4.9005949505004698E-2</v>
      </c>
    </row>
    <row r="425" spans="1:4">
      <c r="A425" s="18">
        <v>44097</v>
      </c>
      <c r="B425" s="8">
        <v>1.279102963199664E-3</v>
      </c>
      <c r="C425" s="4">
        <v>109.80494402399889</v>
      </c>
      <c r="D425" s="4">
        <v>-4.7789530197031138E-2</v>
      </c>
    </row>
    <row r="426" spans="1:4">
      <c r="A426" s="18">
        <v>44098</v>
      </c>
      <c r="B426" s="8">
        <v>-2.8886969452472253E-2</v>
      </c>
      <c r="C426" s="4">
        <v>106.6330119602472</v>
      </c>
      <c r="D426" s="4">
        <v>-7.5296004950553774E-2</v>
      </c>
    </row>
    <row r="427" spans="1:4">
      <c r="A427" s="18">
        <v>44099</v>
      </c>
      <c r="B427" s="8">
        <v>2.7105429348385598E-2</v>
      </c>
      <c r="C427" s="4">
        <v>109.52334553214125</v>
      </c>
      <c r="D427" s="4">
        <v>-5.0231506144570948E-2</v>
      </c>
    </row>
    <row r="428" spans="1:4">
      <c r="A428" s="18">
        <v>44102</v>
      </c>
      <c r="B428" s="8">
        <v>1.8324371820111287E-2</v>
      </c>
      <c r="C428" s="4">
        <v>111.53029203865474</v>
      </c>
      <c r="D428" s="4">
        <v>-3.2827595120136999E-2</v>
      </c>
    </row>
    <row r="429" spans="1:4">
      <c r="A429" s="18">
        <v>44103</v>
      </c>
      <c r="B429" s="8">
        <v>8.6284382432754944E-4</v>
      </c>
      <c r="C429" s="4">
        <v>111.62652526236573</v>
      </c>
      <c r="D429" s="4">
        <v>-3.1993076383526442E-2</v>
      </c>
    </row>
    <row r="430" spans="1:4">
      <c r="A430" s="18">
        <v>44104</v>
      </c>
      <c r="B430" s="8">
        <v>1.403631433016157E-3</v>
      </c>
      <c r="C430" s="4">
        <v>111.78320776198235</v>
      </c>
      <c r="D430" s="4">
        <v>-3.0634351438161178E-2</v>
      </c>
    </row>
    <row r="431" spans="1:4">
      <c r="A431" s="18">
        <v>44105</v>
      </c>
      <c r="B431" s="8">
        <v>6.6338253873676088E-3</v>
      </c>
      <c r="C431" s="4">
        <v>112.52475804351519</v>
      </c>
      <c r="D431" s="4">
        <v>-2.4203748989089391E-2</v>
      </c>
    </row>
    <row r="432" spans="1:4">
      <c r="A432" s="18">
        <v>44109</v>
      </c>
      <c r="B432" s="8">
        <v>1.2088719871187382E-2</v>
      </c>
      <c r="C432" s="4">
        <v>113.8850383220764</v>
      </c>
      <c r="D432" s="4">
        <v>-1.2407621459263551E-2</v>
      </c>
    </row>
    <row r="433" spans="1:4">
      <c r="A433" s="18">
        <v>44110</v>
      </c>
      <c r="B433" s="8">
        <v>3.591854876107972E-3</v>
      </c>
      <c r="C433" s="4">
        <v>114.2940968522893</v>
      </c>
      <c r="D433" s="4">
        <v>-8.8603329587948476E-3</v>
      </c>
    </row>
    <row r="434" spans="1:4">
      <c r="A434" s="18">
        <v>44111</v>
      </c>
      <c r="B434" s="8">
        <v>5.8929361533023202E-3</v>
      </c>
      <c r="C434" s="4">
        <v>114.96762466773919</v>
      </c>
      <c r="D434" s="4">
        <v>-3.0196101819157661E-3</v>
      </c>
    </row>
    <row r="435" spans="1:4">
      <c r="A435" s="18">
        <v>44112</v>
      </c>
      <c r="B435" s="8">
        <v>7.7705337683340722E-3</v>
      </c>
      <c r="C435" s="4">
        <v>115.860984477485</v>
      </c>
      <c r="D435" s="4">
        <v>0</v>
      </c>
    </row>
    <row r="436" spans="1:4">
      <c r="A436" s="18">
        <v>44113</v>
      </c>
      <c r="B436" s="8">
        <v>5.6662959566510379E-3</v>
      </c>
      <c r="C436" s="4">
        <v>116.5174871053634</v>
      </c>
      <c r="D436" s="4">
        <v>0</v>
      </c>
    </row>
    <row r="437" spans="1:4">
      <c r="A437" s="18">
        <v>44116</v>
      </c>
      <c r="B437" s="8">
        <v>5.3943339505113201E-3</v>
      </c>
      <c r="C437" s="4">
        <v>117.14602134188414</v>
      </c>
      <c r="D437" s="4">
        <v>0</v>
      </c>
    </row>
    <row r="438" spans="1:4">
      <c r="A438" s="18">
        <v>44117</v>
      </c>
      <c r="B438" s="8">
        <v>-5.6257496498938152E-3</v>
      </c>
      <c r="C438" s="4">
        <v>116.48698715333357</v>
      </c>
      <c r="D438" s="4">
        <v>-5.6257496498938186E-3</v>
      </c>
    </row>
    <row r="439" spans="1:4">
      <c r="A439" s="18">
        <v>44118</v>
      </c>
      <c r="B439" s="8">
        <v>1.344502899549837E-3</v>
      </c>
      <c r="C439" s="4">
        <v>116.64360424532104</v>
      </c>
      <c r="D439" s="4">
        <v>-4.2888105870605431E-3</v>
      </c>
    </row>
    <row r="440" spans="1:4">
      <c r="A440" s="18">
        <v>44119</v>
      </c>
      <c r="B440" s="8">
        <v>-2.5071504536276046E-2</v>
      </c>
      <c r="C440" s="4">
        <v>113.7191735923569</v>
      </c>
      <c r="D440" s="4">
        <v>-2.9252788189247814E-2</v>
      </c>
    </row>
    <row r="441" spans="1:4">
      <c r="A441" s="18">
        <v>44120</v>
      </c>
      <c r="B441" s="8">
        <v>2.8682456301737502E-3</v>
      </c>
      <c r="C441" s="4">
        <v>114.04534811508016</v>
      </c>
      <c r="D441" s="4">
        <v>-2.6468446740968155E-2</v>
      </c>
    </row>
    <row r="442" spans="1:4">
      <c r="A442" s="18">
        <v>44123</v>
      </c>
      <c r="B442" s="8">
        <v>-4.7136269074721476E-4</v>
      </c>
      <c r="C442" s="4">
        <v>113.99159139292543</v>
      </c>
      <c r="D442" s="4">
        <v>-2.6927333193439651E-2</v>
      </c>
    </row>
    <row r="443" spans="1:4">
      <c r="A443" s="18">
        <v>44124</v>
      </c>
      <c r="B443" s="8">
        <v>5.2087965765871156E-3</v>
      </c>
      <c r="C443" s="4">
        <v>114.58535040393261</v>
      </c>
      <c r="D443" s="4">
        <v>-2.1858795617807236E-2</v>
      </c>
    </row>
    <row r="444" spans="1:4">
      <c r="A444" s="18">
        <v>44125</v>
      </c>
      <c r="B444" s="8">
        <v>1.6232911770563251E-3</v>
      </c>
      <c r="C444" s="4">
        <v>114.77135579226322</v>
      </c>
      <c r="D444" s="4">
        <v>-2.027098763081836E-2</v>
      </c>
    </row>
    <row r="445" spans="1:4">
      <c r="A445" s="18">
        <v>44126</v>
      </c>
      <c r="B445" s="8">
        <v>-3.3057342820125486E-3</v>
      </c>
      <c r="C445" s="4">
        <v>114.39195218682768</v>
      </c>
      <c r="D445" s="4">
        <v>-2.3509711414089418E-2</v>
      </c>
    </row>
    <row r="446" spans="1:4">
      <c r="A446" s="18">
        <v>44127</v>
      </c>
      <c r="B446" s="8">
        <v>1.1585384409226834E-2</v>
      </c>
      <c r="C446" s="4">
        <v>115.71722692623398</v>
      </c>
      <c r="D446" s="4">
        <v>-1.21966960489448E-2</v>
      </c>
    </row>
    <row r="447" spans="1:4">
      <c r="A447" s="18">
        <v>44130</v>
      </c>
      <c r="B447" s="8">
        <v>-1.0591471307029032E-2</v>
      </c>
      <c r="C447" s="4">
        <v>114.49161123751581</v>
      </c>
      <c r="D447" s="4">
        <v>-2.2658986399730741E-2</v>
      </c>
    </row>
    <row r="448" spans="1:4">
      <c r="A448" s="18">
        <v>44131</v>
      </c>
      <c r="B448" s="8">
        <v>5.3113560504202051E-3</v>
      </c>
      <c r="C448" s="4">
        <v>115.09971694958453</v>
      </c>
      <c r="D448" s="4">
        <v>-1.746798029382135E-2</v>
      </c>
    </row>
    <row r="449" spans="1:4">
      <c r="A449" s="18">
        <v>44132</v>
      </c>
      <c r="B449" s="8">
        <v>-6.4128767788982763E-3</v>
      </c>
      <c r="C449" s="4">
        <v>114.36159664750079</v>
      </c>
      <c r="D449" s="4">
        <v>-2.3768837067518978E-2</v>
      </c>
    </row>
    <row r="450" spans="1:4">
      <c r="A450" s="18">
        <v>44133</v>
      </c>
      <c r="B450" s="8">
        <v>-1.4857238735886742E-2</v>
      </c>
      <c r="C450" s="4">
        <v>112.66249910389169</v>
      </c>
      <c r="D450" s="4">
        <v>-3.8272936516619116E-2</v>
      </c>
    </row>
    <row r="451" spans="1:4">
      <c r="A451" s="18">
        <v>44134</v>
      </c>
      <c r="B451" s="8">
        <v>6.0278827337393887E-5</v>
      </c>
      <c r="C451" s="4">
        <v>112.66929026722258</v>
      </c>
      <c r="D451" s="4">
        <v>-3.821496473701369E-2</v>
      </c>
    </row>
    <row r="452" spans="1:4">
      <c r="A452" s="18">
        <v>44137</v>
      </c>
      <c r="B452" s="8">
        <v>-1.082875600130764E-2</v>
      </c>
      <c r="C452" s="4">
        <v>111.44922201407832</v>
      </c>
      <c r="D452" s="4">
        <v>-4.8629900209585686E-2</v>
      </c>
    </row>
    <row r="453" spans="1:4">
      <c r="A453" s="18">
        <v>44138</v>
      </c>
      <c r="B453" s="8">
        <v>1.2440820388182608E-2</v>
      </c>
      <c r="C453" s="4">
        <v>112.83574176755813</v>
      </c>
      <c r="D453" s="4">
        <v>-3.6794075675405935E-2</v>
      </c>
    </row>
    <row r="454" spans="1:4">
      <c r="A454" s="18">
        <v>44139</v>
      </c>
      <c r="B454" s="8">
        <v>1.7095626256568047E-2</v>
      </c>
      <c r="C454" s="4">
        <v>114.76473943719893</v>
      </c>
      <c r="D454" s="4">
        <v>-2.0327467185040526E-2</v>
      </c>
    </row>
    <row r="455" spans="1:4">
      <c r="A455" s="18">
        <v>44140</v>
      </c>
      <c r="B455" s="8">
        <v>1.7818377924142974E-2</v>
      </c>
      <c r="C455" s="4">
        <v>116.80966093685673</v>
      </c>
      <c r="D455" s="4">
        <v>-2.8712917534412519E-3</v>
      </c>
    </row>
    <row r="456" spans="1:4">
      <c r="A456" s="18">
        <v>44141</v>
      </c>
      <c r="B456" s="8">
        <v>2.5664626513792754E-3</v>
      </c>
      <c r="C456" s="4">
        <v>117.10944856897144</v>
      </c>
      <c r="D456" s="4">
        <v>-3.121981651084127E-4</v>
      </c>
    </row>
    <row r="457" spans="1:4">
      <c r="A457" s="18">
        <v>44144</v>
      </c>
      <c r="B457" s="8">
        <v>5.4454991287766086E-3</v>
      </c>
      <c r="C457" s="4">
        <v>117.7471679691253</v>
      </c>
      <c r="D457" s="4">
        <v>0</v>
      </c>
    </row>
    <row r="458" spans="1:4">
      <c r="A458" s="18">
        <v>44145</v>
      </c>
      <c r="B458" s="8">
        <v>7.7783935295509688E-3</v>
      </c>
      <c r="C458" s="4">
        <v>118.6630517785793</v>
      </c>
      <c r="D458" s="4">
        <v>0</v>
      </c>
    </row>
    <row r="459" spans="1:4">
      <c r="A459" s="18">
        <v>44146</v>
      </c>
      <c r="B459" s="8">
        <v>1.2827050567158972E-2</v>
      </c>
      <c r="C459" s="4">
        <v>120.18514874419655</v>
      </c>
      <c r="D459" s="4">
        <v>0</v>
      </c>
    </row>
    <row r="460" spans="1:4">
      <c r="A460" s="18">
        <v>44147</v>
      </c>
      <c r="B460" s="8">
        <v>1.1704957838135754E-3</v>
      </c>
      <c r="C460" s="4">
        <v>120.32582495407866</v>
      </c>
      <c r="D460" s="4">
        <v>0</v>
      </c>
    </row>
    <row r="461" spans="1:4">
      <c r="A461" s="18">
        <v>44148</v>
      </c>
      <c r="B461" s="8">
        <v>-5.0259974616118546E-3</v>
      </c>
      <c r="C461" s="4">
        <v>119.72106766329311</v>
      </c>
      <c r="D461" s="4">
        <v>-5.0259974616118086E-3</v>
      </c>
    </row>
    <row r="462" spans="1:4">
      <c r="A462" s="18">
        <v>44149</v>
      </c>
      <c r="B462" s="8">
        <v>7.10344438152155E-3</v>
      </c>
      <c r="C462" s="4">
        <v>120.57149960873568</v>
      </c>
      <c r="D462" s="4">
        <v>0</v>
      </c>
    </row>
    <row r="463" spans="1:4">
      <c r="A463" s="18">
        <v>44152</v>
      </c>
      <c r="B463" s="8">
        <v>9.0899655922030836E-3</v>
      </c>
      <c r="C463" s="4">
        <v>121.66749039157941</v>
      </c>
      <c r="D463" s="4">
        <v>0</v>
      </c>
    </row>
    <row r="464" spans="1:4">
      <c r="A464" s="18">
        <v>44153</v>
      </c>
      <c r="B464" s="8">
        <v>8.582354070107278E-3</v>
      </c>
      <c r="C464" s="4">
        <v>122.71168387294132</v>
      </c>
      <c r="D464" s="4">
        <v>0</v>
      </c>
    </row>
    <row r="465" spans="1:4">
      <c r="A465" s="18">
        <v>44154</v>
      </c>
      <c r="B465" s="8">
        <v>-8.2248494355487839E-3</v>
      </c>
      <c r="C465" s="4">
        <v>121.70239874910372</v>
      </c>
      <c r="D465" s="4">
        <v>-8.2248494355487978E-3</v>
      </c>
    </row>
    <row r="466" spans="1:4">
      <c r="A466" s="18">
        <v>44155</v>
      </c>
      <c r="B466" s="8">
        <v>-1.6804499781160373E-3</v>
      </c>
      <c r="C466" s="4">
        <v>121.49788395578912</v>
      </c>
      <c r="D466" s="4">
        <v>-9.8914779656108509E-3</v>
      </c>
    </row>
    <row r="467" spans="1:4">
      <c r="A467" s="18">
        <v>44158</v>
      </c>
      <c r="B467" s="8">
        <v>9.8674158311299887E-3</v>
      </c>
      <c r="C467" s="4">
        <v>122.69675409938327</v>
      </c>
      <c r="D467" s="4">
        <v>-1.2166546075198514E-4</v>
      </c>
    </row>
    <row r="468" spans="1:4">
      <c r="A468" s="18">
        <v>44159</v>
      </c>
      <c r="B468" s="8">
        <v>1.3780035589541819E-2</v>
      </c>
      <c r="C468" s="4">
        <v>124.38751973759405</v>
      </c>
      <c r="D468" s="4">
        <v>0</v>
      </c>
    </row>
    <row r="469" spans="1:4">
      <c r="A469" s="18">
        <v>44160</v>
      </c>
      <c r="B469" s="8">
        <v>-1.6308785337037113E-2</v>
      </c>
      <c r="C469" s="4">
        <v>122.35891037958716</v>
      </c>
      <c r="D469" s="4">
        <v>-1.6308785337037168E-2</v>
      </c>
    </row>
    <row r="470" spans="1:4">
      <c r="A470" s="18">
        <v>44161</v>
      </c>
      <c r="B470" s="8">
        <v>2.8749818339680686E-3</v>
      </c>
      <c r="C470" s="4">
        <v>122.71069002415261</v>
      </c>
      <c r="D470" s="4">
        <v>-1.3480690964646991E-2</v>
      </c>
    </row>
    <row r="471" spans="1:4">
      <c r="A471" s="18">
        <v>44162</v>
      </c>
      <c r="B471" s="8">
        <v>-1.8006718832612699E-3</v>
      </c>
      <c r="C471" s="4">
        <v>122.48972833485053</v>
      </c>
      <c r="D471" s="4">
        <v>-1.5257088546721365E-2</v>
      </c>
    </row>
    <row r="472" spans="1:4">
      <c r="A472" s="18">
        <v>44166</v>
      </c>
      <c r="B472" s="8">
        <v>1.490379268383968E-2</v>
      </c>
      <c r="C472" s="4">
        <v>124.315289851853</v>
      </c>
      <c r="D472" s="4">
        <v>-5.8068434754088294E-4</v>
      </c>
    </row>
    <row r="473" spans="1:4">
      <c r="A473" s="18">
        <v>44167</v>
      </c>
      <c r="B473" s="8">
        <v>4.4337599977883266E-3</v>
      </c>
      <c r="C473" s="4">
        <v>124.86647401111161</v>
      </c>
      <c r="D473" s="4">
        <v>0</v>
      </c>
    </row>
    <row r="474" spans="1:4">
      <c r="A474" s="18">
        <v>44168</v>
      </c>
      <c r="B474" s="8">
        <v>1.3939304509232558E-2</v>
      </c>
      <c r="C474" s="4">
        <v>126.60702581534667</v>
      </c>
      <c r="D474" s="4">
        <v>0</v>
      </c>
    </row>
    <row r="475" spans="1:4">
      <c r="A475" s="18">
        <v>44169</v>
      </c>
      <c r="B475" s="8">
        <v>1.2986732771943232E-2</v>
      </c>
      <c r="C475" s="4">
        <v>128.25123742666111</v>
      </c>
      <c r="D475" s="4">
        <v>0</v>
      </c>
    </row>
    <row r="476" spans="1:4">
      <c r="A476" s="18">
        <v>44172</v>
      </c>
      <c r="B476" s="8">
        <v>8.5946911006948429E-3</v>
      </c>
      <c r="C476" s="4">
        <v>129.35351719562513</v>
      </c>
      <c r="D476" s="4">
        <v>0</v>
      </c>
    </row>
    <row r="477" spans="1:4">
      <c r="A477" s="18">
        <v>44173</v>
      </c>
      <c r="B477" s="8">
        <v>2.1304314340233974E-3</v>
      </c>
      <c r="C477" s="4">
        <v>129.62909599476018</v>
      </c>
      <c r="D477" s="4">
        <v>0</v>
      </c>
    </row>
    <row r="478" spans="1:4">
      <c r="A478" s="18">
        <v>44174</v>
      </c>
      <c r="B478" s="8">
        <v>7.541913451173405E-3</v>
      </c>
      <c r="C478" s="4">
        <v>130.60674741750651</v>
      </c>
      <c r="D478" s="4">
        <v>0</v>
      </c>
    </row>
    <row r="479" spans="1:4">
      <c r="A479" s="18">
        <v>44175</v>
      </c>
      <c r="B479" s="8">
        <v>3.0545847622421131E-4</v>
      </c>
      <c r="C479" s="4">
        <v>130.64664235555728</v>
      </c>
      <c r="D479" s="4">
        <v>0</v>
      </c>
    </row>
    <row r="480" spans="1:4">
      <c r="A480" s="18">
        <v>44176</v>
      </c>
      <c r="B480" s="8">
        <v>2.1903032642597315E-3</v>
      </c>
      <c r="C480" s="4">
        <v>130.93279812277325</v>
      </c>
      <c r="D480" s="4">
        <v>0</v>
      </c>
    </row>
    <row r="481" spans="1:4">
      <c r="A481" s="18">
        <v>44179</v>
      </c>
      <c r="B481" s="8">
        <v>9.2644443341923736E-3</v>
      </c>
      <c r="C481" s="4">
        <v>132.14581774250172</v>
      </c>
      <c r="D481" s="4">
        <v>0</v>
      </c>
    </row>
    <row r="482" spans="1:4">
      <c r="A482" s="18">
        <v>44180</v>
      </c>
      <c r="B482" s="8">
        <v>-2.8292537718742766E-3</v>
      </c>
      <c r="C482" s="4">
        <v>131.77194368921633</v>
      </c>
      <c r="D482" s="4">
        <v>-2.8292537718743738E-3</v>
      </c>
    </row>
    <row r="483" spans="1:4">
      <c r="A483" s="18">
        <v>44181</v>
      </c>
      <c r="B483" s="8">
        <v>9.4064473538621671E-3</v>
      </c>
      <c r="C483" s="4">
        <v>133.01144954024502</v>
      </c>
      <c r="D483" s="4">
        <v>0</v>
      </c>
    </row>
    <row r="484" spans="1:4">
      <c r="A484" s="18">
        <v>44182</v>
      </c>
      <c r="B484" s="8">
        <v>-1.5760228009808423E-4</v>
      </c>
      <c r="C484" s="4">
        <v>132.99048663251833</v>
      </c>
      <c r="D484" s="4">
        <v>-1.576022800980903E-4</v>
      </c>
    </row>
    <row r="485" spans="1:4">
      <c r="A485" s="18">
        <v>44183</v>
      </c>
      <c r="B485" s="8">
        <v>3.1362844019626777E-4</v>
      </c>
      <c r="C485" s="4">
        <v>133.03219623140183</v>
      </c>
      <c r="D485" s="4">
        <v>0</v>
      </c>
    </row>
    <row r="486" spans="1:4">
      <c r="A486" s="18">
        <v>44186</v>
      </c>
      <c r="B486" s="8">
        <v>-2.9781504971290423E-2</v>
      </c>
      <c r="C486" s="4">
        <v>129.07029721799466</v>
      </c>
      <c r="D486" s="4">
        <v>-2.9781504971290285E-2</v>
      </c>
    </row>
    <row r="487" spans="1:4">
      <c r="A487" s="18">
        <v>44187</v>
      </c>
      <c r="B487" s="8">
        <v>1.3999137452652407E-2</v>
      </c>
      <c r="C487" s="4">
        <v>130.87717004980408</v>
      </c>
      <c r="D487" s="4">
        <v>-1.6199282900277834E-2</v>
      </c>
    </row>
    <row r="488" spans="1:4">
      <c r="A488" s="18">
        <v>44188</v>
      </c>
      <c r="B488" s="8">
        <v>9.1995107543195506E-3</v>
      </c>
      <c r="C488" s="4">
        <v>132.08117598317216</v>
      </c>
      <c r="D488" s="4">
        <v>-7.1487976232116335E-3</v>
      </c>
    </row>
    <row r="489" spans="1:4">
      <c r="A489" s="18">
        <v>44189</v>
      </c>
      <c r="B489" s="8">
        <v>7.3173981301069392E-3</v>
      </c>
      <c r="C489" s="4">
        <v>133.04766653333374</v>
      </c>
      <c r="D489" s="4">
        <v>0</v>
      </c>
    </row>
    <row r="490" spans="1:4">
      <c r="A490" s="18">
        <v>44193</v>
      </c>
      <c r="B490" s="8">
        <v>6.9948805824975513E-3</v>
      </c>
      <c r="C490" s="4">
        <v>133.97831907251435</v>
      </c>
      <c r="D490" s="4">
        <v>0</v>
      </c>
    </row>
    <row r="491" spans="1:4">
      <c r="A491" s="18">
        <v>44194</v>
      </c>
      <c r="B491" s="8">
        <v>8.9698050333185137E-4</v>
      </c>
      <c r="C491" s="4">
        <v>134.09849501259157</v>
      </c>
      <c r="D491" s="4">
        <v>0</v>
      </c>
    </row>
    <row r="492" spans="1:4">
      <c r="A492" s="18">
        <v>44195</v>
      </c>
      <c r="B492" s="8">
        <v>3.1969000221231071E-3</v>
      </c>
      <c r="C492" s="4">
        <v>134.52719449426399</v>
      </c>
      <c r="D492" s="4">
        <v>0</v>
      </c>
    </row>
    <row r="493" spans="1:4">
      <c r="A493" s="18">
        <v>44196</v>
      </c>
      <c r="B493" s="8">
        <v>3.1494698505036287E-4</v>
      </c>
      <c r="C493" s="4">
        <v>134.56956342857723</v>
      </c>
      <c r="D493" s="4">
        <v>0</v>
      </c>
    </row>
    <row r="494" spans="1:4">
      <c r="A494" s="18">
        <v>44197</v>
      </c>
      <c r="B494" s="8">
        <v>7.3167672119302529E-3</v>
      </c>
      <c r="C494" s="4">
        <v>135.55417759799522</v>
      </c>
      <c r="D494" s="4">
        <v>0</v>
      </c>
    </row>
    <row r="495" spans="1:4">
      <c r="A495" s="18">
        <v>44200</v>
      </c>
      <c r="B495" s="8">
        <v>9.7794250513297855E-3</v>
      </c>
      <c r="C495" s="4">
        <v>136.87981951820947</v>
      </c>
      <c r="D495" s="4">
        <v>0</v>
      </c>
    </row>
    <row r="496" spans="1:4">
      <c r="A496" s="18">
        <v>44201</v>
      </c>
      <c r="B496" s="8">
        <v>-2.5370945484871421E-3</v>
      </c>
      <c r="C496" s="4">
        <v>136.53254247431192</v>
      </c>
      <c r="D496" s="4">
        <v>-2.5370945484871621E-3</v>
      </c>
    </row>
    <row r="497" spans="1:4">
      <c r="A497" s="18">
        <v>44202</v>
      </c>
      <c r="B497" s="8">
        <v>-7.0664717319903932E-3</v>
      </c>
      <c r="C497" s="4">
        <v>135.56773912242042</v>
      </c>
      <c r="D497" s="4">
        <v>-9.585637973569261E-3</v>
      </c>
    </row>
    <row r="498" spans="1:4">
      <c r="A498" s="18">
        <v>44203</v>
      </c>
      <c r="B498" s="8">
        <v>-2.0509758672092164E-3</v>
      </c>
      <c r="C498" s="4">
        <v>135.28969296110822</v>
      </c>
      <c r="D498" s="4">
        <v>-1.1616953928622942E-2</v>
      </c>
    </row>
    <row r="499" spans="1:4">
      <c r="A499" s="18">
        <v>44204</v>
      </c>
      <c r="B499" s="8">
        <v>2.9013904390428967E-2</v>
      </c>
      <c r="C499" s="4">
        <v>139.21497517769231</v>
      </c>
      <c r="D499" s="4">
        <v>0</v>
      </c>
    </row>
    <row r="500" spans="1:4">
      <c r="A500" s="18">
        <v>44207</v>
      </c>
      <c r="B500" s="8">
        <v>6.7226052488074516E-3</v>
      </c>
      <c r="C500" s="4">
        <v>140.15086250053446</v>
      </c>
      <c r="D500" s="4">
        <v>0</v>
      </c>
    </row>
    <row r="501" spans="1:4">
      <c r="A501" s="18">
        <v>44208</v>
      </c>
      <c r="B501" s="8">
        <v>2.9967907282985851E-3</v>
      </c>
      <c r="C501" s="4">
        <v>140.57086530583911</v>
      </c>
      <c r="D501" s="4">
        <v>0</v>
      </c>
    </row>
    <row r="502" spans="1:4">
      <c r="A502" s="18">
        <v>44209</v>
      </c>
      <c r="B502" s="8">
        <v>-1.8179440922408757E-3</v>
      </c>
      <c r="C502" s="4">
        <v>140.31531533171517</v>
      </c>
      <c r="D502" s="4">
        <v>-1.8179440922408974E-3</v>
      </c>
    </row>
    <row r="503" spans="1:4">
      <c r="A503" s="18">
        <v>44210</v>
      </c>
      <c r="B503" s="8">
        <v>9.1176191404445366E-3</v>
      </c>
      <c r="C503" s="4">
        <v>141.59465693648113</v>
      </c>
      <c r="D503" s="4">
        <v>0</v>
      </c>
    </row>
    <row r="504" spans="1:4">
      <c r="A504" s="18">
        <v>44211</v>
      </c>
      <c r="B504" s="8">
        <v>-9.084910852177313E-3</v>
      </c>
      <c r="C504" s="4">
        <v>140.30828210106856</v>
      </c>
      <c r="D504" s="4">
        <v>-9.0849108521774413E-3</v>
      </c>
    </row>
    <row r="505" spans="1:4">
      <c r="A505" s="18">
        <v>44214</v>
      </c>
      <c r="B505" s="8">
        <v>-1.0811163770153606E-2</v>
      </c>
      <c r="C505" s="4">
        <v>138.791386284965</v>
      </c>
      <c r="D505" s="4">
        <v>-1.9797856163270788E-2</v>
      </c>
    </row>
    <row r="506" spans="1:4">
      <c r="A506" s="18">
        <v>44215</v>
      </c>
      <c r="B506" s="8">
        <v>1.5322518349374065E-2</v>
      </c>
      <c r="C506" s="4">
        <v>140.91801984805144</v>
      </c>
      <c r="D506" s="4">
        <v>-4.7786908282366758E-3</v>
      </c>
    </row>
    <row r="507" spans="1:4">
      <c r="A507" s="18">
        <v>44216</v>
      </c>
      <c r="B507" s="8">
        <v>1.09637610677826E-2</v>
      </c>
      <c r="C507" s="4">
        <v>142.46301134781052</v>
      </c>
      <c r="D507" s="4">
        <v>0</v>
      </c>
    </row>
    <row r="508" spans="1:4">
      <c r="A508" s="18">
        <v>44217</v>
      </c>
      <c r="B508" s="8">
        <v>-6.7541003214583034E-3</v>
      </c>
      <c r="C508" s="4">
        <v>141.50080187707036</v>
      </c>
      <c r="D508" s="4">
        <v>-6.7541003214582895E-3</v>
      </c>
    </row>
    <row r="509" spans="1:4">
      <c r="A509" s="18">
        <v>44218</v>
      </c>
      <c r="B509" s="8">
        <v>-8.8968799981170073E-3</v>
      </c>
      <c r="C509" s="4">
        <v>140.24188622313272</v>
      </c>
      <c r="D509" s="4">
        <v>-1.5590889899520066E-2</v>
      </c>
    </row>
    <row r="510" spans="1:4">
      <c r="A510" s="18">
        <v>44221</v>
      </c>
      <c r="B510" s="8">
        <v>-7.012699707512237E-3</v>
      </c>
      <c r="C510" s="4">
        <v>139.25841198863478</v>
      </c>
      <c r="D510" s="4">
        <v>-2.2494255377994321E-2</v>
      </c>
    </row>
    <row r="511" spans="1:4">
      <c r="A511" s="18">
        <v>44223</v>
      </c>
      <c r="B511" s="8">
        <v>-1.4095442065933028E-2</v>
      </c>
      <c r="C511" s="4">
        <v>137.29550311025514</v>
      </c>
      <c r="D511" s="4">
        <v>-3.6272630970430431E-2</v>
      </c>
    </row>
    <row r="512" spans="1:4">
      <c r="A512" s="18">
        <v>44224</v>
      </c>
      <c r="B512" s="8">
        <v>-1.8733253726203086E-2</v>
      </c>
      <c r="C512" s="4">
        <v>134.72351161502402</v>
      </c>
      <c r="D512" s="4">
        <v>-5.4326380297347598E-2</v>
      </c>
    </row>
    <row r="513" spans="1:4">
      <c r="A513" s="18">
        <v>44225</v>
      </c>
      <c r="B513" s="8">
        <v>-1.2977661969614279E-2</v>
      </c>
      <c r="C513" s="4">
        <v>132.97511542192484</v>
      </c>
      <c r="D513" s="4">
        <v>-6.6599012867430196E-2</v>
      </c>
    </row>
    <row r="514" spans="1:4">
      <c r="A514" s="18">
        <v>44228</v>
      </c>
      <c r="B514" s="8">
        <v>3.888514552763761E-2</v>
      </c>
      <c r="C514" s="4">
        <v>138.14587213666078</v>
      </c>
      <c r="D514" s="4">
        <v>-3.03035796471397E-2</v>
      </c>
    </row>
    <row r="515" spans="1:4">
      <c r="A515" s="18">
        <v>44229</v>
      </c>
      <c r="B515" s="8">
        <v>3.0955666795022409E-2</v>
      </c>
      <c r="C515" s="4">
        <v>142.42226972363102</v>
      </c>
      <c r="D515" s="4">
        <v>-2.8598036637061952E-4</v>
      </c>
    </row>
    <row r="516" spans="1:4">
      <c r="A516" s="18">
        <v>44230</v>
      </c>
      <c r="B516" s="8">
        <v>5.5489105149944028E-3</v>
      </c>
      <c r="C516" s="4">
        <v>143.21255815366985</v>
      </c>
      <c r="D516" s="4">
        <v>0</v>
      </c>
    </row>
    <row r="517" spans="1:4">
      <c r="A517" s="18">
        <v>44231</v>
      </c>
      <c r="B517" s="8">
        <v>6.2228655674870879E-3</v>
      </c>
      <c r="C517" s="4">
        <v>144.10375065063607</v>
      </c>
      <c r="D517" s="4">
        <v>0</v>
      </c>
    </row>
    <row r="518" spans="1:4">
      <c r="A518" s="18">
        <v>44232</v>
      </c>
      <c r="B518" s="8">
        <v>-3.5327569700226054E-3</v>
      </c>
      <c r="C518" s="4">
        <v>143.59466712111865</v>
      </c>
      <c r="D518" s="4">
        <v>-3.5327569700225325E-3</v>
      </c>
    </row>
    <row r="519" spans="1:4">
      <c r="A519" s="18">
        <v>44235</v>
      </c>
      <c r="B519" s="8">
        <v>1.2046708603907616E-2</v>
      </c>
      <c r="C519" s="4">
        <v>145.32451023300186</v>
      </c>
      <c r="D519" s="4">
        <v>0</v>
      </c>
    </row>
    <row r="520" spans="1:4">
      <c r="A520" s="18">
        <v>44236</v>
      </c>
      <c r="B520" s="8">
        <v>1.3077680542254895E-4</v>
      </c>
      <c r="C520" s="4">
        <v>145.34351530819973</v>
      </c>
      <c r="D520" s="4">
        <v>0</v>
      </c>
    </row>
    <row r="521" spans="1:4">
      <c r="A521" s="18">
        <v>44237</v>
      </c>
      <c r="B521" s="8">
        <v>-1.3179651179802644E-3</v>
      </c>
      <c r="C521" s="4">
        <v>145.1519576248989</v>
      </c>
      <c r="D521" s="4">
        <v>-1.3179651179802132E-3</v>
      </c>
    </row>
    <row r="522" spans="1:4">
      <c r="A522" s="18">
        <v>44238</v>
      </c>
      <c r="B522" s="8">
        <v>6.2640306613356905E-3</v>
      </c>
      <c r="C522" s="4">
        <v>146.06119393801418</v>
      </c>
      <c r="D522" s="4">
        <v>0</v>
      </c>
    </row>
    <row r="523" spans="1:4">
      <c r="A523" s="18">
        <v>44239</v>
      </c>
      <c r="B523" s="8">
        <v>-1.0586108256902099E-2</v>
      </c>
      <c r="C523" s="4">
        <v>144.514974326854</v>
      </c>
      <c r="D523" s="4">
        <v>-1.0586108256902094E-2</v>
      </c>
    </row>
    <row r="524" spans="1:4">
      <c r="A524" s="18">
        <v>44242</v>
      </c>
      <c r="B524" s="8">
        <v>3.0122043170579468E-3</v>
      </c>
      <c r="C524" s="4">
        <v>144.95028295640088</v>
      </c>
      <c r="D524" s="4">
        <v>-7.6057914608362864E-3</v>
      </c>
    </row>
    <row r="525" spans="1:4">
      <c r="A525" s="18">
        <v>44243</v>
      </c>
      <c r="B525" s="8">
        <v>4.8582603850144696E-3</v>
      </c>
      <c r="C525" s="4">
        <v>145.6544891738846</v>
      </c>
      <c r="D525" s="4">
        <v>-2.7844819911727603E-3</v>
      </c>
    </row>
    <row r="526" spans="1:4">
      <c r="A526" s="18">
        <v>44244</v>
      </c>
      <c r="B526" s="8">
        <v>-9.5656323421502727E-3</v>
      </c>
      <c r="C526" s="4">
        <v>144.26121188146351</v>
      </c>
      <c r="D526" s="4">
        <v>-1.2323479002332105E-2</v>
      </c>
    </row>
    <row r="527" spans="1:4">
      <c r="A527" s="18">
        <v>44245</v>
      </c>
      <c r="B527" s="8">
        <v>-6.1813476402901362E-3</v>
      </c>
      <c r="C527" s="4">
        <v>143.36948317981464</v>
      </c>
      <c r="D527" s="4">
        <v>-1.8428650934770974E-2</v>
      </c>
    </row>
    <row r="528" spans="1:4">
      <c r="A528" s="18">
        <v>44246</v>
      </c>
      <c r="B528" s="8">
        <v>-9.4210827120458085E-3</v>
      </c>
      <c r="C528" s="4">
        <v>142.01878742039435</v>
      </c>
      <c r="D528" s="4">
        <v>-2.7676115802088841E-2</v>
      </c>
    </row>
    <row r="529" spans="1:4">
      <c r="A529" s="18">
        <v>44249</v>
      </c>
      <c r="B529" s="8">
        <v>-2.7063807222042637E-2</v>
      </c>
      <c r="C529" s="4">
        <v>138.17521833574054</v>
      </c>
      <c r="D529" s="4">
        <v>-5.3990901961408877E-2</v>
      </c>
    </row>
    <row r="530" spans="1:4">
      <c r="A530" s="18">
        <v>44250</v>
      </c>
      <c r="B530" s="8">
        <v>5.0360385687517051E-3</v>
      </c>
      <c r="C530" s="4">
        <v>138.87107406452503</v>
      </c>
      <c r="D530" s="4">
        <v>-4.9226763657296391E-2</v>
      </c>
    </row>
    <row r="531" spans="1:4">
      <c r="A531" s="18">
        <v>44251</v>
      </c>
      <c r="B531" s="8">
        <v>1.0051660085141601E-2</v>
      </c>
      <c r="C531" s="4">
        <v>140.26695889668017</v>
      </c>
      <c r="D531" s="4">
        <v>-3.9669914267529527E-2</v>
      </c>
    </row>
    <row r="532" spans="1:4">
      <c r="A532" s="18">
        <v>44252</v>
      </c>
      <c r="B532" s="8">
        <v>5.4827182274548433E-3</v>
      </c>
      <c r="C532" s="4">
        <v>141.03600310893265</v>
      </c>
      <c r="D532" s="4">
        <v>-3.4404695002110852E-2</v>
      </c>
    </row>
    <row r="533" spans="1:4">
      <c r="A533" s="18">
        <v>44253</v>
      </c>
      <c r="B533" s="8">
        <v>-2.715921198826915E-2</v>
      </c>
      <c r="C533" s="4">
        <v>137.20557640251897</v>
      </c>
      <c r="D533" s="4">
        <v>-6.0629502585425765E-2</v>
      </c>
    </row>
    <row r="534" spans="1:4">
      <c r="A534" s="18">
        <v>44256</v>
      </c>
      <c r="B534" s="8">
        <v>1.6096282452832164E-2</v>
      </c>
      <c r="C534" s="4">
        <v>139.41407611439755</v>
      </c>
      <c r="D534" s="4">
        <v>-4.5509129731183484E-2</v>
      </c>
    </row>
    <row r="535" spans="1:4">
      <c r="A535" s="18">
        <v>44257</v>
      </c>
      <c r="B535" s="8">
        <v>1.6557018839217643E-2</v>
      </c>
      <c r="C535" s="4">
        <v>141.72235759907576</v>
      </c>
      <c r="D535" s="4">
        <v>-2.9705606410281304E-2</v>
      </c>
    </row>
    <row r="536" spans="1:4">
      <c r="A536" s="18">
        <v>44258</v>
      </c>
      <c r="B536" s="8">
        <v>1.2365413407510083E-2</v>
      </c>
      <c r="C536" s="4">
        <v>143.47481313987532</v>
      </c>
      <c r="D536" s="4">
        <v>-1.7707515106555105E-2</v>
      </c>
    </row>
    <row r="537" spans="1:4">
      <c r="A537" s="18">
        <v>44259</v>
      </c>
      <c r="B537" s="8">
        <v>-9.9779361989398487E-3</v>
      </c>
      <c r="C537" s="4">
        <v>142.04323060821082</v>
      </c>
      <c r="D537" s="4">
        <v>-2.7508766849520083E-2</v>
      </c>
    </row>
    <row r="538" spans="1:4">
      <c r="A538" s="18">
        <v>44260</v>
      </c>
      <c r="B538" s="8">
        <v>-1.9787549208808339E-3</v>
      </c>
      <c r="C538" s="4">
        <v>141.76216186666701</v>
      </c>
      <c r="D538" s="4">
        <v>-2.9433088662630058E-2</v>
      </c>
    </row>
    <row r="539" spans="1:4">
      <c r="A539" s="18">
        <v>44263</v>
      </c>
      <c r="B539" s="8">
        <v>9.3063573947981468E-3</v>
      </c>
      <c r="C539" s="4">
        <v>143.08145121005745</v>
      </c>
      <c r="D539" s="4">
        <v>-2.0400646110159015E-2</v>
      </c>
    </row>
    <row r="540" spans="1:4">
      <c r="A540" s="18">
        <v>44264</v>
      </c>
      <c r="B540" s="8">
        <v>3.6183079973191703E-3</v>
      </c>
      <c r="C540" s="4">
        <v>143.59916396923882</v>
      </c>
      <c r="D540" s="4">
        <v>-1.6856153933810902E-2</v>
      </c>
    </row>
    <row r="541" spans="1:4">
      <c r="A541" s="18">
        <v>44265</v>
      </c>
      <c r="B541" s="8">
        <v>5.2197186431724111E-3</v>
      </c>
      <c r="C541" s="4">
        <v>144.34871120255303</v>
      </c>
      <c r="D541" s="4">
        <v>-1.172441967157889E-2</v>
      </c>
    </row>
    <row r="542" spans="1:4">
      <c r="A542" s="18">
        <v>44267</v>
      </c>
      <c r="B542" s="8">
        <v>-1.2262733167128165E-2</v>
      </c>
      <c r="C542" s="4">
        <v>142.57860147405728</v>
      </c>
      <c r="D542" s="4">
        <v>-2.3843379408735044E-2</v>
      </c>
    </row>
    <row r="543" spans="1:4">
      <c r="A543" s="18">
        <v>44270</v>
      </c>
      <c r="B543" s="8">
        <v>-8.6819111123758834E-3</v>
      </c>
      <c r="C543" s="4">
        <v>141.34074672953264</v>
      </c>
      <c r="D543" s="4">
        <v>-3.2318284420465693E-2</v>
      </c>
    </row>
    <row r="544" spans="1:4">
      <c r="A544" s="18">
        <v>44271</v>
      </c>
      <c r="B544" s="8">
        <v>-4.6551601145426291E-4</v>
      </c>
      <c r="C544" s="4">
        <v>141.27495034885914</v>
      </c>
      <c r="D544" s="4">
        <v>-3.2768755753059597E-2</v>
      </c>
    </row>
    <row r="545" spans="1:4">
      <c r="A545" s="18">
        <v>44272</v>
      </c>
      <c r="B545" s="8">
        <v>-1.2175939007125974E-2</v>
      </c>
      <c r="C545" s="4">
        <v>139.55479517017667</v>
      </c>
      <c r="D545" s="4">
        <v>-4.4545704388796903E-2</v>
      </c>
    </row>
    <row r="546" spans="1:4">
      <c r="A546" s="18">
        <v>44273</v>
      </c>
      <c r="B546" s="8">
        <v>-8.0710911023670114E-3</v>
      </c>
      <c r="C546" s="4">
        <v>138.42843570458601</v>
      </c>
      <c r="D546" s="4">
        <v>-5.2257263052822855E-2</v>
      </c>
    </row>
    <row r="547" spans="1:4">
      <c r="A547" s="18">
        <v>44274</v>
      </c>
      <c r="B547" s="8">
        <v>6.4968530704599056E-3</v>
      </c>
      <c r="C547" s="4">
        <v>139.3277849121323</v>
      </c>
      <c r="D547" s="4">
        <v>-4.6099917742281504E-2</v>
      </c>
    </row>
    <row r="548" spans="1:4">
      <c r="A548" s="18">
        <v>44277</v>
      </c>
      <c r="B548" s="8">
        <v>3.8949543054354668E-3</v>
      </c>
      <c r="C548" s="4">
        <v>139.87046026784259</v>
      </c>
      <c r="D548" s="4">
        <v>-4.2384520509936685E-2</v>
      </c>
    </row>
    <row r="549" spans="1:4">
      <c r="A549" s="18">
        <v>44278</v>
      </c>
      <c r="B549" s="8">
        <v>4.2486704854385916E-3</v>
      </c>
      <c r="C549" s="4">
        <v>140.46472376416727</v>
      </c>
      <c r="D549" s="4">
        <v>-3.831592788582816E-2</v>
      </c>
    </row>
    <row r="550" spans="1:4">
      <c r="A550" s="18">
        <v>44279</v>
      </c>
      <c r="B550" s="8">
        <v>-1.6398574855793571E-2</v>
      </c>
      <c r="C550" s="4">
        <v>138.1613024769222</v>
      </c>
      <c r="D550" s="4">
        <v>-5.4086176130016872E-2</v>
      </c>
    </row>
    <row r="551" spans="1:4">
      <c r="A551" s="18">
        <v>44280</v>
      </c>
      <c r="B551" s="8">
        <v>-1.862948660331179E-2</v>
      </c>
      <c r="C551" s="4">
        <v>135.58742834333228</v>
      </c>
      <c r="D551" s="4">
        <v>-7.1708065039690072E-2</v>
      </c>
    </row>
    <row r="552" spans="1:4">
      <c r="A552" s="18">
        <v>44281</v>
      </c>
      <c r="B552" s="8">
        <v>8.3923214637300105E-3</v>
      </c>
      <c r="C552" s="4">
        <v>136.72532162842998</v>
      </c>
      <c r="D552" s="4">
        <v>-6.3917540709315213E-2</v>
      </c>
    </row>
    <row r="553" spans="1:4">
      <c r="A553" s="18">
        <v>44285</v>
      </c>
      <c r="B553" s="8">
        <v>2.0696126674509763E-2</v>
      </c>
      <c r="C553" s="4">
        <v>139.55500620446506</v>
      </c>
      <c r="D553" s="4">
        <v>-4.4544259554048504E-2</v>
      </c>
    </row>
    <row r="554" spans="1:4">
      <c r="A554" s="18">
        <v>44286</v>
      </c>
      <c r="B554" s="8">
        <v>-3.9044847229399446E-3</v>
      </c>
      <c r="C554" s="4">
        <v>139.01011581472994</v>
      </c>
      <c r="D554" s="4">
        <v>-4.8274821896065023E-2</v>
      </c>
    </row>
    <row r="555" spans="1:4">
      <c r="A555" s="18">
        <v>44287</v>
      </c>
      <c r="B555" s="8">
        <v>1.0817604899883097E-2</v>
      </c>
      <c r="C555" s="4">
        <v>140.51387232470069</v>
      </c>
      <c r="D555" s="4">
        <v>-3.7979434946065704E-2</v>
      </c>
    </row>
    <row r="556" spans="1:4">
      <c r="A556" s="18">
        <v>44291</v>
      </c>
      <c r="B556" s="8">
        <v>-1.3394405828148902E-2</v>
      </c>
      <c r="C556" s="4">
        <v>138.63177249429896</v>
      </c>
      <c r="D556" s="4">
        <v>-5.0865128809423177E-2</v>
      </c>
    </row>
    <row r="557" spans="1:4">
      <c r="A557" s="18">
        <v>44292</v>
      </c>
      <c r="B557" s="8">
        <v>1.7938105830453447E-3</v>
      </c>
      <c r="C557" s="4">
        <v>138.88045163494556</v>
      </c>
      <c r="D557" s="4">
        <v>-4.9162560632744157E-2</v>
      </c>
    </row>
    <row r="558" spans="1:4">
      <c r="A558" s="18">
        <v>44293</v>
      </c>
      <c r="B558" s="8">
        <v>7.1939225633330956E-3</v>
      </c>
      <c r="C558" s="4">
        <v>139.87954684956807</v>
      </c>
      <c r="D558" s="4">
        <v>-4.2322309723618279E-2</v>
      </c>
    </row>
    <row r="559" spans="1:4">
      <c r="A559" s="18">
        <v>44294</v>
      </c>
      <c r="B559" s="8">
        <v>3.8323757093440525E-4</v>
      </c>
      <c r="C559" s="4">
        <v>139.93315394732613</v>
      </c>
      <c r="D559" s="4">
        <v>-4.1955291651858517E-2</v>
      </c>
    </row>
    <row r="560" spans="1:4">
      <c r="A560" s="18">
        <v>44295</v>
      </c>
      <c r="B560" s="8">
        <v>1.5323329113633021E-3</v>
      </c>
      <c r="C560" s="4">
        <v>140.14757812451049</v>
      </c>
      <c r="D560" s="4">
        <v>-4.0487248214699179E-2</v>
      </c>
    </row>
    <row r="561" spans="1:4">
      <c r="A561" s="18">
        <v>44298</v>
      </c>
      <c r="B561" s="8">
        <v>-3.4492913472946585E-2</v>
      </c>
      <c r="C561" s="4">
        <v>135.31347983881872</v>
      </c>
      <c r="D561" s="4">
        <v>-7.3583638538218477E-2</v>
      </c>
    </row>
    <row r="562" spans="1:4">
      <c r="A562" s="18">
        <v>44299</v>
      </c>
      <c r="B562" s="8">
        <v>1.3945770631532475E-2</v>
      </c>
      <c r="C562" s="4">
        <v>137.20053059200538</v>
      </c>
      <c r="D562" s="4">
        <v>-6.0664048451973596E-2</v>
      </c>
    </row>
    <row r="563" spans="1:4">
      <c r="A563" s="18">
        <v>44301</v>
      </c>
      <c r="B563" s="8">
        <v>-6.9400961055716926E-4</v>
      </c>
      <c r="C563" s="4">
        <v>137.10531210520097</v>
      </c>
      <c r="D563" s="4">
        <v>-6.1315956629889978E-2</v>
      </c>
    </row>
    <row r="564" spans="1:4">
      <c r="A564" s="18">
        <v>44302</v>
      </c>
      <c r="B564" s="8">
        <v>-5.1337359674632739E-4</v>
      </c>
      <c r="C564" s="4">
        <v>137.0349258579925</v>
      </c>
      <c r="D564" s="4">
        <v>-6.179785223344314E-2</v>
      </c>
    </row>
    <row r="565" spans="1:4">
      <c r="A565" s="18">
        <v>44305</v>
      </c>
      <c r="B565" s="8">
        <v>-1.6464288405764298E-2</v>
      </c>
      <c r="C565" s="4">
        <v>134.778743317004</v>
      </c>
      <c r="D565" s="4">
        <v>-7.7244682977179124E-2</v>
      </c>
    </row>
    <row r="566" spans="1:4">
      <c r="A566" s="18">
        <v>44306</v>
      </c>
      <c r="B566" s="8">
        <v>5.0977906655987225E-3</v>
      </c>
      <c r="C566" s="4">
        <v>135.46581713660655</v>
      </c>
      <c r="D566" s="4">
        <v>-7.2540669535428592E-2</v>
      </c>
    </row>
    <row r="567" spans="1:4">
      <c r="A567" s="18">
        <v>44308</v>
      </c>
      <c r="B567" s="8">
        <v>1.9154302645435523E-3</v>
      </c>
      <c r="C567" s="4">
        <v>135.72529246256113</v>
      </c>
      <c r="D567" s="4">
        <v>-7.0764185864723439E-2</v>
      </c>
    </row>
    <row r="568" spans="1:4">
      <c r="A568" s="18">
        <v>44309</v>
      </c>
      <c r="B568" s="8">
        <v>-3.9038882617280918E-3</v>
      </c>
      <c r="C568" s="4">
        <v>135.19543608649693</v>
      </c>
      <c r="D568" s="4">
        <v>-7.4391818651903474E-2</v>
      </c>
    </row>
    <row r="569" spans="1:4">
      <c r="A569" s="18">
        <v>44312</v>
      </c>
      <c r="B569" s="8">
        <v>2.1856385591367644E-3</v>
      </c>
      <c r="C569" s="4">
        <v>135.4909244446269</v>
      </c>
      <c r="D569" s="4">
        <v>-7.2368773720096535E-2</v>
      </c>
    </row>
    <row r="570" spans="1:4">
      <c r="A570" s="18">
        <v>44313</v>
      </c>
      <c r="B570" s="8">
        <v>1.1995061433350593E-2</v>
      </c>
      <c r="C570" s="4">
        <v>137.11614640700165</v>
      </c>
      <c r="D570" s="4">
        <v>-6.1241780173374782E-2</v>
      </c>
    </row>
    <row r="571" spans="1:4">
      <c r="A571" s="18">
        <v>44314</v>
      </c>
      <c r="B571" s="8">
        <v>3.2618333060679843E-3</v>
      </c>
      <c r="C571" s="4">
        <v>137.56339642015169</v>
      </c>
      <c r="D571" s="4">
        <v>-5.8179707345599296E-2</v>
      </c>
    </row>
    <row r="572" spans="1:4">
      <c r="A572" s="18">
        <v>44315</v>
      </c>
      <c r="B572" s="8">
        <v>-1.6825297486067548E-3</v>
      </c>
      <c r="C572" s="4">
        <v>137.33194191335539</v>
      </c>
      <c r="D572" s="4">
        <v>-5.9764348005831969E-2</v>
      </c>
    </row>
    <row r="573" spans="1:4">
      <c r="A573" s="18">
        <v>44316</v>
      </c>
      <c r="B573" s="8">
        <v>-1.1524863435417127E-2</v>
      </c>
      <c r="C573" s="4">
        <v>135.74921003748332</v>
      </c>
      <c r="D573" s="4">
        <v>-7.0600435492175206E-2</v>
      </c>
    </row>
    <row r="574" spans="1:4">
      <c r="A574" s="18">
        <v>44319</v>
      </c>
      <c r="B574" s="8">
        <v>2.7431691192507496E-3</v>
      </c>
      <c r="C574" s="4">
        <v>136.12159307842083</v>
      </c>
      <c r="D574" s="4">
        <v>-6.8050935307372273E-2</v>
      </c>
    </row>
    <row r="575" spans="1:4">
      <c r="A575" s="18">
        <v>44320</v>
      </c>
      <c r="B575" s="8">
        <v>-1.2314943909825442E-2</v>
      </c>
      <c r="C575" s="4">
        <v>134.445263294744</v>
      </c>
      <c r="D575" s="4">
        <v>-7.9527835765876187E-2</v>
      </c>
    </row>
    <row r="576" spans="1:4">
      <c r="A576" s="18">
        <v>44321</v>
      </c>
      <c r="B576" s="8">
        <v>1.5380286466463789E-2</v>
      </c>
      <c r="C576" s="4">
        <v>136.5130699582763</v>
      </c>
      <c r="D576" s="4">
        <v>-6.537071019554952E-2</v>
      </c>
    </row>
    <row r="577" spans="1:4">
      <c r="A577" s="18">
        <v>44322</v>
      </c>
      <c r="B577" s="8">
        <v>4.4718684295550187E-3</v>
      </c>
      <c r="C577" s="4">
        <v>137.12353844604436</v>
      </c>
      <c r="D577" s="4">
        <v>-6.1191170981135468E-2</v>
      </c>
    </row>
    <row r="578" spans="1:4">
      <c r="A578" s="18">
        <v>44323</v>
      </c>
      <c r="B578" s="8">
        <v>3.3825465088679896E-3</v>
      </c>
      <c r="C578" s="4">
        <v>137.58736519229865</v>
      </c>
      <c r="D578" s="4">
        <v>-5.8015606454043356E-2</v>
      </c>
    </row>
    <row r="579" spans="1:4">
      <c r="A579" s="18">
        <v>44326</v>
      </c>
      <c r="B579" s="8">
        <v>1.3123556860840591E-2</v>
      </c>
      <c r="C579" s="4">
        <v>139.39300080273301</v>
      </c>
      <c r="D579" s="4">
        <v>-4.565342070331857E-2</v>
      </c>
    </row>
    <row r="580" spans="1:4">
      <c r="A580" s="18">
        <v>44327</v>
      </c>
      <c r="B580" s="8">
        <v>-2.4843037372725574E-3</v>
      </c>
      <c r="C580" s="4">
        <v>139.04670624988916</v>
      </c>
      <c r="D580" s="4">
        <v>-4.8024307476918549E-2</v>
      </c>
    </row>
    <row r="581" spans="1:4">
      <c r="A581" s="18">
        <v>44328</v>
      </c>
      <c r="B581" s="8">
        <v>-1.5986952574096004E-3</v>
      </c>
      <c r="C581" s="4">
        <v>138.82441294004903</v>
      </c>
      <c r="D581" s="4">
        <v>-4.9546226501724466E-2</v>
      </c>
    </row>
    <row r="582" spans="1:4">
      <c r="A582" s="18">
        <v>44330</v>
      </c>
      <c r="B582" s="8">
        <v>2.4718719896212843E-3</v>
      </c>
      <c r="C582" s="4">
        <v>139.16756911787115</v>
      </c>
      <c r="D582" s="4">
        <v>-4.7196826441584294E-2</v>
      </c>
    </row>
    <row r="583" spans="1:4">
      <c r="A583" s="18">
        <v>44333</v>
      </c>
      <c r="B583" s="8">
        <v>4.0379241781365611E-4</v>
      </c>
      <c r="C583" s="4">
        <v>139.22376392708651</v>
      </c>
      <c r="D583" s="4">
        <v>-4.6812091744432571E-2</v>
      </c>
    </row>
    <row r="584" spans="1:4">
      <c r="A584" s="18">
        <v>44334</v>
      </c>
      <c r="B584" s="8">
        <v>1.1727377923481169E-2</v>
      </c>
      <c r="C584" s="4">
        <v>140.85649362258897</v>
      </c>
      <c r="D584" s="4">
        <v>-3.5633696912227064E-2</v>
      </c>
    </row>
    <row r="585" spans="1:4">
      <c r="A585" s="18">
        <v>44335</v>
      </c>
      <c r="B585" s="8">
        <v>-1.8265415292302504E-3</v>
      </c>
      <c r="C585" s="4">
        <v>140.59921338732556</v>
      </c>
      <c r="D585" s="4">
        <v>-3.7395152014207067E-2</v>
      </c>
    </row>
    <row r="586" spans="1:4">
      <c r="A586" s="18">
        <v>44336</v>
      </c>
      <c r="B586" s="8">
        <v>-6.5737124972473021E-3</v>
      </c>
      <c r="C586" s="4">
        <v>139.67495458117816</v>
      </c>
      <c r="D586" s="4">
        <v>-4.3723039533322128E-2</v>
      </c>
    </row>
    <row r="587" spans="1:4">
      <c r="A587" s="18">
        <v>44337</v>
      </c>
      <c r="B587" s="8">
        <v>1.0980110440655139E-2</v>
      </c>
      <c r="C587" s="4">
        <v>141.20860100827298</v>
      </c>
      <c r="D587" s="4">
        <v>-3.322301289554408E-2</v>
      </c>
    </row>
    <row r="588" spans="1:4">
      <c r="A588" s="18">
        <v>44340</v>
      </c>
      <c r="B588" s="8">
        <v>5.3997610598187397E-3</v>
      </c>
      <c r="C588" s="4">
        <v>141.97109371330893</v>
      </c>
      <c r="D588" s="4">
        <v>-2.8002648167048561E-2</v>
      </c>
    </row>
    <row r="589" spans="1:4">
      <c r="A589" s="18">
        <v>44341</v>
      </c>
      <c r="B589" s="8">
        <v>2.3201419929563373E-3</v>
      </c>
      <c r="C589" s="4">
        <v>142.30048680961912</v>
      </c>
      <c r="D589" s="4">
        <v>-2.5747476294018523E-2</v>
      </c>
    </row>
    <row r="590" spans="1:4">
      <c r="A590" s="18">
        <v>44342</v>
      </c>
      <c r="B590" s="8">
        <v>1.179849351487507E-2</v>
      </c>
      <c r="C590" s="4">
        <v>143.97941818040599</v>
      </c>
      <c r="D590" s="4">
        <v>-1.425276421122279E-2</v>
      </c>
    </row>
    <row r="591" spans="1:4">
      <c r="A591" s="18">
        <v>44343</v>
      </c>
      <c r="B591" s="8">
        <v>3.9710540213644093E-4</v>
      </c>
      <c r="C591" s="4">
        <v>144.03659318516188</v>
      </c>
      <c r="D591" s="4">
        <v>-1.3861318658750066E-2</v>
      </c>
    </row>
    <row r="592" spans="1:4">
      <c r="A592" s="18">
        <v>44344</v>
      </c>
      <c r="B592" s="8">
        <v>1.5270925321094395E-3</v>
      </c>
      <c r="C592" s="4">
        <v>144.2565503909654</v>
      </c>
      <c r="D592" s="4">
        <v>-1.2355393642849766E-2</v>
      </c>
    </row>
    <row r="593" spans="1:4">
      <c r="A593" s="18">
        <v>44347</v>
      </c>
      <c r="B593" s="8">
        <v>8.2432606852492103E-3</v>
      </c>
      <c r="C593" s="4">
        <v>145.44569474139291</v>
      </c>
      <c r="D593" s="4">
        <v>-4.2139816882674763E-3</v>
      </c>
    </row>
    <row r="594" spans="1:4">
      <c r="A594" s="18">
        <v>44348</v>
      </c>
      <c r="B594" s="8">
        <v>8.9420036153863654E-4</v>
      </c>
      <c r="C594" s="4">
        <v>145.57575233421491</v>
      </c>
      <c r="D594" s="4">
        <v>-3.3235494706779223E-3</v>
      </c>
    </row>
    <row r="595" spans="1:4">
      <c r="A595" s="18">
        <v>44349</v>
      </c>
      <c r="B595" s="8">
        <v>1.4376048496491786E-3</v>
      </c>
      <c r="C595" s="4">
        <v>145.78503274176191</v>
      </c>
      <c r="D595" s="4">
        <v>-1.8907225718658438E-3</v>
      </c>
    </row>
    <row r="596" spans="1:4">
      <c r="A596" s="18">
        <v>44350</v>
      </c>
      <c r="B596" s="8">
        <v>7.8982261358246791E-3</v>
      </c>
      <c r="C596" s="4">
        <v>146.93647589757495</v>
      </c>
      <c r="D596" s="4">
        <v>0</v>
      </c>
    </row>
    <row r="597" spans="1:4">
      <c r="A597" s="18">
        <v>44351</v>
      </c>
      <c r="B597" s="8">
        <v>9.1970450622436877E-4</v>
      </c>
      <c r="C597" s="4">
        <v>147.07161403658668</v>
      </c>
      <c r="D597" s="4">
        <v>0</v>
      </c>
    </row>
    <row r="598" spans="1:4">
      <c r="A598" s="18">
        <v>44354</v>
      </c>
      <c r="B598" s="8">
        <v>9.0685508050534214E-3</v>
      </c>
      <c r="C598" s="4">
        <v>148.40534044045867</v>
      </c>
      <c r="D598" s="4">
        <v>0</v>
      </c>
    </row>
    <row r="599" spans="1:4">
      <c r="A599" s="18">
        <v>44355</v>
      </c>
      <c r="B599" s="8">
        <v>2.4920565075108423E-3</v>
      </c>
      <c r="C599" s="4">
        <v>148.77517493485269</v>
      </c>
      <c r="D599" s="4">
        <v>0</v>
      </c>
    </row>
    <row r="600" spans="1:4">
      <c r="A600" s="18">
        <v>44356</v>
      </c>
      <c r="B600" s="8">
        <v>-1.0419265876602014E-2</v>
      </c>
      <c r="C600" s="4">
        <v>147.22504683136847</v>
      </c>
      <c r="D600" s="4">
        <v>-1.0419265876602024E-2</v>
      </c>
    </row>
    <row r="601" spans="1:4">
      <c r="A601" s="18">
        <v>44357</v>
      </c>
      <c r="B601" s="8">
        <v>2.3400488575920789E-3</v>
      </c>
      <c r="C601" s="4">
        <v>147.56956063401515</v>
      </c>
      <c r="D601" s="4">
        <v>-8.1035986102215851E-3</v>
      </c>
    </row>
    <row r="602" spans="1:4">
      <c r="A602" s="18">
        <v>44358</v>
      </c>
      <c r="B602" s="8">
        <v>4.5280939851901486E-3</v>
      </c>
      <c r="C602" s="4">
        <v>148.23776947391917</v>
      </c>
      <c r="D602" s="4">
        <v>-3.612198481156792E-3</v>
      </c>
    </row>
    <row r="603" spans="1:4">
      <c r="A603" s="18">
        <v>44361</v>
      </c>
      <c r="B603" s="8">
        <v>1.6276171218251646E-3</v>
      </c>
      <c r="C603" s="4">
        <v>148.4790438056161</v>
      </c>
      <c r="D603" s="4">
        <v>-1.9904606354269605E-3</v>
      </c>
    </row>
    <row r="604" spans="1:4">
      <c r="A604" s="18">
        <v>44362</v>
      </c>
      <c r="B604" s="8">
        <v>-7.6028223634128284E-4</v>
      </c>
      <c r="C604" s="4">
        <v>148.36615782614174</v>
      </c>
      <c r="D604" s="4">
        <v>-2.7492295599050864E-3</v>
      </c>
    </row>
    <row r="605" spans="1:4">
      <c r="A605" s="18">
        <v>44363</v>
      </c>
      <c r="B605" s="8">
        <v>-6.4828047024798824E-3</v>
      </c>
      <c r="C605" s="4">
        <v>147.40432900049757</v>
      </c>
      <c r="D605" s="4">
        <v>-9.2142115440657646E-3</v>
      </c>
    </row>
    <row r="606" spans="1:4">
      <c r="A606" s="18">
        <v>44364</v>
      </c>
      <c r="B606" s="8">
        <v>-4.7607436962720569E-3</v>
      </c>
      <c r="C606" s="4">
        <v>146.70257477040522</v>
      </c>
      <c r="D606" s="4">
        <v>-1.3931088740813391E-2</v>
      </c>
    </row>
    <row r="607" spans="1:4">
      <c r="A607" s="18">
        <v>44365</v>
      </c>
      <c r="B607" s="8">
        <v>-2.9404361085886232E-4</v>
      </c>
      <c r="C607" s="4">
        <v>146.65943781559744</v>
      </c>
      <c r="D607" s="4">
        <v>-1.4221036004035681E-2</v>
      </c>
    </row>
    <row r="608" spans="1:4">
      <c r="A608" s="18">
        <v>44368</v>
      </c>
      <c r="B608" s="8">
        <v>-1.9571483693703574E-3</v>
      </c>
      <c r="C608" s="4">
        <v>146.37240353602388</v>
      </c>
      <c r="D608" s="4">
        <v>-1.6150351695979892E-2</v>
      </c>
    </row>
    <row r="609" spans="1:4">
      <c r="A609" s="18">
        <v>44369</v>
      </c>
      <c r="B609" s="8">
        <v>1.4362594437432631E-2</v>
      </c>
      <c r="C609" s="4">
        <v>148.474691004844</v>
      </c>
      <c r="D609" s="4">
        <v>-2.0197182099787048E-3</v>
      </c>
    </row>
    <row r="610" spans="1:4">
      <c r="A610" s="18">
        <v>44370</v>
      </c>
      <c r="B610" s="8">
        <v>-1.5883651702009185E-3</v>
      </c>
      <c r="C610" s="4">
        <v>148.23885897699557</v>
      </c>
      <c r="D610" s="4">
        <v>-3.6048753301212155E-3</v>
      </c>
    </row>
    <row r="611" spans="1:4">
      <c r="A611" s="18">
        <v>44371</v>
      </c>
      <c r="B611" s="8">
        <v>9.6181836015850029E-3</v>
      </c>
      <c r="C611" s="4">
        <v>149.66464753952579</v>
      </c>
      <c r="D611" s="4">
        <v>0</v>
      </c>
    </row>
    <row r="612" spans="1:4">
      <c r="A612" s="18">
        <v>44372</v>
      </c>
      <c r="B612" s="8">
        <v>6.7010319767872393E-3</v>
      </c>
      <c r="C612" s="4">
        <v>150.66755512848275</v>
      </c>
      <c r="D612" s="4">
        <v>0</v>
      </c>
    </row>
    <row r="613" spans="1:4">
      <c r="A613" s="18">
        <v>44375</v>
      </c>
      <c r="B613" s="8">
        <v>-4.9599209078395488E-3</v>
      </c>
      <c r="C613" s="4">
        <v>149.9202559716679</v>
      </c>
      <c r="D613" s="4">
        <v>-4.9599209078396989E-3</v>
      </c>
    </row>
    <row r="614" spans="1:4">
      <c r="A614" s="18">
        <v>44376</v>
      </c>
      <c r="B614" s="8">
        <v>-3.3189487053797099E-3</v>
      </c>
      <c r="C614" s="4">
        <v>149.42267833220052</v>
      </c>
      <c r="D614" s="4">
        <v>-8.2624078901436526E-3</v>
      </c>
    </row>
    <row r="615" spans="1:4">
      <c r="A615" s="18">
        <v>44377</v>
      </c>
      <c r="B615" s="8">
        <v>9.377187340906131E-4</v>
      </c>
      <c r="C615" s="4">
        <v>149.56279477697063</v>
      </c>
      <c r="D615" s="4">
        <v>-7.3324369707201686E-3</v>
      </c>
    </row>
    <row r="616" spans="1:4">
      <c r="A616" s="18">
        <v>44378</v>
      </c>
      <c r="B616" s="8">
        <v>2.3351859877342846E-4</v>
      </c>
      <c r="C616" s="4">
        <v>149.59772047123559</v>
      </c>
      <c r="D616" s="4">
        <v>-7.1006306323537771E-3</v>
      </c>
    </row>
    <row r="617" spans="1:4">
      <c r="A617" s="18">
        <v>44379</v>
      </c>
      <c r="B617" s="8">
        <v>-4.8431857822044133E-4</v>
      </c>
      <c r="C617" s="4">
        <v>149.52526751595195</v>
      </c>
      <c r="D617" s="4">
        <v>-7.5815102432418291E-3</v>
      </c>
    </row>
    <row r="618" spans="1:4">
      <c r="A618" s="18">
        <v>44382</v>
      </c>
      <c r="B618" s="8">
        <v>6.4009832378371968E-3</v>
      </c>
      <c r="C618" s="4">
        <v>150.48237624695466</v>
      </c>
      <c r="D618" s="4">
        <v>-1.2290561253892607E-3</v>
      </c>
    </row>
    <row r="619" spans="1:4">
      <c r="A619" s="18">
        <v>44383</v>
      </c>
      <c r="B619" s="8">
        <v>-6.4966989639397062E-3</v>
      </c>
      <c r="C619" s="4">
        <v>149.5047375490999</v>
      </c>
      <c r="D619" s="4">
        <v>-7.7177702816724203E-3</v>
      </c>
    </row>
    <row r="620" spans="1:4">
      <c r="A620" s="18">
        <v>44384</v>
      </c>
      <c r="B620" s="8">
        <v>1.6074125643378359E-3</v>
      </c>
      <c r="C620" s="4">
        <v>149.74505334266436</v>
      </c>
      <c r="D620" s="4">
        <v>-6.1227633582540131E-3</v>
      </c>
    </row>
    <row r="621" spans="1:4">
      <c r="A621" s="18">
        <v>44385</v>
      </c>
      <c r="B621" s="8">
        <v>-9.5709756853016199E-3</v>
      </c>
      <c r="C621" s="4">
        <v>148.31184707812753</v>
      </c>
      <c r="D621" s="4">
        <v>-1.5635138224326939E-2</v>
      </c>
    </row>
    <row r="622" spans="1:4">
      <c r="A622" s="18">
        <v>44386</v>
      </c>
      <c r="B622" s="8">
        <v>-2.9878273462844405E-3</v>
      </c>
      <c r="C622" s="4">
        <v>147.86871688564955</v>
      </c>
      <c r="D622" s="4">
        <v>-1.8576250477061684E-2</v>
      </c>
    </row>
    <row r="623" spans="1:4">
      <c r="A623" s="18">
        <v>44389</v>
      </c>
      <c r="B623" s="8">
        <v>1.769410268795368E-4</v>
      </c>
      <c r="C623" s="4">
        <v>147.89488092825866</v>
      </c>
      <c r="D623" s="4">
        <v>-1.8402596351017153E-2</v>
      </c>
    </row>
    <row r="624" spans="1:4">
      <c r="A624" s="18">
        <v>44390</v>
      </c>
      <c r="B624" s="8">
        <v>5.6077563927172634E-3</v>
      </c>
      <c r="C624" s="4">
        <v>148.72423939223427</v>
      </c>
      <c r="D624" s="4">
        <v>-1.2898037235629767E-2</v>
      </c>
    </row>
    <row r="625" spans="1:4">
      <c r="A625" s="18">
        <v>44391</v>
      </c>
      <c r="B625" s="8">
        <v>4.4575584231501394E-3</v>
      </c>
      <c r="C625" s="4">
        <v>149.38718637826372</v>
      </c>
      <c r="D625" s="4">
        <v>-8.4979725670014661E-3</v>
      </c>
    </row>
    <row r="626" spans="1:4">
      <c r="A626" s="18">
        <v>44392</v>
      </c>
      <c r="B626" s="8">
        <v>8.8803432691127396E-3</v>
      </c>
      <c r="C626" s="4">
        <v>150.71379587330961</v>
      </c>
      <c r="D626" s="4">
        <v>0</v>
      </c>
    </row>
    <row r="627" spans="1:4">
      <c r="A627" s="18">
        <v>44393</v>
      </c>
      <c r="B627" s="8">
        <v>3.3009969638743758E-3</v>
      </c>
      <c r="C627" s="4">
        <v>151.21130165590139</v>
      </c>
      <c r="D627" s="4">
        <v>0</v>
      </c>
    </row>
    <row r="628" spans="1:4">
      <c r="A628" s="18">
        <v>44396</v>
      </c>
      <c r="B628" s="8">
        <v>-9.0546236928339772E-3</v>
      </c>
      <c r="C628" s="4">
        <v>149.84214022130362</v>
      </c>
      <c r="D628" s="4">
        <v>-9.0546236928338297E-3</v>
      </c>
    </row>
    <row r="629" spans="1:4">
      <c r="A629" s="18">
        <v>44397</v>
      </c>
      <c r="B629" s="8">
        <v>-4.3948564193869184E-3</v>
      </c>
      <c r="C629" s="4">
        <v>149.18360552945734</v>
      </c>
      <c r="D629" s="4">
        <v>-1.3409686341159244E-2</v>
      </c>
    </row>
    <row r="630" spans="1:4">
      <c r="A630" s="18">
        <v>44399</v>
      </c>
      <c r="B630" s="8">
        <v>1.5118904956631861E-2</v>
      </c>
      <c r="C630" s="4">
        <v>151.43909828254485</v>
      </c>
      <c r="D630" s="4">
        <v>0</v>
      </c>
    </row>
    <row r="631" spans="1:4">
      <c r="A631" s="18">
        <v>44400</v>
      </c>
      <c r="B631" s="8">
        <v>-1.4350412616318934E-3</v>
      </c>
      <c r="C631" s="4">
        <v>151.22177692788509</v>
      </c>
      <c r="D631" s="4">
        <v>-1.4350412616317421E-3</v>
      </c>
    </row>
    <row r="632" spans="1:4">
      <c r="A632" s="18">
        <v>44403</v>
      </c>
      <c r="B632" s="8">
        <v>-3.5896995642507364E-3</v>
      </c>
      <c r="C632" s="4">
        <v>150.67893618114184</v>
      </c>
      <c r="D632" s="4">
        <v>-5.0195894588909162E-3</v>
      </c>
    </row>
    <row r="633" spans="1:4">
      <c r="A633" s="18">
        <v>44404</v>
      </c>
      <c r="B633" s="8">
        <v>-4.3383556175504634E-3</v>
      </c>
      <c r="C633" s="4">
        <v>150.02523737191385</v>
      </c>
      <c r="D633" s="4">
        <v>-9.3361683123146522E-3</v>
      </c>
    </row>
    <row r="634" spans="1:4">
      <c r="A634" s="18">
        <v>44405</v>
      </c>
      <c r="B634" s="8">
        <v>-3.1427882985233008E-3</v>
      </c>
      <c r="C634" s="4">
        <v>149.55373981141821</v>
      </c>
      <c r="D634" s="4">
        <v>-1.2449615010313053E-2</v>
      </c>
    </row>
    <row r="635" spans="1:4">
      <c r="A635" s="18">
        <v>44406</v>
      </c>
      <c r="B635" s="8">
        <v>-7.2614249649691925E-4</v>
      </c>
      <c r="C635" s="4">
        <v>149.44514248543109</v>
      </c>
      <c r="D635" s="4">
        <v>-1.3166717312285914E-2</v>
      </c>
    </row>
    <row r="636" spans="1:4">
      <c r="A636" s="18">
        <v>44407</v>
      </c>
      <c r="B636" s="8">
        <v>1.3208558944151353E-2</v>
      </c>
      <c r="C636" s="4">
        <v>151.41909745886699</v>
      </c>
      <c r="D636" s="4">
        <v>-1.3207172985507665E-4</v>
      </c>
    </row>
    <row r="637" spans="1:4">
      <c r="A637" s="18">
        <v>44410</v>
      </c>
      <c r="B637" s="8">
        <v>1.0143845237445097E-2</v>
      </c>
      <c r="C637" s="4">
        <v>152.95506934948335</v>
      </c>
      <c r="D637" s="4">
        <v>0</v>
      </c>
    </row>
    <row r="638" spans="1:4">
      <c r="A638" s="18">
        <v>44411</v>
      </c>
      <c r="B638" s="8">
        <v>1.5330790966748636E-2</v>
      </c>
      <c r="C638" s="4">
        <v>155.29999154498481</v>
      </c>
      <c r="D638" s="4">
        <v>0</v>
      </c>
    </row>
    <row r="639" spans="1:4">
      <c r="A639" s="18">
        <v>44412</v>
      </c>
      <c r="B639" s="8">
        <v>-4.2181297680380135E-3</v>
      </c>
      <c r="C639" s="4">
        <v>154.64491602767285</v>
      </c>
      <c r="D639" s="4">
        <v>-4.218129768038037E-3</v>
      </c>
    </row>
    <row r="640" spans="1:4">
      <c r="A640" s="18">
        <v>44413</v>
      </c>
      <c r="B640" s="8">
        <v>5.7441078182300575E-3</v>
      </c>
      <c r="C640" s="4">
        <v>155.53321309887693</v>
      </c>
      <c r="D640" s="4">
        <v>0</v>
      </c>
    </row>
    <row r="641" spans="1:4">
      <c r="A641" s="18">
        <v>44414</v>
      </c>
      <c r="B641" s="8">
        <v>-2.3944849219058898E-3</v>
      </c>
      <c r="C641" s="4">
        <v>155.16079116525609</v>
      </c>
      <c r="D641" s="4">
        <v>-2.3944849219059705E-3</v>
      </c>
    </row>
    <row r="642" spans="1:4">
      <c r="A642" s="18">
        <v>44417</v>
      </c>
      <c r="B642" s="8">
        <v>-7.3615042337457637E-4</v>
      </c>
      <c r="C642" s="4">
        <v>155.04656948314863</v>
      </c>
      <c r="D642" s="4">
        <v>-3.1288726441915937E-3</v>
      </c>
    </row>
    <row r="643" spans="1:4">
      <c r="A643" s="18">
        <v>44418</v>
      </c>
      <c r="B643" s="8">
        <v>-2.1143005679607938E-3</v>
      </c>
      <c r="C643" s="4">
        <v>154.71875443323003</v>
      </c>
      <c r="D643" s="4">
        <v>-5.2365578349437003E-3</v>
      </c>
    </row>
    <row r="644" spans="1:4">
      <c r="A644" s="18">
        <v>44419</v>
      </c>
      <c r="B644" s="8">
        <v>-1.7522288350273541E-3</v>
      </c>
      <c r="C644" s="4">
        <v>154.44765177039261</v>
      </c>
      <c r="D644" s="4">
        <v>-6.9796110223363517E-3</v>
      </c>
    </row>
    <row r="645" spans="1:4">
      <c r="A645" s="18">
        <v>44420</v>
      </c>
      <c r="B645" s="8">
        <v>5.3767736467085119E-3</v>
      </c>
      <c r="C645" s="4">
        <v>155.27808183422766</v>
      </c>
      <c r="D645" s="4">
        <v>-1.6403651642371564E-3</v>
      </c>
    </row>
    <row r="646" spans="1:4">
      <c r="A646" s="18">
        <v>44421</v>
      </c>
      <c r="B646" s="8">
        <v>1.3539137375663332E-2</v>
      </c>
      <c r="C646" s="4">
        <v>157.38041311561076</v>
      </c>
      <c r="D646" s="4">
        <v>0</v>
      </c>
    </row>
    <row r="647" spans="1:4">
      <c r="A647" s="18">
        <v>44424</v>
      </c>
      <c r="B647" s="8">
        <v>-4.3286518473560579E-3</v>
      </c>
      <c r="C647" s="4">
        <v>156.69916809964022</v>
      </c>
      <c r="D647" s="4">
        <v>-4.3286518473560909E-3</v>
      </c>
    </row>
    <row r="648" spans="1:4">
      <c r="A648" s="18">
        <v>44425</v>
      </c>
      <c r="B648" s="8">
        <v>2.1353986618334111E-3</v>
      </c>
      <c r="C648" s="4">
        <v>157.0337832935106</v>
      </c>
      <c r="D648" s="4">
        <v>-2.2024965828850718E-3</v>
      </c>
    </row>
    <row r="649" spans="1:4">
      <c r="A649" s="18">
        <v>44426</v>
      </c>
      <c r="B649" s="8">
        <v>-2.1251112467909183E-3</v>
      </c>
      <c r="C649" s="4">
        <v>156.70006903450744</v>
      </c>
      <c r="D649" s="4">
        <v>-4.3229272794166329E-3</v>
      </c>
    </row>
    <row r="650" spans="1:4">
      <c r="A650" s="18">
        <v>44428</v>
      </c>
      <c r="B650" s="8">
        <v>-1.0032861987072796E-2</v>
      </c>
      <c r="C650" s="4">
        <v>155.12791886851946</v>
      </c>
      <c r="D650" s="4">
        <v>-1.4312417933714738E-2</v>
      </c>
    </row>
    <row r="651" spans="1:4">
      <c r="A651" s="18">
        <v>44431</v>
      </c>
      <c r="B651" s="8">
        <v>2.2456557084818635E-4</v>
      </c>
      <c r="C651" s="4">
        <v>155.16275525817466</v>
      </c>
      <c r="D651" s="4">
        <v>-1.409106643917013E-2</v>
      </c>
    </row>
    <row r="652" spans="1:4">
      <c r="A652" s="18">
        <v>44432</v>
      </c>
      <c r="B652" s="8">
        <v>6.1060156487013333E-3</v>
      </c>
      <c r="C652" s="4">
        <v>156.11018146987669</v>
      </c>
      <c r="D652" s="4">
        <v>-8.0710910626531351E-3</v>
      </c>
    </row>
    <row r="653" spans="1:4">
      <c r="A653" s="18">
        <v>44433</v>
      </c>
      <c r="B653" s="8">
        <v>-1.4090946994405025E-3</v>
      </c>
      <c r="C653" s="4">
        <v>155.89020744063879</v>
      </c>
      <c r="D653" s="4">
        <v>-9.4688128304586394E-3</v>
      </c>
    </row>
    <row r="654" spans="1:4">
      <c r="A654" s="18">
        <v>44434</v>
      </c>
      <c r="B654" s="8">
        <v>-3.726679549533477E-3</v>
      </c>
      <c r="C654" s="4">
        <v>155.30925459259723</v>
      </c>
      <c r="D654" s="4">
        <v>-1.3160205148858517E-2</v>
      </c>
    </row>
    <row r="655" spans="1:4">
      <c r="A655" s="18">
        <v>44435</v>
      </c>
      <c r="B655" s="8">
        <v>8.2172276412665092E-3</v>
      </c>
      <c r="C655" s="4">
        <v>156.58546609237999</v>
      </c>
      <c r="D655" s="4">
        <v>-5.0511179091060621E-3</v>
      </c>
    </row>
    <row r="656" spans="1:4">
      <c r="A656" s="18">
        <v>44438</v>
      </c>
      <c r="B656" s="8">
        <v>1.3980748570962907E-2</v>
      </c>
      <c r="C656" s="4">
        <v>158.77464812368459</v>
      </c>
      <c r="D656" s="4">
        <v>0</v>
      </c>
    </row>
    <row r="657" spans="1:4">
      <c r="A657" s="18">
        <v>44439</v>
      </c>
      <c r="B657" s="8">
        <v>7.8677642433204759E-3</v>
      </c>
      <c r="C657" s="4">
        <v>160.02384962293789</v>
      </c>
      <c r="D657" s="4">
        <v>0</v>
      </c>
    </row>
    <row r="658" spans="1:4">
      <c r="A658" s="18">
        <v>44440</v>
      </c>
      <c r="B658" s="8">
        <v>-4.5216256759188301E-3</v>
      </c>
      <c r="C658" s="4">
        <v>159.30028167572343</v>
      </c>
      <c r="D658" s="4">
        <v>-4.521625675918961E-3</v>
      </c>
    </row>
    <row r="659" spans="1:4">
      <c r="A659" s="18">
        <v>44441</v>
      </c>
      <c r="B659" s="8">
        <v>6.0365581315844161E-3</v>
      </c>
      <c r="C659" s="4">
        <v>160.26190708643671</v>
      </c>
      <c r="D659" s="4">
        <v>0</v>
      </c>
    </row>
    <row r="660" spans="1:4">
      <c r="A660" s="18">
        <v>44442</v>
      </c>
      <c r="B660" s="8">
        <v>8.1702109751632286E-3</v>
      </c>
      <c r="C660" s="4">
        <v>161.5712806786149</v>
      </c>
      <c r="D660" s="4">
        <v>0</v>
      </c>
    </row>
    <row r="661" spans="1:4">
      <c r="A661" s="18">
        <v>44445</v>
      </c>
      <c r="B661" s="8">
        <v>1.558270231957007E-3</v>
      </c>
      <c r="C661" s="4">
        <v>161.82305239563556</v>
      </c>
      <c r="D661" s="4">
        <v>0</v>
      </c>
    </row>
    <row r="662" spans="1:4">
      <c r="A662" s="18">
        <v>44446</v>
      </c>
      <c r="B662" s="8">
        <v>-3.3898417614683959E-3</v>
      </c>
      <c r="C662" s="4">
        <v>161.27449785465654</v>
      </c>
      <c r="D662" s="4">
        <v>-3.3898417614683929E-3</v>
      </c>
    </row>
    <row r="663" spans="1:4">
      <c r="A663" s="18">
        <v>44447</v>
      </c>
      <c r="B663" s="8">
        <v>-4.9869205741838469E-3</v>
      </c>
      <c r="C663" s="4">
        <v>160.47023474321401</v>
      </c>
      <c r="D663" s="4">
        <v>-8.3598574640286749E-3</v>
      </c>
    </row>
    <row r="664" spans="1:4">
      <c r="A664" s="18">
        <v>44448</v>
      </c>
      <c r="B664" s="8">
        <v>9.9516177897272405E-4</v>
      </c>
      <c r="C664" s="4">
        <v>160.62992858749323</v>
      </c>
      <c r="D664" s="4">
        <v>-7.3730150956817786E-3</v>
      </c>
    </row>
    <row r="665" spans="1:4">
      <c r="A665" s="18">
        <v>44452</v>
      </c>
      <c r="B665" s="8">
        <v>1.4112061976826356E-3</v>
      </c>
      <c r="C665" s="4">
        <v>160.85661053824919</v>
      </c>
      <c r="D665" s="4">
        <v>-5.9722137425980426E-3</v>
      </c>
    </row>
    <row r="666" spans="1:4">
      <c r="A666" s="18">
        <v>44453</v>
      </c>
      <c r="B666" s="8">
        <v>4.6167718017450596E-3</v>
      </c>
      <c r="C666" s="4">
        <v>161.59924880190647</v>
      </c>
      <c r="D666" s="4">
        <v>-1.3830142888536789E-3</v>
      </c>
    </row>
    <row r="667" spans="1:4">
      <c r="A667" s="18">
        <v>44454</v>
      </c>
      <c r="B667" s="8">
        <v>5.879782990833163E-3</v>
      </c>
      <c r="C667" s="4">
        <v>162.54941731634335</v>
      </c>
      <c r="D667" s="4">
        <v>0</v>
      </c>
    </row>
    <row r="668" spans="1:4">
      <c r="A668" s="18">
        <v>44455</v>
      </c>
      <c r="B668" s="8">
        <v>8.6002156147351287E-3</v>
      </c>
      <c r="C668" s="4">
        <v>163.94737735331347</v>
      </c>
      <c r="D668" s="4">
        <v>0</v>
      </c>
    </row>
    <row r="669" spans="1:4">
      <c r="A669" s="18">
        <v>44456</v>
      </c>
      <c r="B669" s="8">
        <v>-3.3996508642678462E-3</v>
      </c>
      <c r="C669" s="4">
        <v>163.39001351019982</v>
      </c>
      <c r="D669" s="4">
        <v>-3.3996508642678558E-3</v>
      </c>
    </row>
    <row r="670" spans="1:4">
      <c r="A670" s="18">
        <v>44459</v>
      </c>
      <c r="B670" s="8">
        <v>-5.9411171881221256E-3</v>
      </c>
      <c r="C670" s="4">
        <v>162.41929429256686</v>
      </c>
      <c r="D670" s="4">
        <v>-9.3205703282067676E-3</v>
      </c>
    </row>
    <row r="671" spans="1:4">
      <c r="A671" s="18">
        <v>44460</v>
      </c>
      <c r="B671" s="8">
        <v>4.0445922293344365E-3</v>
      </c>
      <c r="C671" s="4">
        <v>163.07621410815656</v>
      </c>
      <c r="D671" s="4">
        <v>-5.3136760051947229E-3</v>
      </c>
    </row>
    <row r="672" spans="1:4">
      <c r="A672" s="18">
        <v>44461</v>
      </c>
      <c r="B672" s="8">
        <v>2.6013222182305648E-3</v>
      </c>
      <c r="C672" s="4">
        <v>163.50042788718105</v>
      </c>
      <c r="D672" s="4">
        <v>-2.7261763704168329E-3</v>
      </c>
    </row>
    <row r="673" spans="1:4">
      <c r="A673" s="18">
        <v>44462</v>
      </c>
      <c r="B673" s="8">
        <v>1.3119936913322701E-2</v>
      </c>
      <c r="C673" s="4">
        <v>165.64554318636215</v>
      </c>
      <c r="D673" s="4">
        <v>0</v>
      </c>
    </row>
    <row r="674" spans="1:4">
      <c r="A674" s="18">
        <v>44463</v>
      </c>
      <c r="B674" s="8">
        <v>3.8201059450468536E-3</v>
      </c>
      <c r="C674" s="4">
        <v>166.27832671065889</v>
      </c>
      <c r="D674" s="4">
        <v>0</v>
      </c>
    </row>
    <row r="675" spans="1:4">
      <c r="A675" s="18">
        <v>44466</v>
      </c>
      <c r="B675" s="8">
        <v>8.4131323175821553E-3</v>
      </c>
      <c r="C675" s="4">
        <v>167.67724827482184</v>
      </c>
      <c r="D675" s="4">
        <v>0</v>
      </c>
    </row>
    <row r="676" spans="1:4">
      <c r="A676" s="18">
        <v>44467</v>
      </c>
      <c r="B676" s="8">
        <v>3.7974172657808758E-5</v>
      </c>
      <c r="C676" s="4">
        <v>167.6836156795986</v>
      </c>
      <c r="D676" s="4">
        <v>0</v>
      </c>
    </row>
    <row r="677" spans="1:4">
      <c r="A677" s="18">
        <v>44468</v>
      </c>
      <c r="B677" s="8">
        <v>2.8663502673138188E-3</v>
      </c>
      <c r="C677" s="4">
        <v>168.16425565622598</v>
      </c>
      <c r="D677" s="4">
        <v>0</v>
      </c>
    </row>
    <row r="678" spans="1:4">
      <c r="A678" s="18">
        <v>44469</v>
      </c>
      <c r="B678" s="8">
        <v>-4.2875910630474695E-3</v>
      </c>
      <c r="C678" s="4">
        <v>167.44323609655032</v>
      </c>
      <c r="D678" s="4">
        <v>-4.2875910630474356E-3</v>
      </c>
    </row>
    <row r="679" spans="1:4">
      <c r="A679" s="18">
        <v>44470</v>
      </c>
      <c r="B679" s="8">
        <v>-6.0085605124969715E-3</v>
      </c>
      <c r="C679" s="4">
        <v>166.43714328005589</v>
      </c>
      <c r="D679" s="4">
        <v>-1.02703893251892E-2</v>
      </c>
    </row>
    <row r="680" spans="1:4">
      <c r="A680" s="18">
        <v>44473</v>
      </c>
      <c r="B680" s="8">
        <v>7.2668586333276119E-3</v>
      </c>
      <c r="C680" s="4">
        <v>167.64661847160693</v>
      </c>
      <c r="D680" s="4">
        <v>-3.0781641591970388E-3</v>
      </c>
    </row>
    <row r="681" spans="1:4">
      <c r="A681" s="18">
        <v>44474</v>
      </c>
      <c r="B681" s="8">
        <v>4.9928717770512301E-3</v>
      </c>
      <c r="C681" s="4">
        <v>168.48365654149191</v>
      </c>
      <c r="D681" s="4">
        <v>0</v>
      </c>
    </row>
    <row r="682" spans="1:4">
      <c r="A682" s="18">
        <v>44475</v>
      </c>
      <c r="B682" s="8">
        <v>-1.1929774296291093E-2</v>
      </c>
      <c r="C682" s="4">
        <v>166.47368454633809</v>
      </c>
      <c r="D682" s="4">
        <v>-1.1929774296291051E-2</v>
      </c>
    </row>
    <row r="683" spans="1:4">
      <c r="A683" s="18">
        <v>44476</v>
      </c>
      <c r="B683" s="8">
        <v>1.8016185980527032E-2</v>
      </c>
      <c r="C683" s="4">
        <v>169.47290540798849</v>
      </c>
      <c r="D683" s="4">
        <v>0</v>
      </c>
    </row>
    <row r="684" spans="1:4">
      <c r="A684" s="18">
        <v>44477</v>
      </c>
      <c r="B684" s="8">
        <v>6.3962330887319162E-3</v>
      </c>
      <c r="C684" s="4">
        <v>170.55689361320262</v>
      </c>
      <c r="D684" s="4">
        <v>0</v>
      </c>
    </row>
    <row r="685" spans="1:4">
      <c r="A685" s="18">
        <v>44480</v>
      </c>
      <c r="B685" s="8">
        <v>3.6440484586252936E-3</v>
      </c>
      <c r="C685" s="4">
        <v>171.17841119848174</v>
      </c>
      <c r="D685" s="4">
        <v>0</v>
      </c>
    </row>
    <row r="686" spans="1:4">
      <c r="A686" s="18">
        <v>44481</v>
      </c>
      <c r="B686" s="8">
        <v>6.4507946233382499E-5</v>
      </c>
      <c r="C686" s="4">
        <v>171.18945356622766</v>
      </c>
      <c r="D686" s="4">
        <v>0</v>
      </c>
    </row>
    <row r="687" spans="1:4">
      <c r="A687" s="18">
        <v>44482</v>
      </c>
      <c r="B687" s="8">
        <v>6.6154981641023246E-3</v>
      </c>
      <c r="C687" s="4">
        <v>172.32195708200871</v>
      </c>
      <c r="D687" s="4">
        <v>0</v>
      </c>
    </row>
    <row r="688" spans="1:4">
      <c r="A688" s="18">
        <v>44483</v>
      </c>
      <c r="B688" s="8">
        <v>8.6848739246294434E-3</v>
      </c>
      <c r="C688" s="4">
        <v>173.81855155371136</v>
      </c>
      <c r="D688" s="4">
        <v>0</v>
      </c>
    </row>
    <row r="689" spans="1:4">
      <c r="A689" s="18">
        <v>44487</v>
      </c>
      <c r="B689" s="8">
        <v>9.2748517247137514E-3</v>
      </c>
      <c r="C689" s="4">
        <v>175.43069284637653</v>
      </c>
      <c r="D689" s="4">
        <v>0</v>
      </c>
    </row>
    <row r="690" spans="1:4">
      <c r="A690" s="18">
        <v>44488</v>
      </c>
      <c r="B690" s="8">
        <v>2.5464649405776254E-3</v>
      </c>
      <c r="C690" s="4">
        <v>175.87742095521105</v>
      </c>
      <c r="D690" s="4">
        <v>0</v>
      </c>
    </row>
    <row r="691" spans="1:4">
      <c r="A691" s="18">
        <v>44489</v>
      </c>
      <c r="B691" s="8">
        <v>-1.1547187654750091E-2</v>
      </c>
      <c r="C691" s="4">
        <v>173.84653137120776</v>
      </c>
      <c r="D691" s="4">
        <v>-1.1547187654750046E-2</v>
      </c>
    </row>
    <row r="692" spans="1:4">
      <c r="A692" s="18">
        <v>44490</v>
      </c>
      <c r="B692" s="8">
        <v>-8.2088917927519173E-3</v>
      </c>
      <c r="C692" s="4">
        <v>172.41944400663627</v>
      </c>
      <c r="D692" s="4">
        <v>-1.9661289833533546E-2</v>
      </c>
    </row>
    <row r="693" spans="1:4">
      <c r="A693" s="18">
        <v>44491</v>
      </c>
      <c r="B693" s="8">
        <v>-1.1619227374831129E-2</v>
      </c>
      <c r="C693" s="4">
        <v>170.4160632828812</v>
      </c>
      <c r="D693" s="4">
        <v>-3.105206821130635E-2</v>
      </c>
    </row>
    <row r="694" spans="1:4">
      <c r="A694" s="18">
        <v>44494</v>
      </c>
      <c r="B694" s="8">
        <v>-8.8364393843689687E-3</v>
      </c>
      <c r="C694" s="4">
        <v>168.91019206955923</v>
      </c>
      <c r="D694" s="4">
        <v>-3.9614117877166843E-2</v>
      </c>
    </row>
    <row r="695" spans="1:4">
      <c r="A695" s="18">
        <v>44495</v>
      </c>
      <c r="B695" s="8">
        <v>6.5658822478640464E-3</v>
      </c>
      <c r="C695" s="4">
        <v>170.01923650115205</v>
      </c>
      <c r="D695" s="4">
        <v>-3.3308337262637266E-2</v>
      </c>
    </row>
    <row r="696" spans="1:4">
      <c r="A696" s="18">
        <v>44496</v>
      </c>
      <c r="B696" s="8">
        <v>2.4297132714464027E-3</v>
      </c>
      <c r="C696" s="4">
        <v>170.43233449648008</v>
      </c>
      <c r="D696" s="4">
        <v>-3.095955370028769E-2</v>
      </c>
    </row>
    <row r="697" spans="1:4">
      <c r="A697" s="18">
        <v>44497</v>
      </c>
      <c r="B697" s="8">
        <v>-1.0810859514326872E-2</v>
      </c>
      <c r="C697" s="4">
        <v>168.58981447153985</v>
      </c>
      <c r="D697" s="4">
        <v>-4.1435713828934628E-2</v>
      </c>
    </row>
    <row r="698" spans="1:4">
      <c r="A698" s="18">
        <v>44498</v>
      </c>
      <c r="B698" s="8">
        <v>-1.1217486010296807E-2</v>
      </c>
      <c r="C698" s="4">
        <v>166.69866058622682</v>
      </c>
      <c r="D698" s="4">
        <v>-5.2188395299028745E-2</v>
      </c>
    </row>
    <row r="699" spans="1:4">
      <c r="A699" s="18">
        <v>44501</v>
      </c>
      <c r="B699" s="8">
        <v>1.6018545570077772E-2</v>
      </c>
      <c r="C699" s="4">
        <v>169.36893067729824</v>
      </c>
      <c r="D699" s="4">
        <v>-3.7005831917277576E-2</v>
      </c>
    </row>
    <row r="700" spans="1:4">
      <c r="A700" s="18">
        <v>44502</v>
      </c>
      <c r="B700" s="8">
        <v>5.2361175917813255E-3</v>
      </c>
      <c r="C700" s="4">
        <v>170.25576631471881</v>
      </c>
      <c r="D700" s="4">
        <v>-3.1963481212996969E-2</v>
      </c>
    </row>
    <row r="701" spans="1:4">
      <c r="A701" s="18">
        <v>44503</v>
      </c>
      <c r="B701" s="8">
        <v>-1.2859740231344306E-3</v>
      </c>
      <c r="C701" s="4">
        <v>170.03682182194925</v>
      </c>
      <c r="D701" s="4">
        <v>-3.3208351029602401E-2</v>
      </c>
    </row>
    <row r="702" spans="1:4">
      <c r="A702" s="18">
        <v>44504</v>
      </c>
      <c r="B702" s="8">
        <v>7.426560082680363E-3</v>
      </c>
      <c r="C702" s="4">
        <v>171.29961049547796</v>
      </c>
      <c r="D702" s="4">
        <v>-2.6028414761090191E-2</v>
      </c>
    </row>
    <row r="703" spans="1:4">
      <c r="A703" s="18">
        <v>44508</v>
      </c>
      <c r="B703" s="8">
        <v>3.8289192858159482E-3</v>
      </c>
      <c r="C703" s="4">
        <v>171.95550287775686</v>
      </c>
      <c r="D703" s="4">
        <v>-2.2299156174532153E-2</v>
      </c>
    </row>
    <row r="704" spans="1:4">
      <c r="A704" s="18">
        <v>44509</v>
      </c>
      <c r="B704" s="8">
        <v>-8.5969029019350527E-4</v>
      </c>
      <c r="C704" s="4">
        <v>171.80767440158752</v>
      </c>
      <c r="D704" s="4">
        <v>-2.3139676096682882E-2</v>
      </c>
    </row>
    <row r="705" spans="1:4">
      <c r="A705" s="18">
        <v>44510</v>
      </c>
      <c r="B705" s="8">
        <v>1.5441994078448508E-3</v>
      </c>
      <c r="C705" s="4">
        <v>172.07297971066166</v>
      </c>
      <c r="D705" s="4">
        <v>-2.1631208962964221E-2</v>
      </c>
    </row>
    <row r="706" spans="1:4">
      <c r="A706" s="18">
        <v>44511</v>
      </c>
      <c r="B706" s="8">
        <v>-7.035208588811695E-3</v>
      </c>
      <c r="C706" s="4">
        <v>170.8624104058988</v>
      </c>
      <c r="D706" s="4">
        <v>-2.8514237484693283E-2</v>
      </c>
    </row>
    <row r="707" spans="1:4">
      <c r="A707" s="18">
        <v>44512</v>
      </c>
      <c r="B707" s="8">
        <v>1.2225688579594194E-2</v>
      </c>
      <c r="C707" s="4">
        <v>172.95132102548013</v>
      </c>
      <c r="D707" s="4">
        <v>-1.6637155092671496E-2</v>
      </c>
    </row>
    <row r="708" spans="1:4">
      <c r="A708" s="18">
        <v>44515</v>
      </c>
      <c r="B708" s="8">
        <v>2.4245461640821659E-3</v>
      </c>
      <c r="C708" s="4">
        <v>173.37064948744541</v>
      </c>
      <c r="D708" s="4">
        <v>-1.4252946479150541E-2</v>
      </c>
    </row>
    <row r="709" spans="1:4">
      <c r="A709" s="18">
        <v>44516</v>
      </c>
      <c r="B709" s="8">
        <v>8.7224979264062148E-3</v>
      </c>
      <c r="C709" s="4">
        <v>174.88287461809935</v>
      </c>
      <c r="D709" s="4">
        <v>-5.6547698488538245E-3</v>
      </c>
    </row>
    <row r="710" spans="1:4">
      <c r="A710" s="18">
        <v>44517</v>
      </c>
      <c r="B710" s="8">
        <v>6.4179797704334873E-4</v>
      </c>
      <c r="C710" s="4">
        <v>174.99511409324879</v>
      </c>
      <c r="D710" s="4">
        <v>-5.0166010916600223E-3</v>
      </c>
    </row>
    <row r="711" spans="1:4">
      <c r="A711" s="18">
        <v>44518</v>
      </c>
      <c r="B711" s="8">
        <v>-1.0807513347862206E-2</v>
      </c>
      <c r="C711" s="4">
        <v>173.10385206187533</v>
      </c>
      <c r="D711" s="4">
        <v>-1.5769897456263227E-2</v>
      </c>
    </row>
    <row r="712" spans="1:4">
      <c r="A712" s="18">
        <v>44522</v>
      </c>
      <c r="B712" s="8">
        <v>-2.3737899034594188E-2</v>
      </c>
      <c r="C712" s="4">
        <v>168.99473029913119</v>
      </c>
      <c r="D712" s="4">
        <v>-3.9133452257254842E-2</v>
      </c>
    </row>
    <row r="713" spans="1:4">
      <c r="A713" s="18">
        <v>44523</v>
      </c>
      <c r="B713" s="8">
        <v>5.3959765068854748E-3</v>
      </c>
      <c r="C713" s="4">
        <v>169.90662189361274</v>
      </c>
      <c r="D713" s="4">
        <v>-3.3948638939382936E-2</v>
      </c>
    </row>
    <row r="714" spans="1:4">
      <c r="A714" s="18">
        <v>44524</v>
      </c>
      <c r="B714" s="8">
        <v>-1.3906632549250836E-2</v>
      </c>
      <c r="C714" s="4">
        <v>167.54379293525378</v>
      </c>
      <c r="D714" s="4">
        <v>-4.738316024135647E-2</v>
      </c>
    </row>
    <row r="715" spans="1:4">
      <c r="A715" s="18">
        <v>44525</v>
      </c>
      <c r="B715" s="8">
        <v>7.7289567578979219E-3</v>
      </c>
      <c r="C715" s="4">
        <v>168.83873166590456</v>
      </c>
      <c r="D715" s="4">
        <v>-4.002042588001653E-2</v>
      </c>
    </row>
    <row r="716" spans="1:4">
      <c r="A716" s="18">
        <v>44526</v>
      </c>
      <c r="B716" s="8">
        <v>-3.0947560058423803E-2</v>
      </c>
      <c r="C716" s="4">
        <v>163.61358487748589</v>
      </c>
      <c r="D716" s="4">
        <v>-6.972945140495479E-2</v>
      </c>
    </row>
    <row r="717" spans="1:4">
      <c r="A717" s="18">
        <v>44529</v>
      </c>
      <c r="B717" s="8">
        <v>-2.1735185456437877E-3</v>
      </c>
      <c r="C717" s="4">
        <v>163.25796771643542</v>
      </c>
      <c r="D717" s="4">
        <v>-7.1751411694792266E-2</v>
      </c>
    </row>
    <row r="718" spans="1:4">
      <c r="A718" s="18">
        <v>44530</v>
      </c>
      <c r="B718" s="8">
        <v>-2.890117314923822E-3</v>
      </c>
      <c r="C718" s="4">
        <v>162.78613303713888</v>
      </c>
      <c r="D718" s="4">
        <v>-7.4434159012406687E-2</v>
      </c>
    </row>
    <row r="719" spans="1:4">
      <c r="A719" s="18">
        <v>44531</v>
      </c>
      <c r="B719" s="8">
        <v>1.1786930919577396E-2</v>
      </c>
      <c r="C719" s="4">
        <v>164.70488194191279</v>
      </c>
      <c r="D719" s="4">
        <v>-6.3524578383165275E-2</v>
      </c>
    </row>
    <row r="720" spans="1:4">
      <c r="A720" s="18">
        <v>44532</v>
      </c>
      <c r="B720" s="8">
        <v>1.2412070666126837E-2</v>
      </c>
      <c r="C720" s="4">
        <v>166.74921057563188</v>
      </c>
      <c r="D720" s="4">
        <v>-5.1900979272966219E-2</v>
      </c>
    </row>
    <row r="721" spans="1:4">
      <c r="A721" s="18">
        <v>44533</v>
      </c>
      <c r="B721" s="8">
        <v>-1.1106495303023631E-2</v>
      </c>
      <c r="C721" s="4">
        <v>164.89721125159073</v>
      </c>
      <c r="D721" s="4">
        <v>-6.2431036593472378E-2</v>
      </c>
    </row>
    <row r="722" spans="1:4">
      <c r="A722" s="18">
        <v>44536</v>
      </c>
      <c r="B722" s="8">
        <v>-1.8229615550996923E-2</v>
      </c>
      <c r="C722" s="4">
        <v>161.89119848504271</v>
      </c>
      <c r="D722" s="4">
        <v>-7.952255834892008E-2</v>
      </c>
    </row>
    <row r="723" spans="1:4">
      <c r="A723" s="18">
        <v>44537</v>
      </c>
      <c r="B723" s="8">
        <v>1.2202687208488924E-2</v>
      </c>
      <c r="C723" s="4">
        <v>163.86670614196305</v>
      </c>
      <c r="D723" s="4">
        <v>-6.8290260045981932E-2</v>
      </c>
    </row>
    <row r="724" spans="1:4">
      <c r="A724" s="18">
        <v>44538</v>
      </c>
      <c r="B724" s="8">
        <v>2.0515824706926852E-2</v>
      </c>
      <c r="C724" s="4">
        <v>167.22856676047306</v>
      </c>
      <c r="D724" s="4">
        <v>-4.9175466343348906E-2</v>
      </c>
    </row>
    <row r="725" spans="1:4">
      <c r="A725" s="18">
        <v>44539</v>
      </c>
      <c r="B725" s="8">
        <v>1.0496653467168205E-2</v>
      </c>
      <c r="C725" s="4">
        <v>168.98390707556894</v>
      </c>
      <c r="D725" s="4">
        <v>-3.9194990705473276E-2</v>
      </c>
    </row>
    <row r="726" spans="1:4">
      <c r="A726" s="18">
        <v>44540</v>
      </c>
      <c r="B726" s="8">
        <v>5.6910599331183077E-4</v>
      </c>
      <c r="C726" s="4">
        <v>169.08007682985888</v>
      </c>
      <c r="D726" s="4">
        <v>-3.8648190816279793E-2</v>
      </c>
    </row>
    <row r="727" spans="1:4">
      <c r="A727" s="18">
        <v>44543</v>
      </c>
      <c r="B727" s="8">
        <v>-3.6258879881307503E-3</v>
      </c>
      <c r="C727" s="4">
        <v>168.46701141024926</v>
      </c>
      <c r="D727" s="4">
        <v>-4.2133944793566913E-2</v>
      </c>
    </row>
    <row r="728" spans="1:4">
      <c r="A728" s="18">
        <v>44544</v>
      </c>
      <c r="B728" s="8">
        <v>-4.8668959951340789E-3</v>
      </c>
      <c r="C728" s="4">
        <v>167.6470999871045</v>
      </c>
      <c r="D728" s="4">
        <v>-4.6795779261526005E-2</v>
      </c>
    </row>
    <row r="729" spans="1:4">
      <c r="A729" s="18">
        <v>44545</v>
      </c>
      <c r="B729" s="8">
        <v>3.0114610239700525E-3</v>
      </c>
      <c r="C729" s="4">
        <v>168.15196269449726</v>
      </c>
      <c r="D729" s="4">
        <v>-4.392524190288849E-2</v>
      </c>
    </row>
    <row r="730" spans="1:4">
      <c r="A730" s="18">
        <v>44546</v>
      </c>
      <c r="B730" s="8">
        <v>-2.4745018091655436E-3</v>
      </c>
      <c r="C730" s="4">
        <v>167.73587035859498</v>
      </c>
      <c r="D730" s="4">
        <v>-4.6291050621497298E-2</v>
      </c>
    </row>
    <row r="731" spans="1:4">
      <c r="A731" s="18">
        <v>44547</v>
      </c>
      <c r="B731" s="8">
        <v>-1.0085812648870417E-2</v>
      </c>
      <c r="C731" s="4">
        <v>166.04411779566297</v>
      </c>
      <c r="D731" s="4">
        <v>-5.5909980406479987E-2</v>
      </c>
    </row>
    <row r="732" spans="1:4">
      <c r="A732" s="18">
        <v>44550</v>
      </c>
      <c r="B732" s="8">
        <v>-1.5987549892244917E-2</v>
      </c>
      <c r="C732" s="4">
        <v>163.38947917809102</v>
      </c>
      <c r="D732" s="4">
        <v>-7.1003666697501799E-2</v>
      </c>
    </row>
    <row r="733" spans="1:4">
      <c r="A733" s="18">
        <v>44551</v>
      </c>
      <c r="B733" s="8">
        <v>1.1375103582291586E-2</v>
      </c>
      <c r="C733" s="4">
        <v>165.24805142799846</v>
      </c>
      <c r="D733" s="4">
        <v>-6.0436237178616903E-2</v>
      </c>
    </row>
    <row r="734" spans="1:4">
      <c r="A734" s="18">
        <v>44552</v>
      </c>
      <c r="B734" s="8">
        <v>1.5401577173179862E-2</v>
      </c>
      <c r="C734" s="4">
        <v>167.79313204478439</v>
      </c>
      <c r="D734" s="4">
        <v>-4.5965473376400112E-2</v>
      </c>
    </row>
    <row r="735" spans="1:4">
      <c r="A735" s="18">
        <v>44553</v>
      </c>
      <c r="B735" s="8">
        <v>3.1564138838923728E-3</v>
      </c>
      <c r="C735" s="4">
        <v>168.32275661639233</v>
      </c>
      <c r="D735" s="4">
        <v>-4.295414555085264E-2</v>
      </c>
    </row>
    <row r="736" spans="1:4">
      <c r="A736" s="18">
        <v>44554</v>
      </c>
      <c r="B736" s="8">
        <v>-4.3104018595308347E-3</v>
      </c>
      <c r="C736" s="4">
        <v>167.59721789327168</v>
      </c>
      <c r="D736" s="4">
        <v>-4.7079397781526588E-2</v>
      </c>
    </row>
    <row r="737" spans="1:4">
      <c r="A737" s="18">
        <v>44557</v>
      </c>
      <c r="B737" s="8">
        <v>2.6926972198846018E-3</v>
      </c>
      <c r="C737" s="4">
        <v>168.04850645595329</v>
      </c>
      <c r="D737" s="4">
        <v>-4.451347112516213E-2</v>
      </c>
    </row>
    <row r="738" spans="1:4">
      <c r="A738" s="18">
        <v>44558</v>
      </c>
      <c r="B738" s="8">
        <v>1.1940717773627672E-2</v>
      </c>
      <c r="C738" s="4">
        <v>170.05512624382348</v>
      </c>
      <c r="D738" s="4">
        <v>-3.3104276147364442E-2</v>
      </c>
    </row>
    <row r="739" spans="1:4">
      <c r="A739" s="18">
        <v>44559</v>
      </c>
      <c r="B739" s="8">
        <v>3.5229963987699359E-3</v>
      </c>
      <c r="C739" s="4">
        <v>170.65422984117285</v>
      </c>
      <c r="D739" s="4">
        <v>-2.9697905994245488E-2</v>
      </c>
    </row>
    <row r="740" spans="1:4">
      <c r="A740" s="18">
        <v>44560</v>
      </c>
      <c r="B740" s="8">
        <v>-4.4686724675283077E-3</v>
      </c>
      <c r="C740" s="4">
        <v>169.89163198281435</v>
      </c>
      <c r="D740" s="4">
        <v>-3.4033868246914123E-2</v>
      </c>
    </row>
    <row r="741" spans="1:4">
      <c r="A741" s="18">
        <v>44561</v>
      </c>
      <c r="B741" s="8">
        <v>9.0189538197752977E-3</v>
      </c>
      <c r="C741" s="4">
        <v>171.42387676603363</v>
      </c>
      <c r="D741" s="4">
        <v>-2.5321864313165965E-2</v>
      </c>
    </row>
    <row r="742" spans="1:4">
      <c r="A742" s="18">
        <v>44564</v>
      </c>
      <c r="B742" s="8">
        <v>1.2621191179272821E-2</v>
      </c>
      <c r="C742" s="4">
        <v>173.58745028738986</v>
      </c>
      <c r="D742" s="4">
        <v>-1.3020265224405136E-2</v>
      </c>
    </row>
    <row r="743" spans="1:4">
      <c r="A743" s="18">
        <v>44565</v>
      </c>
      <c r="B743" s="8">
        <v>7.5669460071049926E-3</v>
      </c>
      <c r="C743" s="4">
        <v>174.90097715122556</v>
      </c>
      <c r="D743" s="4">
        <v>-5.5518428612513215E-3</v>
      </c>
    </row>
    <row r="744" spans="1:4">
      <c r="A744" s="18">
        <v>44566</v>
      </c>
      <c r="B744" s="8">
        <v>3.8627451382294148E-3</v>
      </c>
      <c r="C744" s="4">
        <v>175.57657505038802</v>
      </c>
      <c r="D744" s="4">
        <v>-1.7105430770425478E-3</v>
      </c>
    </row>
    <row r="745" spans="1:4">
      <c r="A745" s="18">
        <v>44567</v>
      </c>
      <c r="B745" s="8">
        <v>-7.8436697368004064E-3</v>
      </c>
      <c r="C745" s="4">
        <v>174.19941038217422</v>
      </c>
      <c r="D745" s="4">
        <v>-9.5407958788760183E-3</v>
      </c>
    </row>
    <row r="746" spans="1:4">
      <c r="A746" s="18">
        <v>44568</v>
      </c>
      <c r="B746" s="8">
        <v>8.0123167021716249E-4</v>
      </c>
      <c r="C746" s="4">
        <v>174.33898446670557</v>
      </c>
      <c r="D746" s="4">
        <v>-8.7472085964761526E-3</v>
      </c>
    </row>
    <row r="747" spans="1:4">
      <c r="A747" s="18">
        <v>44571</v>
      </c>
      <c r="B747" s="8">
        <v>1.4663927364300415E-2</v>
      </c>
      <c r="C747" s="4">
        <v>176.89547867169122</v>
      </c>
      <c r="D747" s="4">
        <v>0</v>
      </c>
    </row>
    <row r="748" spans="1:4">
      <c r="A748" s="18">
        <v>44572</v>
      </c>
      <c r="B748" s="8">
        <v>4.0609893127959368E-3</v>
      </c>
      <c r="C748" s="4">
        <v>177.61384932005888</v>
      </c>
      <c r="D748" s="4">
        <v>0</v>
      </c>
    </row>
    <row r="749" spans="1:4">
      <c r="A749" s="18">
        <v>44573</v>
      </c>
      <c r="B749" s="8">
        <v>5.644610473421797E-3</v>
      </c>
      <c r="C749" s="4">
        <v>178.61641031415564</v>
      </c>
      <c r="D749" s="4">
        <v>0</v>
      </c>
    </row>
    <row r="750" spans="1:4">
      <c r="A750" s="18">
        <v>44574</v>
      </c>
      <c r="B750" s="8">
        <v>9.0046498797382961E-3</v>
      </c>
      <c r="C750" s="4">
        <v>180.22478855181029</v>
      </c>
      <c r="D750" s="4">
        <v>0</v>
      </c>
    </row>
    <row r="751" spans="1:4">
      <c r="A751" s="18">
        <v>44575</v>
      </c>
      <c r="B751" s="8">
        <v>5.2913952038275841E-3</v>
      </c>
      <c r="C751" s="4">
        <v>181.17842913356418</v>
      </c>
      <c r="D751" s="4">
        <v>0</v>
      </c>
    </row>
    <row r="752" spans="1:4">
      <c r="A752" s="18">
        <v>44578</v>
      </c>
      <c r="B752" s="8">
        <v>7.4406442876888993E-3</v>
      </c>
      <c r="C752" s="4">
        <v>182.52651337734929</v>
      </c>
      <c r="D752" s="4">
        <v>0</v>
      </c>
    </row>
    <row r="753" spans="1:4">
      <c r="A753" s="18">
        <v>44579</v>
      </c>
      <c r="B753" s="8">
        <v>-1.7897821743805532E-2</v>
      </c>
      <c r="C753" s="4">
        <v>179.25968637740317</v>
      </c>
      <c r="D753" s="4">
        <v>-1.7897821743805498E-2</v>
      </c>
    </row>
    <row r="754" spans="1:4">
      <c r="A754" s="18">
        <v>44580</v>
      </c>
      <c r="B754" s="8">
        <v>-3.6955551962731662E-3</v>
      </c>
      <c r="C754" s="4">
        <v>178.59722231192885</v>
      </c>
      <c r="D754" s="4">
        <v>-2.1527234551931396E-2</v>
      </c>
    </row>
    <row r="755" spans="1:4">
      <c r="A755" s="18">
        <v>44581</v>
      </c>
      <c r="B755" s="8">
        <v>-1.176498300713181E-2</v>
      </c>
      <c r="C755" s="4">
        <v>176.49602902630807</v>
      </c>
      <c r="D755" s="4">
        <v>-3.3038950010369161E-2</v>
      </c>
    </row>
    <row r="756" spans="1:4">
      <c r="A756" s="18">
        <v>44582</v>
      </c>
      <c r="B756" s="8">
        <v>-4.6455476068748688E-3</v>
      </c>
      <c r="C756" s="4">
        <v>175.67610832104199</v>
      </c>
      <c r="D756" s="4">
        <v>-3.7531013602089658E-2</v>
      </c>
    </row>
    <row r="757" spans="1:4">
      <c r="A757" s="18">
        <v>44585</v>
      </c>
      <c r="B757" s="8">
        <v>-2.299354752391547E-2</v>
      </c>
      <c r="C757" s="4">
        <v>171.63669137554558</v>
      </c>
      <c r="D757" s="4">
        <v>-5.9661589981124807E-2</v>
      </c>
    </row>
    <row r="758" spans="1:4">
      <c r="A758" s="18">
        <v>44586</v>
      </c>
      <c r="B758" s="8">
        <v>1.7334568803551158E-2</v>
      </c>
      <c r="C758" s="4">
        <v>174.61193941140885</v>
      </c>
      <c r="D758" s="4">
        <v>-4.336122911403073E-2</v>
      </c>
    </row>
    <row r="759" spans="1:4">
      <c r="A759" s="18">
        <v>44588</v>
      </c>
      <c r="B759" s="8">
        <v>-3.1844787265612527E-3</v>
      </c>
      <c r="C759" s="4">
        <v>174.05589140494962</v>
      </c>
      <c r="D759" s="4">
        <v>-4.640762492892081E-2</v>
      </c>
    </row>
    <row r="760" spans="1:4">
      <c r="A760" s="18">
        <v>44589</v>
      </c>
      <c r="B760" s="8">
        <v>-2.6480758728725908E-3</v>
      </c>
      <c r="C760" s="4">
        <v>173.59497819838884</v>
      </c>
      <c r="D760" s="4">
        <v>-4.8932809889901785E-2</v>
      </c>
    </row>
    <row r="761" spans="1:4">
      <c r="A761" s="18">
        <v>44592</v>
      </c>
      <c r="B761" s="8">
        <v>1.2080999625110595E-2</v>
      </c>
      <c r="C761" s="4">
        <v>175.69217906492466</v>
      </c>
      <c r="D761" s="4">
        <v>-3.7442967522726689E-2</v>
      </c>
    </row>
    <row r="762" spans="1:4">
      <c r="A762" s="18">
        <v>44593</v>
      </c>
      <c r="B762" s="8">
        <v>2.4156890926398021E-2</v>
      </c>
      <c r="C762" s="4">
        <v>179.93635587121724</v>
      </c>
      <c r="D762" s="4">
        <v>-1.4190582278735819E-2</v>
      </c>
    </row>
    <row r="763" spans="1:4">
      <c r="A763" s="18">
        <v>44594</v>
      </c>
      <c r="B763" s="8">
        <v>3.6129979697275614E-3</v>
      </c>
      <c r="C763" s="4">
        <v>180.58646555966013</v>
      </c>
      <c r="D763" s="4">
        <v>-1.0628854853970582E-2</v>
      </c>
    </row>
    <row r="764" spans="1:4">
      <c r="A764" s="18">
        <v>44595</v>
      </c>
      <c r="B764" s="8">
        <v>-8.8956271323031473E-3</v>
      </c>
      <c r="C764" s="4">
        <v>178.98003569690087</v>
      </c>
      <c r="D764" s="4">
        <v>-1.9429931656649524E-2</v>
      </c>
    </row>
    <row r="765" spans="1:4">
      <c r="A765" s="18">
        <v>44596</v>
      </c>
      <c r="B765" s="8">
        <v>1.3740015469686231E-3</v>
      </c>
      <c r="C765" s="4">
        <v>179.22595454282489</v>
      </c>
      <c r="D765" s="4">
        <v>-1.8082626865834728E-2</v>
      </c>
    </row>
    <row r="766" spans="1:4">
      <c r="A766" s="18">
        <v>44599</v>
      </c>
      <c r="B766" s="8">
        <v>-1.5523245491969194E-2</v>
      </c>
      <c r="C766" s="4">
        <v>176.44378605192412</v>
      </c>
      <c r="D766" s="4">
        <v>-3.3325171301825773E-2</v>
      </c>
    </row>
    <row r="767" spans="1:4">
      <c r="A767" s="18">
        <v>44600</v>
      </c>
      <c r="B767" s="8">
        <v>3.7593484351915959E-3</v>
      </c>
      <c r="C767" s="4">
        <v>177.10709972291772</v>
      </c>
      <c r="D767" s="4">
        <v>-2.9691103797220175E-2</v>
      </c>
    </row>
    <row r="768" spans="1:4">
      <c r="A768" s="18">
        <v>44601</v>
      </c>
      <c r="B768" s="8">
        <v>1.3480909030297937E-2</v>
      </c>
      <c r="C768" s="4">
        <v>179.49466442290228</v>
      </c>
      <c r="D768" s="4">
        <v>-1.6610457836221726E-2</v>
      </c>
    </row>
    <row r="769" spans="1:4">
      <c r="A769" s="18">
        <v>44602</v>
      </c>
      <c r="B769" s="8">
        <v>3.2792867317210763E-3</v>
      </c>
      <c r="C769" s="4">
        <v>180.08327889435901</v>
      </c>
      <c r="D769" s="4">
        <v>-1.3385641558490868E-2</v>
      </c>
    </row>
    <row r="770" spans="1:4">
      <c r="A770" s="18">
        <v>44603</v>
      </c>
      <c r="B770" s="8">
        <v>-1.153091497758869E-2</v>
      </c>
      <c r="C770" s="4">
        <v>178.00675391654275</v>
      </c>
      <c r="D770" s="4">
        <v>-2.4762207841348194E-2</v>
      </c>
    </row>
    <row r="771" spans="1:4">
      <c r="A771" s="18">
        <v>44606</v>
      </c>
      <c r="B771" s="8">
        <v>-2.6494436330754056E-2</v>
      </c>
      <c r="C771" s="4">
        <v>173.29056530845671</v>
      </c>
      <c r="D771" s="4">
        <v>-5.0600583433040747E-2</v>
      </c>
    </row>
    <row r="772" spans="1:4">
      <c r="A772" s="18">
        <v>44607</v>
      </c>
      <c r="B772" s="8">
        <v>2.9181345862184477E-2</v>
      </c>
      <c r="C772" s="4">
        <v>178.34741722937628</v>
      </c>
      <c r="D772" s="4">
        <v>-2.2895830696843977E-2</v>
      </c>
    </row>
    <row r="773" spans="1:4">
      <c r="A773" s="18">
        <v>44608</v>
      </c>
      <c r="B773" s="8">
        <v>-4.6868229692852452E-3</v>
      </c>
      <c r="C773" s="4">
        <v>177.51153445779295</v>
      </c>
      <c r="D773" s="4">
        <v>-2.7475344960918302E-2</v>
      </c>
    </row>
    <row r="774" spans="1:4">
      <c r="A774" s="18">
        <v>44609</v>
      </c>
      <c r="B774" s="8">
        <v>-8.9847846605078073E-4</v>
      </c>
      <c r="C774" s="4">
        <v>177.35204416660699</v>
      </c>
      <c r="D774" s="4">
        <v>-2.8349137421174397E-2</v>
      </c>
    </row>
    <row r="775" spans="1:4">
      <c r="A775" s="18">
        <v>44610</v>
      </c>
      <c r="B775" s="8">
        <v>3.1929556210712217E-4</v>
      </c>
      <c r="C775" s="4">
        <v>177.40867188724002</v>
      </c>
      <c r="D775" s="4">
        <v>-2.8038893612835403E-2</v>
      </c>
    </row>
    <row r="776" spans="1:4">
      <c r="A776" s="18">
        <v>44613</v>
      </c>
      <c r="B776" s="8">
        <v>-7.1658318541930974E-3</v>
      </c>
      <c r="C776" s="4">
        <v>176.13739117502035</v>
      </c>
      <c r="D776" s="4">
        <v>-3.5003803470021189E-2</v>
      </c>
    </row>
    <row r="777" spans="1:4">
      <c r="A777" s="18">
        <v>44614</v>
      </c>
      <c r="B777" s="8">
        <v>-6.7888952252235651E-3</v>
      </c>
      <c r="C777" s="4">
        <v>174.94161288108893</v>
      </c>
      <c r="D777" s="4">
        <v>-4.1555061541002414E-2</v>
      </c>
    </row>
    <row r="778" spans="1:4">
      <c r="A778" s="18">
        <v>44615</v>
      </c>
      <c r="B778" s="8">
        <v>-2.8428381511742184E-3</v>
      </c>
      <c r="C778" s="4">
        <v>174.44428218976262</v>
      </c>
      <c r="D778" s="4">
        <v>-4.4279765377853497E-2</v>
      </c>
    </row>
    <row r="779" spans="1:4">
      <c r="A779" s="18">
        <v>44616</v>
      </c>
      <c r="B779" s="8">
        <v>-4.2086206645175837E-2</v>
      </c>
      <c r="C779" s="4">
        <v>167.10258408145489</v>
      </c>
      <c r="D779" s="4">
        <v>-8.450240466713721E-2</v>
      </c>
    </row>
    <row r="780" spans="1:4">
      <c r="A780" s="18">
        <v>44617</v>
      </c>
      <c r="B780" s="8">
        <v>1.7720746314275698E-2</v>
      </c>
      <c r="C780" s="4">
        <v>170.06376658242226</v>
      </c>
      <c r="D780" s="4">
        <v>-6.8279104028914128E-2</v>
      </c>
    </row>
    <row r="781" spans="1:4">
      <c r="A781" s="18">
        <v>44620</v>
      </c>
      <c r="B781" s="8">
        <v>1.0978279270856751E-2</v>
      </c>
      <c r="C781" s="4">
        <v>171.9307741058179</v>
      </c>
      <c r="D781" s="4">
        <v>-5.8050411830450677E-2</v>
      </c>
    </row>
    <row r="782" spans="1:4">
      <c r="A782" s="18">
        <v>44622</v>
      </c>
      <c r="B782" s="8">
        <v>-2.0943616718201701E-2</v>
      </c>
      <c r="C782" s="4">
        <v>168.32992187088195</v>
      </c>
      <c r="D782" s="4">
        <v>-7.7778242972941558E-2</v>
      </c>
    </row>
    <row r="783" spans="1:4">
      <c r="A783" s="18">
        <v>44623</v>
      </c>
      <c r="B783" s="8">
        <v>-7.8000540244851316E-3</v>
      </c>
      <c r="C783" s="4">
        <v>167.01693938635171</v>
      </c>
      <c r="D783" s="4">
        <v>-8.4971622500308208E-2</v>
      </c>
    </row>
    <row r="784" spans="1:4">
      <c r="A784" s="18">
        <v>44624</v>
      </c>
      <c r="B784" s="8">
        <v>-1.2981952281496022E-2</v>
      </c>
      <c r="C784" s="4">
        <v>164.84873344903659</v>
      </c>
      <c r="D784" s="4">
        <v>-9.6850477233223931E-2</v>
      </c>
    </row>
    <row r="785" spans="1:4">
      <c r="A785" s="18">
        <v>44627</v>
      </c>
      <c r="B785" s="8">
        <v>-3.0341752628668863E-2</v>
      </c>
      <c r="C785" s="4">
        <v>159.84693395757654</v>
      </c>
      <c r="D785" s="4">
        <v>-0.12425361663971379</v>
      </c>
    </row>
    <row r="786" spans="1:4">
      <c r="A786" s="18">
        <v>44628</v>
      </c>
      <c r="B786" s="8">
        <v>1.5328798255143711E-2</v>
      </c>
      <c r="C786" s="4">
        <v>162.29719535991552</v>
      </c>
      <c r="D786" s="4">
        <v>-0.11082947700651213</v>
      </c>
    </row>
    <row r="787" spans="1:4">
      <c r="A787" s="18">
        <v>44629</v>
      </c>
      <c r="B787" s="8">
        <v>2.5005165217805467E-2</v>
      </c>
      <c r="C787" s="4">
        <v>166.35546354427663</v>
      </c>
      <c r="D787" s="4">
        <v>-8.859562117225761E-2</v>
      </c>
    </row>
    <row r="788" spans="1:4">
      <c r="A788" s="18">
        <v>44630</v>
      </c>
      <c r="B788" s="8">
        <v>1.4221750661824394E-2</v>
      </c>
      <c r="C788" s="4">
        <v>168.72132946803555</v>
      </c>
      <c r="D788" s="4">
        <v>-7.5633855344474532E-2</v>
      </c>
    </row>
    <row r="789" spans="1:4">
      <c r="A789" s="18">
        <v>44631</v>
      </c>
      <c r="B789" s="8">
        <v>4.1820868194999911E-3</v>
      </c>
      <c r="C789" s="4">
        <v>169.42693671617232</v>
      </c>
      <c r="D789" s="4">
        <v>-7.1768075874518722E-2</v>
      </c>
    </row>
    <row r="790" spans="1:4">
      <c r="A790" s="18">
        <v>44634</v>
      </c>
      <c r="B790" s="8">
        <v>1.4979263238638494E-2</v>
      </c>
      <c r="C790" s="4">
        <v>171.96482740096002</v>
      </c>
      <c r="D790" s="4">
        <v>-5.786384553653523E-2</v>
      </c>
    </row>
    <row r="791" spans="1:4">
      <c r="A791" s="18">
        <v>44635</v>
      </c>
      <c r="B791" s="8">
        <v>-5.4901125199178363E-3</v>
      </c>
      <c r="C791" s="4">
        <v>171.02072114906051</v>
      </c>
      <c r="D791" s="4">
        <v>-6.30362790336223E-2</v>
      </c>
    </row>
    <row r="792" spans="1:4">
      <c r="A792" s="18">
        <v>44636</v>
      </c>
      <c r="B792" s="8">
        <v>1.1649062583463899E-2</v>
      </c>
      <c r="C792" s="4">
        <v>173.01295223279504</v>
      </c>
      <c r="D792" s="4">
        <v>-5.2121530009649697E-2</v>
      </c>
    </row>
    <row r="793" spans="1:4">
      <c r="A793" s="18">
        <v>44637</v>
      </c>
      <c r="B793" s="8">
        <v>1.8157441578719066E-2</v>
      </c>
      <c r="C793" s="4">
        <v>176.15442480532374</v>
      </c>
      <c r="D793" s="4">
        <v>-3.4910482067074255E-2</v>
      </c>
    </row>
    <row r="794" spans="1:4">
      <c r="A794" s="18">
        <v>44641</v>
      </c>
      <c r="B794" s="8">
        <v>-4.5167183839023919E-3</v>
      </c>
      <c r="C794" s="4">
        <v>175.35878487639977</v>
      </c>
      <c r="D794" s="4">
        <v>-3.9269519634833494E-2</v>
      </c>
    </row>
    <row r="795" spans="1:4">
      <c r="A795" s="18">
        <v>44642</v>
      </c>
      <c r="B795" s="8">
        <v>1.2415378312486736E-2</v>
      </c>
      <c r="C795" s="4">
        <v>177.53593053105826</v>
      </c>
      <c r="D795" s="4">
        <v>-2.7341687264762826E-2</v>
      </c>
    </row>
    <row r="796" spans="1:4">
      <c r="A796" s="18">
        <v>44643</v>
      </c>
      <c r="B796" s="8">
        <v>-5.9801196839536254E-3</v>
      </c>
      <c r="C796" s="4">
        <v>176.47424441828045</v>
      </c>
      <c r="D796" s="4">
        <v>-3.3158300386511907E-2</v>
      </c>
    </row>
    <row r="797" spans="1:4">
      <c r="A797" s="18">
        <v>44644</v>
      </c>
      <c r="B797" s="8">
        <v>2.2083066403698923E-3</v>
      </c>
      <c r="C797" s="4">
        <v>176.86395366408362</v>
      </c>
      <c r="D797" s="4">
        <v>-3.102321744106884E-2</v>
      </c>
    </row>
    <row r="798" spans="1:4">
      <c r="A798" s="18">
        <v>44645</v>
      </c>
      <c r="B798" s="8">
        <v>-8.6873155017796501E-3</v>
      </c>
      <c r="C798" s="4">
        <v>175.32748069771159</v>
      </c>
      <c r="D798" s="4">
        <v>-3.9441024465057595E-2</v>
      </c>
    </row>
    <row r="799" spans="1:4">
      <c r="A799" s="18">
        <v>44648</v>
      </c>
      <c r="B799" s="8">
        <v>3.6302791644313307E-3</v>
      </c>
      <c r="C799" s="4">
        <v>175.96396839784074</v>
      </c>
      <c r="D799" s="4">
        <v>-3.5953927229965488E-2</v>
      </c>
    </row>
    <row r="800" spans="1:4">
      <c r="A800" s="18">
        <v>44649</v>
      </c>
      <c r="B800" s="8">
        <v>2.524711873616736E-3</v>
      </c>
      <c r="C800" s="4">
        <v>176.4082267181835</v>
      </c>
      <c r="D800" s="4">
        <v>-3.3519988663329392E-2</v>
      </c>
    </row>
    <row r="801" spans="1:4">
      <c r="A801" s="18">
        <v>44650</v>
      </c>
      <c r="B801" s="8">
        <v>1.0799988165971747E-2</v>
      </c>
      <c r="C801" s="4">
        <v>178.31343347911994</v>
      </c>
      <c r="D801" s="4">
        <v>-2.3082015978245107E-2</v>
      </c>
    </row>
    <row r="802" spans="1:4">
      <c r="A802" s="18">
        <v>44651</v>
      </c>
      <c r="B802" s="8">
        <v>-3.910387792338748E-3</v>
      </c>
      <c r="C802" s="4">
        <v>177.61615880563318</v>
      </c>
      <c r="D802" s="4">
        <v>-2.6902144137080031E-2</v>
      </c>
    </row>
    <row r="803" spans="1:4">
      <c r="A803" s="18">
        <v>44652</v>
      </c>
      <c r="B803" s="8">
        <v>9.0733693758978141E-3</v>
      </c>
      <c r="C803" s="4">
        <v>179.2277358216048</v>
      </c>
      <c r="D803" s="4">
        <v>-1.8072867851941621E-2</v>
      </c>
    </row>
    <row r="804" spans="1:4">
      <c r="A804" s="18">
        <v>44655</v>
      </c>
      <c r="B804" s="8">
        <v>1.6637852276924856E-2</v>
      </c>
      <c r="C804" s="4">
        <v>182.20970041413236</v>
      </c>
      <c r="D804" s="4">
        <v>-1.7357092805578844E-3</v>
      </c>
    </row>
    <row r="805" spans="1:4">
      <c r="A805" s="18">
        <v>44656</v>
      </c>
      <c r="B805" s="8">
        <v>-1.3946258588789235E-3</v>
      </c>
      <c r="C805" s="4">
        <v>181.95558605419623</v>
      </c>
      <c r="D805" s="4">
        <v>-3.1279144743905363E-3</v>
      </c>
    </row>
    <row r="806" spans="1:4">
      <c r="A806" s="18">
        <v>44657</v>
      </c>
      <c r="B806" s="8">
        <v>-4.590448278312175E-3</v>
      </c>
      <c r="C806" s="4">
        <v>181.12032834746446</v>
      </c>
      <c r="D806" s="4">
        <v>-7.7040042230890338E-3</v>
      </c>
    </row>
    <row r="807" spans="1:4">
      <c r="A807" s="18">
        <v>44658</v>
      </c>
      <c r="B807" s="8">
        <v>-1.2278557738782654E-2</v>
      </c>
      <c r="C807" s="4">
        <v>178.89643193818284</v>
      </c>
      <c r="D807" s="4">
        <v>-1.9887967901198733E-2</v>
      </c>
    </row>
    <row r="808" spans="1:4">
      <c r="A808" s="18">
        <v>44659</v>
      </c>
      <c r="B808" s="8">
        <v>3.201219350165963E-3</v>
      </c>
      <c r="C808" s="4">
        <v>179.46911865777901</v>
      </c>
      <c r="D808" s="4">
        <v>-1.6750414298713601E-2</v>
      </c>
    </row>
    <row r="809" spans="1:4">
      <c r="A809" s="18">
        <v>44662</v>
      </c>
      <c r="B809" s="8">
        <v>-8.2301827529766697E-3</v>
      </c>
      <c r="C809" s="4">
        <v>177.99205501270981</v>
      </c>
      <c r="D809" s="4">
        <v>-2.4842738080823823E-2</v>
      </c>
    </row>
    <row r="810" spans="1:4">
      <c r="A810" s="18">
        <v>44663</v>
      </c>
      <c r="B810" s="8">
        <v>-7.6998099631903349E-3</v>
      </c>
      <c r="C810" s="4">
        <v>176.62155001415422</v>
      </c>
      <c r="D810" s="4">
        <v>-3.2351263681826503E-2</v>
      </c>
    </row>
    <row r="811" spans="1:4">
      <c r="A811" s="18">
        <v>44664</v>
      </c>
      <c r="B811" s="8">
        <v>-5.7745589354240147E-4</v>
      </c>
      <c r="C811" s="4">
        <v>176.51955885917195</v>
      </c>
      <c r="D811" s="4">
        <v>-3.2910038147492382E-2</v>
      </c>
    </row>
    <row r="812" spans="1:4">
      <c r="A812" s="18">
        <v>44669</v>
      </c>
      <c r="B812" s="8">
        <v>-1.4416979381232549E-2</v>
      </c>
      <c r="C812" s="4">
        <v>173.97468001871499</v>
      </c>
      <c r="D812" s="4">
        <v>-4.6852554187317041E-2</v>
      </c>
    </row>
    <row r="813" spans="1:4">
      <c r="A813" s="18">
        <v>44670</v>
      </c>
      <c r="B813" s="8">
        <v>-1.3273418507557427E-2</v>
      </c>
      <c r="C813" s="4">
        <v>171.6654412811082</v>
      </c>
      <c r="D813" s="4">
        <v>-5.9504079134998111E-2</v>
      </c>
    </row>
    <row r="814" spans="1:4">
      <c r="A814" s="18">
        <v>44671</v>
      </c>
      <c r="B814" s="8">
        <v>1.1982048872384141E-2</v>
      </c>
      <c r="C814" s="4">
        <v>173.72234498823781</v>
      </c>
      <c r="D814" s="4">
        <v>-4.8235011046915854E-2</v>
      </c>
    </row>
    <row r="815" spans="1:4">
      <c r="A815" s="18">
        <v>44672</v>
      </c>
      <c r="B815" s="8">
        <v>1.9204201688422618E-2</v>
      </c>
      <c r="C815" s="4">
        <v>177.05854393917767</v>
      </c>
      <c r="D815" s="4">
        <v>-2.9957124239081478E-2</v>
      </c>
    </row>
    <row r="816" spans="1:4">
      <c r="A816" s="18">
        <v>44673</v>
      </c>
      <c r="B816" s="8">
        <v>-8.76519802471642E-3</v>
      </c>
      <c r="C816" s="4">
        <v>175.50659073958283</v>
      </c>
      <c r="D816" s="4">
        <v>-3.8459742137591291E-2</v>
      </c>
    </row>
    <row r="817" spans="1:4">
      <c r="A817" s="18">
        <v>44676</v>
      </c>
      <c r="B817" s="8">
        <v>-1.527940996564606E-2</v>
      </c>
      <c r="C817" s="4">
        <v>172.82495358799989</v>
      </c>
      <c r="D817" s="4">
        <v>-5.3151509935944086E-2</v>
      </c>
    </row>
    <row r="818" spans="1:4">
      <c r="A818" s="18">
        <v>44677</v>
      </c>
      <c r="B818" s="8">
        <v>1.4346964167415051E-2</v>
      </c>
      <c r="C818" s="4">
        <v>175.30446700436207</v>
      </c>
      <c r="D818" s="4">
        <v>-3.9567108577024057E-2</v>
      </c>
    </row>
    <row r="819" spans="1:4">
      <c r="A819" s="18">
        <v>44678</v>
      </c>
      <c r="B819" s="8">
        <v>-8.9885919316656862E-3</v>
      </c>
      <c r="C819" s="4">
        <v>173.7287266866617</v>
      </c>
      <c r="D819" s="4">
        <v>-4.8200047915775035E-2</v>
      </c>
    </row>
    <row r="820" spans="1:4">
      <c r="A820" s="18">
        <v>44679</v>
      </c>
      <c r="B820" s="8">
        <v>1.5133444485115496E-2</v>
      </c>
      <c r="C820" s="4">
        <v>176.35784072744408</v>
      </c>
      <c r="D820" s="4">
        <v>-3.3796036179972955E-2</v>
      </c>
    </row>
    <row r="821" spans="1:4">
      <c r="A821" s="18">
        <v>44680</v>
      </c>
      <c r="B821" s="8">
        <v>-8.6401859028695117E-3</v>
      </c>
      <c r="C821" s="4">
        <v>174.8340761981303</v>
      </c>
      <c r="D821" s="4">
        <v>-4.2144218047467374E-2</v>
      </c>
    </row>
    <row r="822" spans="1:4">
      <c r="A822" s="18">
        <v>44683</v>
      </c>
      <c r="B822" s="8">
        <v>-4.4809131000452746E-3</v>
      </c>
      <c r="C822" s="4">
        <v>174.05065989575979</v>
      </c>
      <c r="D822" s="4">
        <v>-4.6436286568772633E-2</v>
      </c>
    </row>
    <row r="823" spans="1:4">
      <c r="A823" s="18">
        <v>44685</v>
      </c>
      <c r="B823" s="8">
        <v>-2.4474064844081458E-2</v>
      </c>
      <c r="C823" s="4">
        <v>169.79093275931581</v>
      </c>
      <c r="D823" s="4">
        <v>-6.9773866724251565E-2</v>
      </c>
    </row>
    <row r="824" spans="1:4">
      <c r="A824" s="18">
        <v>44686</v>
      </c>
      <c r="B824" s="8">
        <v>-1.4429018849319551E-3</v>
      </c>
      <c r="C824" s="4">
        <v>169.54594110239304</v>
      </c>
      <c r="D824" s="4">
        <v>-7.1116091765368039E-2</v>
      </c>
    </row>
    <row r="825" spans="1:4">
      <c r="A825" s="18">
        <v>44687</v>
      </c>
      <c r="B825" s="8">
        <v>-1.0043087820202808E-2</v>
      </c>
      <c r="C825" s="4">
        <v>167.84317632634279</v>
      </c>
      <c r="D825" s="4">
        <v>-8.044495443054156E-2</v>
      </c>
    </row>
    <row r="826" spans="1:4">
      <c r="A826" s="18">
        <v>44690</v>
      </c>
      <c r="B826" s="8">
        <v>-2.4141305760568936E-3</v>
      </c>
      <c r="C826" s="4">
        <v>167.43798098239085</v>
      </c>
      <c r="D826" s="4">
        <v>-8.2664880382418149E-2</v>
      </c>
    </row>
    <row r="827" spans="1:4">
      <c r="A827" s="18">
        <v>44691</v>
      </c>
      <c r="B827" s="8">
        <v>-4.0302978040020667E-3</v>
      </c>
      <c r="C827" s="4">
        <v>166.76315605533097</v>
      </c>
      <c r="D827" s="4">
        <v>-8.6362014100547002E-2</v>
      </c>
    </row>
    <row r="828" spans="1:4">
      <c r="A828" s="18">
        <v>44692</v>
      </c>
      <c r="B828" s="8">
        <v>-1.3196805945275772E-2</v>
      </c>
      <c r="C828" s="4">
        <v>164.56241504604702</v>
      </c>
      <c r="D828" s="4">
        <v>-9.8419117304694659E-2</v>
      </c>
    </row>
    <row r="829" spans="1:4">
      <c r="A829" s="18">
        <v>44693</v>
      </c>
      <c r="B829" s="8">
        <v>-1.6452281759469365E-2</v>
      </c>
      <c r="C829" s="4">
        <v>161.85498782669072</v>
      </c>
      <c r="D829" s="4">
        <v>-0.11325218001574899</v>
      </c>
    </row>
    <row r="830" spans="1:4">
      <c r="A830" s="18">
        <v>44694</v>
      </c>
      <c r="B830" s="8">
        <v>5.3548442828479257E-3</v>
      </c>
      <c r="C830" s="4">
        <v>162.72169608290488</v>
      </c>
      <c r="D830" s="4">
        <v>-0.10850378352157852</v>
      </c>
    </row>
    <row r="831" spans="1:4">
      <c r="A831" s="18">
        <v>44697</v>
      </c>
      <c r="B831" s="8">
        <v>3.1202674189293226E-3</v>
      </c>
      <c r="C831" s="4">
        <v>163.22943128954529</v>
      </c>
      <c r="D831" s="4">
        <v>-0.10572207692320212</v>
      </c>
    </row>
    <row r="832" spans="1:4">
      <c r="A832" s="18">
        <v>44698</v>
      </c>
      <c r="B832" s="8">
        <v>2.9470813317171683E-2</v>
      </c>
      <c r="C832" s="4">
        <v>168.03993538694758</v>
      </c>
      <c r="D832" s="4">
        <v>-7.9366979198537857E-2</v>
      </c>
    </row>
    <row r="833" spans="1:4">
      <c r="A833" s="18">
        <v>44699</v>
      </c>
      <c r="B833" s="8">
        <v>-1.2281768115392582E-3</v>
      </c>
      <c r="C833" s="4">
        <v>167.83355263489275</v>
      </c>
      <c r="D833" s="4">
        <v>-8.049767932662355E-2</v>
      </c>
    </row>
    <row r="834" spans="1:4">
      <c r="A834" s="18">
        <v>44700</v>
      </c>
      <c r="B834" s="8">
        <v>-2.0719524314823917E-2</v>
      </c>
      <c r="C834" s="4">
        <v>164.35612126023082</v>
      </c>
      <c r="D834" s="4">
        <v>-9.9549330017352555E-2</v>
      </c>
    </row>
    <row r="835" spans="1:4">
      <c r="A835" s="18">
        <v>44701</v>
      </c>
      <c r="B835" s="8">
        <v>3.1179749170280754E-2</v>
      </c>
      <c r="C835" s="4">
        <v>169.48070389572507</v>
      </c>
      <c r="D835" s="4">
        <v>-7.147350398708241E-2</v>
      </c>
    </row>
    <row r="836" spans="1:4">
      <c r="A836" s="18">
        <v>44704</v>
      </c>
      <c r="B836" s="8">
        <v>1.1274049302610336E-2</v>
      </c>
      <c r="C836" s="4">
        <v>171.3914377072866</v>
      </c>
      <c r="D836" s="4">
        <v>-6.1005250492252583E-2</v>
      </c>
    </row>
    <row r="837" spans="1:4">
      <c r="A837" s="18">
        <v>44705</v>
      </c>
      <c r="B837" s="8">
        <v>-8.752001410555349E-3</v>
      </c>
      <c r="C837" s="4">
        <v>169.89141960271533</v>
      </c>
      <c r="D837" s="4">
        <v>-6.9223333864448455E-2</v>
      </c>
    </row>
    <row r="838" spans="1:4">
      <c r="A838" s="18">
        <v>44706</v>
      </c>
      <c r="B838" s="8">
        <v>-9.9153780497081984E-3</v>
      </c>
      <c r="C838" s="4">
        <v>168.20688194995279</v>
      </c>
      <c r="D838" s="4">
        <v>-7.8452336389029487E-2</v>
      </c>
    </row>
    <row r="839" spans="1:4">
      <c r="A839" s="18">
        <v>44707</v>
      </c>
      <c r="B839" s="8">
        <v>8.176768579462011E-4</v>
      </c>
      <c r="C839" s="4">
        <v>168.34442082467055</v>
      </c>
      <c r="D839" s="4">
        <v>-7.769880819100039E-2</v>
      </c>
    </row>
    <row r="840" spans="1:4">
      <c r="A840" s="18">
        <v>44708</v>
      </c>
      <c r="B840" s="8">
        <v>1.3335421976738086E-2</v>
      </c>
      <c r="C840" s="4">
        <v>170.5893647137971</v>
      </c>
      <c r="D840" s="4">
        <v>-6.5399532608579003E-2</v>
      </c>
    </row>
    <row r="841" spans="1:4">
      <c r="A841" s="18">
        <v>44711</v>
      </c>
      <c r="B841" s="8">
        <v>1.8343680919410087E-2</v>
      </c>
      <c r="C841" s="4">
        <v>173.71860158835187</v>
      </c>
      <c r="D841" s="4">
        <v>-4.8255519847619222E-2</v>
      </c>
    </row>
    <row r="842" spans="1:4">
      <c r="A842" s="18">
        <v>44712</v>
      </c>
      <c r="B842" s="8">
        <v>-9.0036010935072627E-3</v>
      </c>
      <c r="C842" s="4">
        <v>172.15450859712843</v>
      </c>
      <c r="D842" s="4">
        <v>-5.6824647489858715E-2</v>
      </c>
    </row>
    <row r="843" spans="1:4">
      <c r="A843" s="18">
        <v>44713</v>
      </c>
      <c r="B843" s="8">
        <v>-6.0954542614100032E-3</v>
      </c>
      <c r="C843" s="4">
        <v>171.10514866407911</v>
      </c>
      <c r="D843" s="4">
        <v>-6.25737297115736E-2</v>
      </c>
    </row>
    <row r="844" spans="1:4">
      <c r="A844" s="18">
        <v>44714</v>
      </c>
      <c r="B844" s="8">
        <v>9.8462938703861615E-3</v>
      </c>
      <c r="C844" s="4">
        <v>172.78990024056176</v>
      </c>
      <c r="D844" s="4">
        <v>-5.3343555172493562E-2</v>
      </c>
    </row>
    <row r="845" spans="1:4">
      <c r="A845" s="18">
        <v>44715</v>
      </c>
      <c r="B845" s="8">
        <v>6.4999423765772107E-4</v>
      </c>
      <c r="C845" s="4">
        <v>172.90221268004356</v>
      </c>
      <c r="D845" s="4">
        <v>-5.2728233938314273E-2</v>
      </c>
    </row>
    <row r="846" spans="1:4">
      <c r="A846" s="18">
        <v>44718</v>
      </c>
      <c r="B846" s="8">
        <v>-1.9730209909008889E-3</v>
      </c>
      <c r="C846" s="4">
        <v>172.56107298505262</v>
      </c>
      <c r="D846" s="4">
        <v>-5.4597221016841835E-2</v>
      </c>
    </row>
    <row r="847" spans="1:4">
      <c r="A847" s="18">
        <v>44719</v>
      </c>
      <c r="B847" s="8">
        <v>-9.5573427562422805E-3</v>
      </c>
      <c r="C847" s="4">
        <v>170.91184766414952</v>
      </c>
      <c r="D847" s="4">
        <v>-6.3632759418287832E-2</v>
      </c>
    </row>
    <row r="848" spans="1:4">
      <c r="A848" s="18">
        <v>44720</v>
      </c>
      <c r="B848" s="8">
        <v>-1.8159136097420387E-3</v>
      </c>
      <c r="C848" s="4">
        <v>170.60148651391003</v>
      </c>
      <c r="D848" s="4">
        <v>-6.53331214341768E-2</v>
      </c>
    </row>
    <row r="849" spans="1:4">
      <c r="A849" s="18">
        <v>44721</v>
      </c>
      <c r="B849" s="8">
        <v>1.0705681379961099E-2</v>
      </c>
      <c r="C849" s="4">
        <v>172.42789167147569</v>
      </c>
      <c r="D849" s="4">
        <v>-5.5326875635848261E-2</v>
      </c>
    </row>
    <row r="850" spans="1:4">
      <c r="A850" s="18">
        <v>44722</v>
      </c>
      <c r="B850" s="8">
        <v>-1.2770190853816024E-2</v>
      </c>
      <c r="C850" s="4">
        <v>170.22595458630983</v>
      </c>
      <c r="D850" s="4">
        <v>-6.7390531728449221E-2</v>
      </c>
    </row>
    <row r="851" spans="1:4">
      <c r="A851" s="18">
        <v>44725</v>
      </c>
      <c r="B851" s="8">
        <v>-2.2427494117878331E-2</v>
      </c>
      <c r="C851" s="4">
        <v>166.40821299111514</v>
      </c>
      <c r="D851" s="4">
        <v>-8.830662509238707E-2</v>
      </c>
    </row>
    <row r="852" spans="1:4">
      <c r="A852" s="18">
        <v>44726</v>
      </c>
      <c r="B852" s="8">
        <v>-2.9229325746949887E-3</v>
      </c>
      <c r="C852" s="4">
        <v>165.92181300466663</v>
      </c>
      <c r="D852" s="4">
        <v>-9.0971443356038129E-2</v>
      </c>
    </row>
    <row r="853" spans="1:4">
      <c r="A853" s="18">
        <v>44727</v>
      </c>
      <c r="B853" s="8">
        <v>-1.0984730261482363E-3</v>
      </c>
      <c r="C853" s="4">
        <v>165.73955236863139</v>
      </c>
      <c r="D853" s="4">
        <v>-9.1969986705509932E-2</v>
      </c>
    </row>
    <row r="854" spans="1:4">
      <c r="A854" s="18">
        <v>44728</v>
      </c>
      <c r="B854" s="8">
        <v>-1.3437030552691801E-2</v>
      </c>
      <c r="C854" s="4">
        <v>163.51250493966461</v>
      </c>
      <c r="D854" s="4">
        <v>-0.1041712137369093</v>
      </c>
    </row>
    <row r="855" spans="1:4">
      <c r="A855" s="18">
        <v>44729</v>
      </c>
      <c r="B855" s="8">
        <v>-1.1631569413942531E-2</v>
      </c>
      <c r="C855" s="4">
        <v>161.61059788841129</v>
      </c>
      <c r="D855" s="4">
        <v>-0.11459110844733622</v>
      </c>
    </row>
    <row r="856" spans="1:4">
      <c r="A856" s="18">
        <v>44732</v>
      </c>
      <c r="B856" s="8">
        <v>1.2954347826895003E-3</v>
      </c>
      <c r="C856" s="4">
        <v>161.81995387816718</v>
      </c>
      <c r="D856" s="4">
        <v>-0.11344411897231632</v>
      </c>
    </row>
    <row r="857" spans="1:4">
      <c r="A857" s="18">
        <v>44733</v>
      </c>
      <c r="B857" s="8">
        <v>1.8779401031228028E-2</v>
      </c>
      <c r="C857" s="4">
        <v>164.85883568690011</v>
      </c>
      <c r="D857" s="4">
        <v>-9.6795130545903829E-2</v>
      </c>
    </row>
    <row r="858" spans="1:4">
      <c r="A858" s="18">
        <v>44734</v>
      </c>
      <c r="B858" s="8">
        <v>-1.0363582340089057E-2</v>
      </c>
      <c r="C858" s="4">
        <v>163.15030756876772</v>
      </c>
      <c r="D858" s="4">
        <v>-0.10615556858046071</v>
      </c>
    </row>
    <row r="859" spans="1:4">
      <c r="A859" s="18">
        <v>44735</v>
      </c>
      <c r="B859" s="8">
        <v>1.8679456412343472E-2</v>
      </c>
      <c r="C859" s="4">
        <v>166.19786662765893</v>
      </c>
      <c r="D859" s="4">
        <v>-8.9459040484343499E-2</v>
      </c>
    </row>
    <row r="860" spans="1:4">
      <c r="A860" s="18">
        <v>44736</v>
      </c>
      <c r="B860" s="8">
        <v>4.068156065191249E-3</v>
      </c>
      <c r="C860" s="4">
        <v>166.87398548680207</v>
      </c>
      <c r="D860" s="4">
        <v>-8.5754817757284885E-2</v>
      </c>
    </row>
    <row r="861" spans="1:4">
      <c r="A861" s="18">
        <v>44739</v>
      </c>
      <c r="B861" s="8">
        <v>1.3001316750161144E-2</v>
      </c>
      <c r="C861" s="4">
        <v>169.0435670294778</v>
      </c>
      <c r="D861" s="4">
        <v>-7.3868426555638522E-2</v>
      </c>
    </row>
    <row r="862" spans="1:4">
      <c r="A862" s="18">
        <v>44740</v>
      </c>
      <c r="B862" s="8">
        <v>3.9050608991636595E-3</v>
      </c>
      <c r="C862" s="4">
        <v>169.70369245333978</v>
      </c>
      <c r="D862" s="4">
        <v>-7.0251826360699932E-2</v>
      </c>
    </row>
    <row r="863" spans="1:4">
      <c r="A863" s="18">
        <v>44741</v>
      </c>
      <c r="B863" s="8">
        <v>3.3289575680634262E-3</v>
      </c>
      <c r="C863" s="4">
        <v>170.26862884466064</v>
      </c>
      <c r="D863" s="4">
        <v>-6.7156734141670116E-2</v>
      </c>
    </row>
    <row r="864" spans="1:4">
      <c r="A864" s="18">
        <v>44742</v>
      </c>
      <c r="B864" s="8">
        <v>-8.9337857770905573E-4</v>
      </c>
      <c r="C864" s="4">
        <v>170.11651449919492</v>
      </c>
      <c r="D864" s="4">
        <v>-6.7990116331748229E-2</v>
      </c>
    </row>
    <row r="865" spans="1:4">
      <c r="A865" s="18">
        <v>44743</v>
      </c>
      <c r="B865" s="8">
        <v>-3.2816873716124766E-3</v>
      </c>
      <c r="C865" s="4">
        <v>169.55824528186017</v>
      </c>
      <c r="D865" s="4">
        <v>-7.1048681397200331E-2</v>
      </c>
    </row>
    <row r="866" spans="1:4">
      <c r="A866" s="18">
        <v>44746</v>
      </c>
      <c r="B866" s="8">
        <v>3.1301362046304146E-3</v>
      </c>
      <c r="C866" s="4">
        <v>170.08898568421051</v>
      </c>
      <c r="D866" s="4">
        <v>-6.8140937242502586E-2</v>
      </c>
    </row>
    <row r="867" spans="1:4">
      <c r="A867" s="18">
        <v>44747</v>
      </c>
      <c r="B867" s="8">
        <v>-4.8716158754833041E-3</v>
      </c>
      <c r="C867" s="4">
        <v>169.26037748130645</v>
      </c>
      <c r="D867" s="4">
        <v>-7.2680596646345075E-2</v>
      </c>
    </row>
    <row r="868" spans="1:4">
      <c r="A868" s="18">
        <v>44748</v>
      </c>
      <c r="B868" s="8">
        <v>8.5136566720860375E-3</v>
      </c>
      <c r="C868" s="4">
        <v>170.70140222336997</v>
      </c>
      <c r="D868" s="4">
        <v>-6.478571762082852E-2</v>
      </c>
    </row>
    <row r="869" spans="1:4">
      <c r="A869" s="18">
        <v>44749</v>
      </c>
      <c r="B869" s="8">
        <v>1.051195137872046E-2</v>
      </c>
      <c r="C869" s="4">
        <v>172.49580706382142</v>
      </c>
      <c r="D869" s="4">
        <v>-5.4954790555773791E-2</v>
      </c>
    </row>
    <row r="870" spans="1:4">
      <c r="A870" s="18">
        <v>44750</v>
      </c>
      <c r="B870" s="8">
        <v>8.7066830325527051E-3</v>
      </c>
      <c r="C870" s="4">
        <v>173.99767338037046</v>
      </c>
      <c r="D870" s="4">
        <v>-4.6726581465710626E-2</v>
      </c>
    </row>
    <row r="871" spans="1:4">
      <c r="A871" s="18">
        <v>44753</v>
      </c>
      <c r="B871" s="8">
        <v>-5.8257375203520636E-3</v>
      </c>
      <c r="C871" s="4">
        <v>172.98400860610445</v>
      </c>
      <c r="D871" s="4">
        <v>-5.2280102187220234E-2</v>
      </c>
    </row>
    <row r="872" spans="1:4">
      <c r="A872" s="18">
        <v>44754</v>
      </c>
      <c r="B872" s="8">
        <v>-8.5022053520266358E-3</v>
      </c>
      <c r="C872" s="4">
        <v>171.51326304231861</v>
      </c>
      <c r="D872" s="4">
        <v>-6.0337811374626127E-2</v>
      </c>
    </row>
    <row r="873" spans="1:4">
      <c r="A873" s="18">
        <v>44755</v>
      </c>
      <c r="B873" s="8">
        <v>-3.4343230414539028E-3</v>
      </c>
      <c r="C873" s="4">
        <v>170.92423109113744</v>
      </c>
      <c r="D873" s="4">
        <v>-6.3564914880205214E-2</v>
      </c>
    </row>
    <row r="874" spans="1:4">
      <c r="A874" s="18">
        <v>44756</v>
      </c>
      <c r="B874" s="8">
        <v>4.1943881408516544E-3</v>
      </c>
      <c r="C874" s="4">
        <v>171.64115365901031</v>
      </c>
      <c r="D874" s="4">
        <v>-5.9637142664501264E-2</v>
      </c>
    </row>
    <row r="875" spans="1:4">
      <c r="A875" s="18">
        <v>44757</v>
      </c>
      <c r="B875" s="8">
        <v>1.0742396002137718E-2</v>
      </c>
      <c r="C875" s="4">
        <v>173.48499090187917</v>
      </c>
      <c r="D875" s="4">
        <v>-4.9535392465301586E-2</v>
      </c>
    </row>
    <row r="876" spans="1:4">
      <c r="A876" s="18">
        <v>44760</v>
      </c>
      <c r="B876" s="8">
        <v>1.0479003126441698E-2</v>
      </c>
      <c r="C876" s="4">
        <v>175.30294066393066</v>
      </c>
      <c r="D876" s="4">
        <v>-3.9575470871373364E-2</v>
      </c>
    </row>
    <row r="877" spans="1:4">
      <c r="A877" s="18">
        <v>44761</v>
      </c>
      <c r="B877" s="8">
        <v>-1.9963969078295193E-4</v>
      </c>
      <c r="C877" s="4">
        <v>175.26794323906316</v>
      </c>
      <c r="D877" s="4">
        <v>-3.9767209727389008E-2</v>
      </c>
    </row>
    <row r="878" spans="1:4">
      <c r="A878" s="18">
        <v>44762</v>
      </c>
      <c r="B878" s="8">
        <v>1.0315374253606947E-2</v>
      </c>
      <c r="C878" s="4">
        <v>177.07589766823401</v>
      </c>
      <c r="D878" s="4">
        <v>-2.9862049125141898E-2</v>
      </c>
    </row>
    <row r="879" spans="1:4">
      <c r="A879" s="18">
        <v>44763</v>
      </c>
      <c r="B879" s="8">
        <v>7.4814090076035338E-3</v>
      </c>
      <c r="C879" s="4">
        <v>178.40067488407863</v>
      </c>
      <c r="D879" s="4">
        <v>-2.2604050320848668E-2</v>
      </c>
    </row>
    <row r="880" spans="1:4">
      <c r="A880" s="18">
        <v>44764</v>
      </c>
      <c r="B880" s="8">
        <v>3.1082139011942888E-3</v>
      </c>
      <c r="C880" s="4">
        <v>178.95518234173574</v>
      </c>
      <c r="D880" s="4">
        <v>-1.9566094643085119E-2</v>
      </c>
    </row>
    <row r="881" spans="1:4">
      <c r="A881" s="18">
        <v>44767</v>
      </c>
      <c r="B881" s="8">
        <v>-8.1313263286123833E-3</v>
      </c>
      <c r="C881" s="4">
        <v>177.50003935591874</v>
      </c>
      <c r="D881" s="4">
        <v>-2.7538322671178062E-2</v>
      </c>
    </row>
    <row r="882" spans="1:4">
      <c r="A882" s="18">
        <v>44768</v>
      </c>
      <c r="B882" s="8">
        <v>-9.8154373097507942E-3</v>
      </c>
      <c r="C882" s="4">
        <v>175.75779884714242</v>
      </c>
      <c r="D882" s="4">
        <v>-3.7083459301134214E-2</v>
      </c>
    </row>
    <row r="883" spans="1:4">
      <c r="A883" s="18">
        <v>44769</v>
      </c>
      <c r="B883" s="8">
        <v>1.6839500313072228E-2</v>
      </c>
      <c r="C883" s="4">
        <v>178.71747235585374</v>
      </c>
      <c r="D883" s="4">
        <v>-2.0868425912573318E-2</v>
      </c>
    </row>
    <row r="884" spans="1:4">
      <c r="A884" s="18">
        <v>44770</v>
      </c>
      <c r="B884" s="8">
        <v>9.162667834690677E-3</v>
      </c>
      <c r="C884" s="4">
        <v>180.35500119130597</v>
      </c>
      <c r="D884" s="4">
        <v>-1.189696853275235E-2</v>
      </c>
    </row>
    <row r="885" spans="1:4">
      <c r="A885" s="18">
        <v>44771</v>
      </c>
      <c r="B885" s="8">
        <v>1.6494043813662748E-2</v>
      </c>
      <c r="C885" s="4">
        <v>183.32978448296856</v>
      </c>
      <c r="D885" s="4">
        <v>0</v>
      </c>
    </row>
    <row r="886" spans="1:4">
      <c r="A886" s="18">
        <v>44774</v>
      </c>
      <c r="B886" s="8">
        <v>7.055141622845167E-3</v>
      </c>
      <c r="C886" s="4">
        <v>184.6232020761816</v>
      </c>
      <c r="D886" s="4">
        <v>0</v>
      </c>
    </row>
    <row r="887" spans="1:4">
      <c r="A887" s="18">
        <v>44775</v>
      </c>
      <c r="B887" s="8">
        <v>8.1488804327588434E-4</v>
      </c>
      <c r="C887" s="4">
        <v>184.77364931606479</v>
      </c>
      <c r="D887" s="4">
        <v>0</v>
      </c>
    </row>
    <row r="888" spans="1:4">
      <c r="A888" s="18">
        <v>44776</v>
      </c>
      <c r="B888" s="8">
        <v>-3.6996510908933167E-3</v>
      </c>
      <c r="C888" s="4">
        <v>184.09005128280427</v>
      </c>
      <c r="D888" s="4">
        <v>-3.6996510908933189E-3</v>
      </c>
    </row>
    <row r="889" spans="1:4">
      <c r="A889" s="18">
        <v>44777</v>
      </c>
      <c r="B889" s="8">
        <v>3.538354323285281E-3</v>
      </c>
      <c r="C889" s="4">
        <v>184.74142711163458</v>
      </c>
      <c r="D889" s="4">
        <v>-1.7438744404019157E-4</v>
      </c>
    </row>
    <row r="890" spans="1:4">
      <c r="A890" s="18">
        <v>44778</v>
      </c>
      <c r="B890" s="8">
        <v>-2.938964507781412E-3</v>
      </c>
      <c r="C890" s="4">
        <v>184.19847861423659</v>
      </c>
      <c r="D890" s="4">
        <v>-3.112839433312975E-3</v>
      </c>
    </row>
    <row r="891" spans="1:4">
      <c r="A891" s="18">
        <v>44781</v>
      </c>
      <c r="B891" s="8">
        <v>1.0010522440998598E-2</v>
      </c>
      <c r="C891" s="4">
        <v>186.0424016180022</v>
      </c>
      <c r="D891" s="4">
        <v>0</v>
      </c>
    </row>
    <row r="892" spans="1:4">
      <c r="A892" s="18">
        <v>44783</v>
      </c>
      <c r="B892" s="8">
        <v>2.4085836553851634E-3</v>
      </c>
      <c r="C892" s="4">
        <v>186.4905003057479</v>
      </c>
      <c r="D892" s="4">
        <v>0</v>
      </c>
    </row>
    <row r="893" spans="1:4">
      <c r="A893" s="18">
        <v>44784</v>
      </c>
      <c r="B893" s="8">
        <v>2.8452810002057302E-3</v>
      </c>
      <c r="C893" s="4">
        <v>187.0211181829867</v>
      </c>
      <c r="D893" s="4">
        <v>0</v>
      </c>
    </row>
    <row r="894" spans="1:4">
      <c r="A894" s="18">
        <v>44785</v>
      </c>
      <c r="B894" s="8">
        <v>-5.1907301991264542E-3</v>
      </c>
      <c r="C894" s="4">
        <v>186.05034201695989</v>
      </c>
      <c r="D894" s="4">
        <v>-5.1907301991264143E-3</v>
      </c>
    </row>
    <row r="895" spans="1:4">
      <c r="A895" s="18">
        <v>44789</v>
      </c>
      <c r="B895" s="8">
        <v>9.4302844469742898E-3</v>
      </c>
      <c r="C895" s="4">
        <v>187.80484966363667</v>
      </c>
      <c r="D895" s="4">
        <v>0</v>
      </c>
    </row>
    <row r="896" spans="1:4">
      <c r="A896" s="18">
        <v>44790</v>
      </c>
      <c r="B896" s="8">
        <v>2.7889872333232849E-3</v>
      </c>
      <c r="C896" s="4">
        <v>188.32863499170477</v>
      </c>
      <c r="D896" s="4">
        <v>0</v>
      </c>
    </row>
    <row r="897" spans="1:4">
      <c r="A897" s="18">
        <v>44791</v>
      </c>
      <c r="B897" s="8">
        <v>2.9408933855032153E-3</v>
      </c>
      <c r="C897" s="4">
        <v>188.88248942865275</v>
      </c>
      <c r="D897" s="4">
        <v>0</v>
      </c>
    </row>
    <row r="898" spans="1:4">
      <c r="A898" s="18">
        <v>44792</v>
      </c>
      <c r="B898" s="8">
        <v>-4.6745356914734961E-3</v>
      </c>
      <c r="C898" s="4">
        <v>187.99955149032414</v>
      </c>
      <c r="D898" s="4">
        <v>-4.6745356914735803E-3</v>
      </c>
    </row>
    <row r="899" spans="1:4">
      <c r="A899" s="18">
        <v>44795</v>
      </c>
      <c r="B899" s="8">
        <v>-1.5248890507408235E-2</v>
      </c>
      <c r="C899" s="4">
        <v>185.13276691420634</v>
      </c>
      <c r="D899" s="4">
        <v>-1.9852144715949427E-2</v>
      </c>
    </row>
    <row r="900" spans="1:4">
      <c r="A900" s="18">
        <v>44796</v>
      </c>
      <c r="B900" s="8">
        <v>1.5632588697560919E-3</v>
      </c>
      <c r="C900" s="4">
        <v>185.42217735416745</v>
      </c>
      <c r="D900" s="4">
        <v>-1.8319919887504366E-2</v>
      </c>
    </row>
    <row r="901" spans="1:4">
      <c r="A901" s="18">
        <v>44797</v>
      </c>
      <c r="B901" s="8">
        <v>-1.4224675807829857E-3</v>
      </c>
      <c r="C901" s="4">
        <v>185.15842031812295</v>
      </c>
      <c r="D901" s="4">
        <v>-1.9716327976164738E-2</v>
      </c>
    </row>
    <row r="902" spans="1:4">
      <c r="A902" s="18">
        <v>44798</v>
      </c>
      <c r="B902" s="8">
        <v>-4.8367994788085069E-3</v>
      </c>
      <c r="C902" s="4">
        <v>184.26284616723123</v>
      </c>
      <c r="D902" s="4">
        <v>-2.4457763530094212E-2</v>
      </c>
    </row>
    <row r="903" spans="1:4">
      <c r="A903" s="18">
        <v>44799</v>
      </c>
      <c r="B903" s="8">
        <v>2.8123016867403535E-3</v>
      </c>
      <c r="C903" s="4">
        <v>184.78104888031089</v>
      </c>
      <c r="D903" s="4">
        <v>-2.1714244452983644E-2</v>
      </c>
    </row>
    <row r="904" spans="1:4">
      <c r="A904" s="18">
        <v>44802</v>
      </c>
      <c r="B904" s="8">
        <v>-7.984684375128644E-3</v>
      </c>
      <c r="C904" s="4">
        <v>183.30563052649637</v>
      </c>
      <c r="D904" s="4">
        <v>-2.952554743971092E-2</v>
      </c>
    </row>
    <row r="905" spans="1:4">
      <c r="A905" s="18">
        <v>44803</v>
      </c>
      <c r="B905" s="8">
        <v>2.2369408869898352E-2</v>
      </c>
      <c r="C905" s="4">
        <v>187.40606912389808</v>
      </c>
      <c r="D905" s="4">
        <v>-7.816607612599058E-3</v>
      </c>
    </row>
    <row r="906" spans="1:4">
      <c r="A906" s="18">
        <v>44805</v>
      </c>
      <c r="B906" s="8">
        <v>-1.4794516134183731E-2</v>
      </c>
      <c r="C906" s="4">
        <v>184.63348701060062</v>
      </c>
      <c r="D906" s="4">
        <v>-2.2495480819343605E-2</v>
      </c>
    </row>
    <row r="907" spans="1:4">
      <c r="A907" s="18">
        <v>44806</v>
      </c>
      <c r="B907" s="8">
        <v>1.4381054160349542E-4</v>
      </c>
      <c r="C907" s="4">
        <v>184.66003925236575</v>
      </c>
      <c r="D907" s="4">
        <v>-2.2354905365020383E-2</v>
      </c>
    </row>
    <row r="908" spans="1:4">
      <c r="A908" s="18">
        <v>44809</v>
      </c>
      <c r="B908" s="8">
        <v>1.0599450661173954E-2</v>
      </c>
      <c r="C908" s="4">
        <v>186.61733422751163</v>
      </c>
      <c r="D908" s="4">
        <v>-1.1992404420298253E-2</v>
      </c>
    </row>
    <row r="909" spans="1:4">
      <c r="A909" s="18">
        <v>44810</v>
      </c>
      <c r="B909" s="8">
        <v>-1.314732325182472E-3</v>
      </c>
      <c r="C909" s="4">
        <v>186.37198238576335</v>
      </c>
      <c r="D909" s="4">
        <v>-1.32913699437327E-2</v>
      </c>
    </row>
    <row r="910" spans="1:4">
      <c r="A910" s="18">
        <v>44811</v>
      </c>
      <c r="B910" s="8">
        <v>-2.2505023277046869E-3</v>
      </c>
      <c r="C910" s="4">
        <v>185.95255180558524</v>
      </c>
      <c r="D910" s="4">
        <v>-1.5511960012440595E-2</v>
      </c>
    </row>
    <row r="911" spans="1:4">
      <c r="A911" s="18">
        <v>44812</v>
      </c>
      <c r="B911" s="8">
        <v>5.3977615932935931E-3</v>
      </c>
      <c r="C911" s="4">
        <v>186.95627934789638</v>
      </c>
      <c r="D911" s="4">
        <v>-1.0197928281138857E-2</v>
      </c>
    </row>
    <row r="912" spans="1:4">
      <c r="A912" s="18">
        <v>44813</v>
      </c>
      <c r="B912" s="8">
        <v>3.0443911289870875E-3</v>
      </c>
      <c r="C912" s="4">
        <v>187.52544738625153</v>
      </c>
      <c r="D912" s="4">
        <v>-7.1845836345449943E-3</v>
      </c>
    </row>
    <row r="913" spans="1:4">
      <c r="A913" s="18">
        <v>44816</v>
      </c>
      <c r="B913" s="8">
        <v>3.7815867906901943E-3</v>
      </c>
      <c r="C913" s="4">
        <v>188.23459114100567</v>
      </c>
      <c r="D913" s="4">
        <v>-3.4301659704236709E-3</v>
      </c>
    </row>
    <row r="914" spans="1:4">
      <c r="A914" s="18">
        <v>44817</v>
      </c>
      <c r="B914" s="8">
        <v>6.3834598191651578E-3</v>
      </c>
      <c r="C914" s="4">
        <v>189.43617909013128</v>
      </c>
      <c r="D914" s="4">
        <v>0</v>
      </c>
    </row>
    <row r="915" spans="1:4">
      <c r="A915" s="18">
        <v>44818</v>
      </c>
      <c r="B915" s="8">
        <v>-1.1201724646802936E-2</v>
      </c>
      <c r="C915" s="4">
        <v>187.31416717382118</v>
      </c>
      <c r="D915" s="4">
        <v>-1.1201724646802913E-2</v>
      </c>
    </row>
    <row r="916" spans="1:4">
      <c r="A916" s="18">
        <v>44819</v>
      </c>
      <c r="B916" s="8">
        <v>-8.54898067727116E-4</v>
      </c>
      <c r="C916" s="4">
        <v>187.15403265424638</v>
      </c>
      <c r="D916" s="4">
        <v>-1.2047046381774229E-2</v>
      </c>
    </row>
    <row r="917" spans="1:4">
      <c r="A917" s="18">
        <v>44820</v>
      </c>
      <c r="B917" s="8">
        <v>-1.6497073438893377E-2</v>
      </c>
      <c r="C917" s="4">
        <v>184.06653883316423</v>
      </c>
      <c r="D917" s="4">
        <v>-2.8345378811785671E-2</v>
      </c>
    </row>
    <row r="918" spans="1:4">
      <c r="A918" s="18">
        <v>44823</v>
      </c>
      <c r="B918" s="8">
        <v>5.2971357610200904E-3</v>
      </c>
      <c r="C918" s="4">
        <v>185.04156427842457</v>
      </c>
      <c r="D918" s="4">
        <v>-2.3198392370529231E-2</v>
      </c>
    </row>
    <row r="919" spans="1:4">
      <c r="A919" s="18">
        <v>44824</v>
      </c>
      <c r="B919" s="8">
        <v>1.0325590565668742E-2</v>
      </c>
      <c r="C919" s="4">
        <v>186.95222770879445</v>
      </c>
      <c r="D919" s="4">
        <v>-1.311233890626029E-2</v>
      </c>
    </row>
    <row r="920" spans="1:4">
      <c r="A920" s="18">
        <v>44825</v>
      </c>
      <c r="B920" s="8">
        <v>-6.3335046404613838E-3</v>
      </c>
      <c r="C920" s="4">
        <v>185.76816490705622</v>
      </c>
      <c r="D920" s="4">
        <v>-1.9362796487411571E-2</v>
      </c>
    </row>
    <row r="921" spans="1:4">
      <c r="A921" s="18">
        <v>44826</v>
      </c>
      <c r="B921" s="8">
        <v>7.4427976244036955E-4</v>
      </c>
      <c r="C921" s="4">
        <v>185.90642839270222</v>
      </c>
      <c r="D921" s="4">
        <v>-1.8632928062541021E-2</v>
      </c>
    </row>
    <row r="922" spans="1:4">
      <c r="A922" s="18">
        <v>44827</v>
      </c>
      <c r="B922" s="8">
        <v>-7.251821564871367E-3</v>
      </c>
      <c r="C922" s="4">
        <v>184.5582681462358</v>
      </c>
      <c r="D922" s="4">
        <v>-2.5749626957871752E-2</v>
      </c>
    </row>
    <row r="923" spans="1:4">
      <c r="A923" s="18">
        <v>44830</v>
      </c>
      <c r="B923" s="8">
        <v>-2.0786505743525228E-2</v>
      </c>
      <c r="C923" s="4">
        <v>180.72194664539899</v>
      </c>
      <c r="D923" s="4">
        <v>-4.6000887932743706E-2</v>
      </c>
    </row>
    <row r="924" spans="1:4">
      <c r="A924" s="18">
        <v>44831</v>
      </c>
      <c r="B924" s="8">
        <v>-6.2144651745346267E-4</v>
      </c>
      <c r="C924" s="4">
        <v>180.60963762102881</v>
      </c>
      <c r="D924" s="4">
        <v>-4.6593747358591453E-2</v>
      </c>
    </row>
    <row r="925" spans="1:4">
      <c r="A925" s="18">
        <v>44832</v>
      </c>
      <c r="B925" s="8">
        <v>-4.719346214497302E-3</v>
      </c>
      <c r="C925" s="4">
        <v>179.75727821142027</v>
      </c>
      <c r="D925" s="4">
        <v>-5.109320154787278E-2</v>
      </c>
    </row>
    <row r="926" spans="1:4">
      <c r="A926" s="18">
        <v>44833</v>
      </c>
      <c r="B926" s="8">
        <v>-1.8605785509562538E-3</v>
      </c>
      <c r="C926" s="4">
        <v>179.42282567520184</v>
      </c>
      <c r="D926" s="4">
        <v>-5.2858717183929316E-2</v>
      </c>
    </row>
    <row r="927" spans="1:4">
      <c r="A927" s="18">
        <v>44834</v>
      </c>
      <c r="B927" s="8">
        <v>1.6846338113976195E-2</v>
      </c>
      <c r="C927" s="4">
        <v>182.44544326189131</v>
      </c>
      <c r="D927" s="4">
        <v>-3.6902854891904591E-2</v>
      </c>
    </row>
    <row r="928" spans="1:4">
      <c r="A928" s="18">
        <v>44837</v>
      </c>
      <c r="B928" s="8">
        <v>-1.446143499369968E-2</v>
      </c>
      <c r="C928" s="4">
        <v>179.80702034426275</v>
      </c>
      <c r="D928" s="4">
        <v>-5.0830621648503049E-2</v>
      </c>
    </row>
    <row r="929" spans="1:4">
      <c r="A929" s="18">
        <v>44838</v>
      </c>
      <c r="B929" s="8">
        <v>2.0838073825292024E-2</v>
      </c>
      <c r="C929" s="4">
        <v>183.55385230850229</v>
      </c>
      <c r="D929" s="4">
        <v>-3.1051760069708001E-2</v>
      </c>
    </row>
    <row r="930" spans="1:4">
      <c r="A930" s="18">
        <v>44840</v>
      </c>
      <c r="B930" s="8">
        <v>8.5701556291133893E-3</v>
      </c>
      <c r="C930" s="4">
        <v>185.12693738910943</v>
      </c>
      <c r="D930" s="4">
        <v>-2.2747722856949926E-2</v>
      </c>
    </row>
    <row r="931" spans="1:4">
      <c r="A931" s="18">
        <v>44841</v>
      </c>
      <c r="B931" s="8">
        <v>1.3976857814984337E-3</v>
      </c>
      <c r="C931" s="4">
        <v>185.38568667727051</v>
      </c>
      <c r="D931" s="4">
        <v>-2.1381831244250304E-2</v>
      </c>
    </row>
    <row r="932" spans="1:4">
      <c r="A932" s="18">
        <v>44844</v>
      </c>
      <c r="B932" s="8">
        <v>-2.6867705385720808E-3</v>
      </c>
      <c r="C932" s="4">
        <v>184.88759787603308</v>
      </c>
      <c r="D932" s="4">
        <v>-2.401115370857454E-2</v>
      </c>
    </row>
    <row r="933" spans="1:4">
      <c r="A933" s="18">
        <v>44845</v>
      </c>
      <c r="B933" s="8">
        <v>-1.459816086722383E-2</v>
      </c>
      <c r="C933" s="4">
        <v>182.18857897988414</v>
      </c>
      <c r="D933" s="4">
        <v>-3.8258795891353059E-2</v>
      </c>
    </row>
    <row r="934" spans="1:4">
      <c r="A934" s="18">
        <v>44846</v>
      </c>
      <c r="B934" s="8">
        <v>8.744309075585795E-3</v>
      </c>
      <c r="C934" s="4">
        <v>183.78169222452604</v>
      </c>
      <c r="D934" s="4">
        <v>-2.9849033551900939E-2</v>
      </c>
    </row>
    <row r="935" spans="1:4">
      <c r="A935" s="18">
        <v>44847</v>
      </c>
      <c r="B935" s="8">
        <v>-3.6837331186843044E-3</v>
      </c>
      <c r="C935" s="4">
        <v>183.1046895182707</v>
      </c>
      <c r="D935" s="4">
        <v>-3.3422810797129388E-2</v>
      </c>
    </row>
    <row r="936" spans="1:4">
      <c r="A936" s="18">
        <v>44848</v>
      </c>
      <c r="B936" s="8">
        <v>1.0007112432288743E-2</v>
      </c>
      <c r="C936" s="4">
        <v>184.93703873315934</v>
      </c>
      <c r="D936" s="4">
        <v>-2.3750164190290746E-2</v>
      </c>
    </row>
    <row r="937" spans="1:4">
      <c r="A937" s="18">
        <v>44851</v>
      </c>
      <c r="B937" s="8">
        <v>4.0078113870065032E-3</v>
      </c>
      <c r="C937" s="4">
        <v>185.67823150287336</v>
      </c>
      <c r="D937" s="4">
        <v>-1.983753898176932E-2</v>
      </c>
    </row>
    <row r="938" spans="1:4">
      <c r="A938" s="18">
        <v>44852</v>
      </c>
      <c r="B938" s="8">
        <v>1.1102035439790128E-2</v>
      </c>
      <c r="C938" s="4">
        <v>187.73963780941583</v>
      </c>
      <c r="D938" s="4">
        <v>-8.9557406027930275E-3</v>
      </c>
    </row>
    <row r="939" spans="1:4">
      <c r="A939" s="18">
        <v>44853</v>
      </c>
      <c r="B939" s="8">
        <v>-7.242408509500793E-4</v>
      </c>
      <c r="C939" s="4">
        <v>187.60366909437167</v>
      </c>
      <c r="D939" s="4">
        <v>-9.6734953405480661E-3</v>
      </c>
    </row>
    <row r="940" spans="1:4">
      <c r="A940" s="18">
        <v>44854</v>
      </c>
      <c r="B940" s="8">
        <v>2.7150202838083924E-3</v>
      </c>
      <c r="C940" s="4">
        <v>188.11301686127976</v>
      </c>
      <c r="D940" s="4">
        <v>-6.9847387928045901E-3</v>
      </c>
    </row>
    <row r="941" spans="1:4">
      <c r="A941" s="18">
        <v>44855</v>
      </c>
      <c r="B941" s="8">
        <v>-6.8894928406836968E-3</v>
      </c>
      <c r="C941" s="4">
        <v>186.81701357837454</v>
      </c>
      <c r="D941" s="4">
        <v>-1.3826110325581342E-2</v>
      </c>
    </row>
    <row r="942" spans="1:4">
      <c r="A942" s="18">
        <v>44858</v>
      </c>
      <c r="B942" s="8">
        <v>1.0040838943567838E-2</v>
      </c>
      <c r="C942" s="4">
        <v>188.69281312363333</v>
      </c>
      <c r="D942" s="4">
        <v>-3.9240971290086524E-3</v>
      </c>
    </row>
    <row r="943" spans="1:4">
      <c r="A943" s="18">
        <v>44859</v>
      </c>
      <c r="B943" s="8">
        <v>7.7301269434631786E-3</v>
      </c>
      <c r="C943" s="4">
        <v>190.15143252239818</v>
      </c>
      <c r="D943" s="4">
        <v>0</v>
      </c>
    </row>
    <row r="944" spans="1:4">
      <c r="A944" s="18">
        <v>44861</v>
      </c>
      <c r="B944" s="8">
        <v>6.5894416881650021E-3</v>
      </c>
      <c r="C944" s="4">
        <v>191.40442429892559</v>
      </c>
      <c r="D944" s="4">
        <v>0</v>
      </c>
    </row>
    <row r="945" spans="1:4">
      <c r="A945" s="18">
        <v>44862</v>
      </c>
      <c r="B945" s="8">
        <v>1.1244955322837966E-2</v>
      </c>
      <c r="C945" s="4">
        <v>193.55675849876053</v>
      </c>
      <c r="D945" s="4">
        <v>0</v>
      </c>
    </row>
    <row r="946" spans="1:4">
      <c r="A946" s="18">
        <v>44865</v>
      </c>
      <c r="B946" s="8">
        <v>1.5623687103710388E-2</v>
      </c>
      <c r="C946" s="4">
        <v>196.58082873035357</v>
      </c>
      <c r="D946" s="4">
        <v>0</v>
      </c>
    </row>
    <row r="947" spans="1:4">
      <c r="A947" s="18">
        <v>44866</v>
      </c>
      <c r="B947" s="8">
        <v>5.3687091677357976E-3</v>
      </c>
      <c r="C947" s="4">
        <v>197.63621402775934</v>
      </c>
      <c r="D947" s="4">
        <v>0</v>
      </c>
    </row>
    <row r="948" spans="1:4">
      <c r="A948" s="18">
        <v>44867</v>
      </c>
      <c r="B948" s="8">
        <v>-2.9522631399637855E-3</v>
      </c>
      <c r="C948" s="4">
        <v>197.05273991796318</v>
      </c>
      <c r="D948" s="4">
        <v>-2.9522631399638843E-3</v>
      </c>
    </row>
    <row r="949" spans="1:4">
      <c r="A949" s="18">
        <v>44868</v>
      </c>
      <c r="B949" s="8">
        <v>-3.6093539095320894E-3</v>
      </c>
      <c r="C949" s="4">
        <v>196.34150684075627</v>
      </c>
      <c r="D949" s="4">
        <v>-6.5509612869897316E-3</v>
      </c>
    </row>
    <row r="950" spans="1:4">
      <c r="A950" s="18">
        <v>44869</v>
      </c>
      <c r="B950" s="8">
        <v>5.048449546547828E-4</v>
      </c>
      <c r="C950" s="4">
        <v>196.44062885987412</v>
      </c>
      <c r="D950" s="4">
        <v>-6.0494235520889283E-3</v>
      </c>
    </row>
    <row r="951" spans="1:4">
      <c r="A951" s="18">
        <v>44872</v>
      </c>
      <c r="B951" s="8">
        <v>2.0733289413981458E-3</v>
      </c>
      <c r="C951" s="4">
        <v>196.84791490095574</v>
      </c>
      <c r="D951" s="4">
        <v>-3.9886370556201367E-3</v>
      </c>
    </row>
    <row r="952" spans="1:4">
      <c r="A952" s="18">
        <v>44874</v>
      </c>
      <c r="B952" s="8">
        <v>-3.9294191451214339E-3</v>
      </c>
      <c r="C952" s="4">
        <v>196.0744169354667</v>
      </c>
      <c r="D952" s="4">
        <v>-7.9023831739322148E-3</v>
      </c>
    </row>
    <row r="953" spans="1:4">
      <c r="A953" s="18">
        <v>44875</v>
      </c>
      <c r="B953" s="8">
        <v>-8.8806511035430559E-3</v>
      </c>
      <c r="C953" s="4">
        <v>194.3331484483322</v>
      </c>
      <c r="D953" s="4">
        <v>-1.6712855969621021E-2</v>
      </c>
    </row>
    <row r="954" spans="1:4">
      <c r="A954" s="18">
        <v>44876</v>
      </c>
      <c r="B954" s="8">
        <v>1.7655921240949977E-2</v>
      </c>
      <c r="C954" s="4">
        <v>197.7642792118418</v>
      </c>
      <c r="D954" s="4">
        <v>0</v>
      </c>
    </row>
    <row r="955" spans="1:4">
      <c r="A955" s="18">
        <v>44879</v>
      </c>
      <c r="B955" s="8">
        <v>-4.6839341967170732E-4</v>
      </c>
      <c r="C955" s="4">
        <v>197.67164772481283</v>
      </c>
      <c r="D955" s="4">
        <v>-4.6839341967186421E-4</v>
      </c>
    </row>
    <row r="956" spans="1:4">
      <c r="A956" s="18">
        <v>44880</v>
      </c>
      <c r="B956" s="8">
        <v>-7.0734364333911574E-4</v>
      </c>
      <c r="C956" s="4">
        <v>197.5318259413263</v>
      </c>
      <c r="D956" s="4">
        <v>-1.17540574790298E-3</v>
      </c>
    </row>
    <row r="957" spans="1:4">
      <c r="A957" s="18">
        <v>44881</v>
      </c>
      <c r="B957" s="8">
        <v>1.200209116062769E-3</v>
      </c>
      <c r="C957" s="4">
        <v>197.7689054395336</v>
      </c>
      <c r="D957" s="4">
        <v>0</v>
      </c>
    </row>
    <row r="958" spans="1:4">
      <c r="A958" s="18">
        <v>44882</v>
      </c>
      <c r="B958" s="8">
        <v>-2.8140480377507903E-3</v>
      </c>
      <c r="C958" s="4">
        <v>197.21237423925336</v>
      </c>
      <c r="D958" s="4">
        <v>-2.8140480377507604E-3</v>
      </c>
    </row>
    <row r="959" spans="1:4">
      <c r="A959" s="18">
        <v>44883</v>
      </c>
      <c r="B959" s="8">
        <v>-4.7811908779183693E-3</v>
      </c>
      <c r="C959" s="4">
        <v>196.26946423452802</v>
      </c>
      <c r="D959" s="4">
        <v>-7.5817844148610147E-3</v>
      </c>
    </row>
    <row r="960" spans="1:4">
      <c r="A960" s="18">
        <v>44886</v>
      </c>
      <c r="B960" s="8">
        <v>-8.761823920504919E-3</v>
      </c>
      <c r="C960" s="4">
        <v>194.54978574793324</v>
      </c>
      <c r="D960" s="4">
        <v>-1.6277178075319698E-2</v>
      </c>
    </row>
    <row r="961" spans="1:4">
      <c r="A961" s="18">
        <v>44887</v>
      </c>
      <c r="B961" s="8">
        <v>6.1335303310069119E-3</v>
      </c>
      <c r="C961" s="4">
        <v>195.74306275970906</v>
      </c>
      <c r="D961" s="4">
        <v>-1.0243484309741091E-2</v>
      </c>
    </row>
    <row r="962" spans="1:4">
      <c r="A962" s="18">
        <v>44888</v>
      </c>
      <c r="B962" s="8">
        <v>1.400904653388432E-3</v>
      </c>
      <c r="C962" s="4">
        <v>196.01728012719767</v>
      </c>
      <c r="D962" s="4">
        <v>-8.8569298011890174E-3</v>
      </c>
    </row>
    <row r="963" spans="1:4">
      <c r="A963" s="18">
        <v>44889</v>
      </c>
      <c r="B963" s="8">
        <v>1.2887945423302303E-2</v>
      </c>
      <c r="C963" s="4">
        <v>198.54354013550116</v>
      </c>
      <c r="D963" s="4">
        <v>0</v>
      </c>
    </row>
    <row r="964" spans="1:4">
      <c r="A964" s="18">
        <v>44890</v>
      </c>
      <c r="B964" s="8">
        <v>3.9609968759047563E-3</v>
      </c>
      <c r="C964" s="4">
        <v>199.32997047770894</v>
      </c>
      <c r="D964" s="4">
        <v>0</v>
      </c>
    </row>
    <row r="965" spans="1:4">
      <c r="A965" s="18">
        <v>44893</v>
      </c>
      <c r="B965" s="8">
        <v>2.5837637847903809E-3</v>
      </c>
      <c r="C965" s="4">
        <v>199.84499203665257</v>
      </c>
      <c r="D965" s="4">
        <v>0</v>
      </c>
    </row>
    <row r="966" spans="1:4">
      <c r="A966" s="18">
        <v>44894</v>
      </c>
      <c r="B966" s="8">
        <v>2.5671311693000885E-4</v>
      </c>
      <c r="C966" s="4">
        <v>199.89629486746114</v>
      </c>
      <c r="D966" s="4">
        <v>0</v>
      </c>
    </row>
    <row r="967" spans="1:4">
      <c r="A967" s="18">
        <v>44895</v>
      </c>
      <c r="B967" s="8">
        <v>4.1529980170847188E-3</v>
      </c>
      <c r="C967" s="4">
        <v>200.72646378366827</v>
      </c>
      <c r="D967" s="4">
        <v>0</v>
      </c>
    </row>
    <row r="968" spans="1:4">
      <c r="A968" s="18">
        <v>44896</v>
      </c>
      <c r="B968" s="8">
        <v>5.8724971430742286E-3</v>
      </c>
      <c r="C968" s="4">
        <v>201.90522936877724</v>
      </c>
      <c r="D968" s="4">
        <v>0</v>
      </c>
    </row>
    <row r="969" spans="1:4">
      <c r="A969" s="18">
        <v>44897</v>
      </c>
      <c r="B969" s="8">
        <v>-8.8938810183178205E-3</v>
      </c>
      <c r="C969" s="4">
        <v>200.10950828179517</v>
      </c>
      <c r="D969" s="4">
        <v>-8.8938810183177841E-3</v>
      </c>
    </row>
    <row r="970" spans="1:4">
      <c r="A970" s="18">
        <v>44900</v>
      </c>
      <c r="B970" s="8">
        <v>-2.5279078915137966E-3</v>
      </c>
      <c r="C970" s="4">
        <v>199.60364987664266</v>
      </c>
      <c r="D970" s="4">
        <v>-1.1399305997819242E-2</v>
      </c>
    </row>
    <row r="971" spans="1:4">
      <c r="A971" s="18">
        <v>44901</v>
      </c>
      <c r="B971" s="8">
        <v>-3.7594237738593906E-3</v>
      </c>
      <c r="C971" s="4">
        <v>198.85325516994732</v>
      </c>
      <c r="D971" s="4">
        <v>-1.5115874949704899E-2</v>
      </c>
    </row>
    <row r="972" spans="1:4">
      <c r="A972" s="18">
        <v>44902</v>
      </c>
      <c r="B972" s="8">
        <v>-2.4617018407426033E-3</v>
      </c>
      <c r="C972" s="4">
        <v>198.3637377456578</v>
      </c>
      <c r="D972" s="4">
        <v>-1.7540366013259368E-2</v>
      </c>
    </row>
    <row r="973" spans="1:4">
      <c r="A973" s="18">
        <v>44903</v>
      </c>
      <c r="B973" s="8">
        <v>-9.6127151079393632E-4</v>
      </c>
      <c r="C973" s="4">
        <v>198.17305633578829</v>
      </c>
      <c r="D973" s="4">
        <v>-1.8484776469915976E-2</v>
      </c>
    </row>
    <row r="974" spans="1:4">
      <c r="A974" s="18">
        <v>44904</v>
      </c>
      <c r="B974" s="8">
        <v>-5.7746437891960031E-3</v>
      </c>
      <c r="C974" s="4">
        <v>197.02867752683284</v>
      </c>
      <c r="D974" s="4">
        <v>-2.415267725947523E-2</v>
      </c>
    </row>
    <row r="975" spans="1:4">
      <c r="A975" s="18">
        <v>44907</v>
      </c>
      <c r="B975" s="8">
        <v>9.5691258214773429E-4</v>
      </c>
      <c r="C975" s="4">
        <v>197.2172167474022</v>
      </c>
      <c r="D975" s="4">
        <v>-2.3218876678089639E-2</v>
      </c>
    </row>
    <row r="976" spans="1:4">
      <c r="A976" s="18">
        <v>44908</v>
      </c>
      <c r="B976" s="8">
        <v>5.0227177851308192E-3</v>
      </c>
      <c r="C976" s="4">
        <v>198.20778316949335</v>
      </c>
      <c r="D976" s="4">
        <v>-1.831278075780074E-2</v>
      </c>
    </row>
    <row r="977" spans="1:4">
      <c r="A977" s="18">
        <v>44909</v>
      </c>
      <c r="B977" s="8">
        <v>4.7542377013581379E-3</v>
      </c>
      <c r="C977" s="4">
        <v>199.15011008494037</v>
      </c>
      <c r="D977" s="4">
        <v>-1.3645606369138141E-2</v>
      </c>
    </row>
    <row r="978" spans="1:4">
      <c r="A978" s="18">
        <v>44910</v>
      </c>
      <c r="B978" s="8">
        <v>-1.1019229418052015E-2</v>
      </c>
      <c r="C978" s="4">
        <v>196.95562933328409</v>
      </c>
      <c r="D978" s="4">
        <v>-2.451447172006016E-2</v>
      </c>
    </row>
    <row r="979" spans="1:4">
      <c r="A979" s="18">
        <v>44911</v>
      </c>
      <c r="B979" s="8">
        <v>-7.6714630971368176E-3</v>
      </c>
      <c r="C979" s="4">
        <v>195.44469149108045</v>
      </c>
      <c r="D979" s="4">
        <v>-3.1997872952050699E-2</v>
      </c>
    </row>
    <row r="980" spans="1:4">
      <c r="A980" s="18">
        <v>44914</v>
      </c>
      <c r="B980" s="8">
        <v>4.0434744741665429E-3</v>
      </c>
      <c r="C980" s="4">
        <v>196.23496711223601</v>
      </c>
      <c r="D980" s="4">
        <v>-2.8083781060393331E-2</v>
      </c>
    </row>
    <row r="981" spans="1:4">
      <c r="A981" s="18">
        <v>44915</v>
      </c>
      <c r="B981" s="8">
        <v>-1.9595588222741113E-3</v>
      </c>
      <c r="C981" s="4">
        <v>195.85043315119253</v>
      </c>
      <c r="D981" s="4">
        <v>-2.9988308061727809E-2</v>
      </c>
    </row>
    <row r="982" spans="1:4">
      <c r="A982" s="18">
        <v>44916</v>
      </c>
      <c r="B982" s="8">
        <v>-5.8435677402268963E-3</v>
      </c>
      <c r="C982" s="4">
        <v>194.70596787812076</v>
      </c>
      <c r="D982" s="4">
        <v>-3.5656637092381205E-2</v>
      </c>
    </row>
    <row r="983" spans="1:4">
      <c r="A983" s="18">
        <v>44917</v>
      </c>
      <c r="B983" s="8">
        <v>-3.7471018373351041E-3</v>
      </c>
      <c r="C983" s="4">
        <v>193.97638478814454</v>
      </c>
      <c r="D983" s="4">
        <v>-3.9270129879354299E-2</v>
      </c>
    </row>
    <row r="984" spans="1:4">
      <c r="A984" s="18">
        <v>44918</v>
      </c>
      <c r="B984" s="8">
        <v>-1.8337090709608771E-2</v>
      </c>
      <c r="C984" s="4">
        <v>190.41942222476237</v>
      </c>
      <c r="D984" s="4">
        <v>-5.6887120655187196E-2</v>
      </c>
    </row>
    <row r="985" spans="1:4">
      <c r="A985" s="18">
        <v>44921</v>
      </c>
      <c r="B985" s="8">
        <v>1.0809662090302619E-2</v>
      </c>
      <c r="C985" s="4">
        <v>192.47779183444271</v>
      </c>
      <c r="D985" s="4">
        <v>-4.6692389116457456E-2</v>
      </c>
    </row>
    <row r="986" spans="1:4">
      <c r="A986" s="18">
        <v>44922</v>
      </c>
      <c r="B986" s="8">
        <v>5.9072584571092969E-3</v>
      </c>
      <c r="C986" s="4">
        <v>193.61480789806245</v>
      </c>
      <c r="D986" s="4">
        <v>-4.1060954669838945E-2</v>
      </c>
    </row>
    <row r="987" spans="1:4">
      <c r="A987" s="18">
        <v>44923</v>
      </c>
      <c r="B987" s="8">
        <v>1.5642615456491764E-3</v>
      </c>
      <c r="C987" s="4">
        <v>193.91767209672565</v>
      </c>
      <c r="D987" s="4">
        <v>-3.9560923196607312E-2</v>
      </c>
    </row>
    <row r="988" spans="1:4">
      <c r="A988" s="18">
        <v>44924</v>
      </c>
      <c r="B988" s="8">
        <v>1.6689693519545653E-3</v>
      </c>
      <c r="C988" s="4">
        <v>194.24131474825745</v>
      </c>
      <c r="D988" s="4">
        <v>-3.7957979813002973E-2</v>
      </c>
    </row>
    <row r="989" spans="1:4">
      <c r="A989" s="18">
        <v>44925</v>
      </c>
      <c r="B989" s="8">
        <v>-5.3564036056776461E-3</v>
      </c>
      <c r="C989" s="4">
        <v>193.20087986956833</v>
      </c>
      <c r="D989" s="4">
        <v>-4.3111065158746076E-2</v>
      </c>
    </row>
    <row r="990" spans="1:4">
      <c r="A990" s="18">
        <v>44928</v>
      </c>
      <c r="B990" s="8">
        <v>2.6860154469554062E-3</v>
      </c>
      <c r="C990" s="4">
        <v>193.71982041726338</v>
      </c>
      <c r="D990" s="4">
        <v>-4.0540846698741584E-2</v>
      </c>
    </row>
    <row r="991" spans="1:4">
      <c r="A991" s="18">
        <v>44929</v>
      </c>
      <c r="B991" s="8">
        <v>1.6860117801816349E-3</v>
      </c>
      <c r="C991" s="4">
        <v>194.04643431654154</v>
      </c>
      <c r="D991" s="4">
        <v>-3.8923187263672721E-2</v>
      </c>
    </row>
    <row r="992" spans="1:4">
      <c r="A992" s="18">
        <v>44930</v>
      </c>
      <c r="B992" s="8">
        <v>-7.2927271589276451E-3</v>
      </c>
      <c r="C992" s="4">
        <v>192.63130661490823</v>
      </c>
      <c r="D992" s="4">
        <v>-4.59320582377305E-2</v>
      </c>
    </row>
    <row r="993" spans="1:4">
      <c r="A993" s="18">
        <v>44931</v>
      </c>
      <c r="B993" s="8">
        <v>4.0391692469896514E-3</v>
      </c>
      <c r="C993" s="4">
        <v>193.40937706459459</v>
      </c>
      <c r="D993" s="4">
        <v>-4.207841634782572E-2</v>
      </c>
    </row>
    <row r="994" spans="1:4">
      <c r="A994" s="18">
        <v>44932</v>
      </c>
      <c r="B994" s="8">
        <v>-5.8433977142874982E-3</v>
      </c>
      <c r="C994" s="4">
        <v>192.27920915273356</v>
      </c>
      <c r="D994" s="4">
        <v>-4.7675933140205573E-2</v>
      </c>
    </row>
    <row r="995" spans="1:4">
      <c r="A995" s="18">
        <v>44935</v>
      </c>
      <c r="B995" s="8">
        <v>1.3361947877943665E-2</v>
      </c>
      <c r="C995" s="4">
        <v>194.84843392344462</v>
      </c>
      <c r="D995" s="4">
        <v>-3.4951028595913591E-2</v>
      </c>
    </row>
    <row r="996" spans="1:4">
      <c r="A996" s="18">
        <v>44936</v>
      </c>
      <c r="B996" s="8">
        <v>-1.0200666480592526E-2</v>
      </c>
      <c r="C996" s="4">
        <v>192.86085003472579</v>
      </c>
      <c r="D996" s="4">
        <v>-4.4795171290645586E-2</v>
      </c>
    </row>
    <row r="997" spans="1:4">
      <c r="A997" s="18">
        <v>44937</v>
      </c>
      <c r="B997" s="8">
        <v>4.2290924910580521E-3</v>
      </c>
      <c r="C997" s="4">
        <v>193.67647640742669</v>
      </c>
      <c r="D997" s="4">
        <v>-4.0755521722128596E-2</v>
      </c>
    </row>
    <row r="998" spans="1:4">
      <c r="A998" s="18">
        <v>44938</v>
      </c>
      <c r="B998" s="8">
        <v>3.7344225437147185E-3</v>
      </c>
      <c r="C998" s="4">
        <v>194.39974620710984</v>
      </c>
      <c r="D998" s="4">
        <v>-3.7173297517513637E-2</v>
      </c>
    </row>
    <row r="999" spans="1:4">
      <c r="A999" s="18">
        <v>44939</v>
      </c>
      <c r="B999" s="8">
        <v>3.1459140582377541E-3</v>
      </c>
      <c r="C999" s="4">
        <v>195.01131110162063</v>
      </c>
      <c r="D999" s="4">
        <v>-3.4144327458527357E-2</v>
      </c>
    </row>
    <row r="1000" spans="1:4">
      <c r="A1000" s="18">
        <v>44942</v>
      </c>
      <c r="B1000" s="8">
        <v>-2.012178818676645E-3</v>
      </c>
      <c r="C1000" s="4">
        <v>194.61891347201959</v>
      </c>
      <c r="D1000" s="4">
        <v>-3.6087801784714046E-2</v>
      </c>
    </row>
    <row r="1001" spans="1:4">
      <c r="A1001" s="18">
        <v>44943</v>
      </c>
      <c r="B1001" s="8">
        <v>1.4280558441163025E-2</v>
      </c>
      <c r="C1001" s="4">
        <v>197.3981802396124</v>
      </c>
      <c r="D1001" s="4">
        <v>-2.2322597305950764E-2</v>
      </c>
    </row>
    <row r="1002" spans="1:4">
      <c r="A1002" s="18">
        <v>44944</v>
      </c>
      <c r="B1002" s="8">
        <v>8.5013775196233245E-3</v>
      </c>
      <c r="C1002" s="4">
        <v>199.07633669151602</v>
      </c>
      <c r="D1002" s="4">
        <v>-1.4010992613243789E-2</v>
      </c>
    </row>
    <row r="1003" spans="1:4">
      <c r="A1003" s="18">
        <v>44945</v>
      </c>
      <c r="B1003" s="8">
        <v>-4.3556945597456032E-4</v>
      </c>
      <c r="C1003" s="4">
        <v>198.9896251198459</v>
      </c>
      <c r="D1003" s="4">
        <v>-1.4440459308788012E-2</v>
      </c>
    </row>
    <row r="1004" spans="1:4">
      <c r="A1004" s="18">
        <v>44946</v>
      </c>
      <c r="B1004" s="8">
        <v>-6.0278286647964573E-3</v>
      </c>
      <c r="C1004" s="4">
        <v>197.79014975355139</v>
      </c>
      <c r="D1004" s="4">
        <v>-2.0381243359030132E-2</v>
      </c>
    </row>
    <row r="1005" spans="1:4">
      <c r="A1005" s="18">
        <v>44949</v>
      </c>
      <c r="B1005" s="8">
        <v>4.0967640649203409E-3</v>
      </c>
      <c r="C1005" s="4">
        <v>198.60044933145696</v>
      </c>
      <c r="D1005" s="4">
        <v>-1.6367976439501497E-2</v>
      </c>
    </row>
    <row r="1006" spans="1:4">
      <c r="A1006" s="18">
        <v>44950</v>
      </c>
      <c r="B1006" s="8">
        <v>4.2825523376340711E-3</v>
      </c>
      <c r="C1006" s="4">
        <v>199.45096614999653</v>
      </c>
      <c r="D1006" s="4">
        <v>-1.2155520817630938E-2</v>
      </c>
    </row>
    <row r="1007" spans="1:4">
      <c r="A1007" s="18">
        <v>44951</v>
      </c>
      <c r="B1007" s="8">
        <v>-5.5102493529219573E-3</v>
      </c>
      <c r="C1007" s="4">
        <v>198.35194159282884</v>
      </c>
      <c r="D1007" s="4">
        <v>-1.7598790219833127E-2</v>
      </c>
    </row>
    <row r="1008" spans="1:4">
      <c r="A1008" s="18">
        <v>44953</v>
      </c>
      <c r="B1008" s="8">
        <v>-5.9122213386606217E-3</v>
      </c>
      <c r="C1008" s="4">
        <v>197.17924101117893</v>
      </c>
      <c r="D1008" s="4">
        <v>-2.3406963615421494E-2</v>
      </c>
    </row>
    <row r="1009" spans="1:4">
      <c r="A1009" s="18">
        <v>44956</v>
      </c>
      <c r="B1009" s="8">
        <v>1.2177169695196128E-3</v>
      </c>
      <c r="C1009" s="4">
        <v>197.41934951899523</v>
      </c>
      <c r="D1009" s="4">
        <v>-2.2217749702701406E-2</v>
      </c>
    </row>
    <row r="1010" spans="1:4">
      <c r="A1010" s="18">
        <v>44957</v>
      </c>
      <c r="B1010" s="8">
        <v>-8.3853882787655073E-4</v>
      </c>
      <c r="C1010" s="4">
        <v>197.25380572904942</v>
      </c>
      <c r="D1010" s="4">
        <v>-2.3037658084784196E-2</v>
      </c>
    </row>
    <row r="1011" spans="1:4">
      <c r="A1011" s="18">
        <v>44958</v>
      </c>
      <c r="B1011" s="8">
        <v>1.1030411742449929E-3</v>
      </c>
      <c r="C1011" s="4">
        <v>197.47138479854507</v>
      </c>
      <c r="D1011" s="4">
        <v>-2.1960028395965003E-2</v>
      </c>
    </row>
    <row r="1012" spans="1:4">
      <c r="A1012" s="18">
        <v>44959</v>
      </c>
      <c r="B1012" s="8">
        <v>6.3972101293113936E-3</v>
      </c>
      <c r="C1012" s="4">
        <v>198.73465074162749</v>
      </c>
      <c r="D1012" s="4">
        <v>-1.5703301182748097E-2</v>
      </c>
    </row>
    <row r="1013" spans="1:4">
      <c r="A1013" s="18">
        <v>44960</v>
      </c>
      <c r="B1013" s="8">
        <v>1.1173391243861465E-2</v>
      </c>
      <c r="C1013" s="4">
        <v>200.95519074807584</v>
      </c>
      <c r="D1013" s="4">
        <v>-4.7053690668218406E-3</v>
      </c>
    </row>
    <row r="1014" spans="1:4">
      <c r="A1014" s="18">
        <v>44963</v>
      </c>
      <c r="B1014" s="8">
        <v>-5.2005021925633169E-3</v>
      </c>
      <c r="C1014" s="4">
        <v>199.91012283798349</v>
      </c>
      <c r="D1014" s="4">
        <v>-9.881400977236221E-3</v>
      </c>
    </row>
    <row r="1015" spans="1:4">
      <c r="A1015" s="18">
        <v>44964</v>
      </c>
      <c r="B1015" s="8">
        <v>-7.3244212218891583E-3</v>
      </c>
      <c r="C1015" s="4">
        <v>198.4458968917985</v>
      </c>
      <c r="D1015" s="4">
        <v>-1.7133446656105722E-2</v>
      </c>
    </row>
    <row r="1016" spans="1:4">
      <c r="A1016" s="18">
        <v>44965</v>
      </c>
      <c r="B1016" s="8">
        <v>6.373429728807169E-3</v>
      </c>
      <c r="C1016" s="4">
        <v>199.71067787060849</v>
      </c>
      <c r="D1016" s="4">
        <v>-1.0869215745573535E-2</v>
      </c>
    </row>
    <row r="1017" spans="1:4">
      <c r="A1017" s="18">
        <v>44966</v>
      </c>
      <c r="B1017" s="8">
        <v>1.5765195898704888E-3</v>
      </c>
      <c r="C1017" s="4">
        <v>200.02552566657781</v>
      </c>
      <c r="D1017" s="4">
        <v>-9.3098316872525233E-3</v>
      </c>
    </row>
    <row r="1018" spans="1:4">
      <c r="A1018" s="18">
        <v>44967</v>
      </c>
      <c r="B1018" s="8">
        <v>-2.2379022779416826E-4</v>
      </c>
      <c r="C1018" s="4">
        <v>199.98076190862423</v>
      </c>
      <c r="D1018" s="4">
        <v>-9.5315384656927682E-3</v>
      </c>
    </row>
    <row r="1019" spans="1:4">
      <c r="A1019" s="18">
        <v>44970</v>
      </c>
      <c r="B1019" s="8">
        <v>1.2834281210162952E-3</v>
      </c>
      <c r="C1019" s="4">
        <v>200.23742284212003</v>
      </c>
      <c r="D1019" s="4">
        <v>-8.2603433891798028E-3</v>
      </c>
    </row>
    <row r="1020" spans="1:4">
      <c r="A1020" s="18">
        <v>44971</v>
      </c>
      <c r="B1020" s="8">
        <v>5.191854905598107E-3</v>
      </c>
      <c r="C1020" s="4">
        <v>201.2770264881872</v>
      </c>
      <c r="D1020" s="4">
        <v>-3.1113749879287944E-3</v>
      </c>
    </row>
    <row r="1021" spans="1:4">
      <c r="A1021" s="18">
        <v>44972</v>
      </c>
      <c r="B1021" s="8">
        <v>2.26349905016285E-3</v>
      </c>
      <c r="C1021" s="4">
        <v>201.73261684646283</v>
      </c>
      <c r="D1021" s="4">
        <v>-8.5491853209573865E-4</v>
      </c>
    </row>
    <row r="1022" spans="1:4">
      <c r="A1022" s="18">
        <v>44973</v>
      </c>
      <c r="B1022" s="8">
        <v>2.6293882454159017E-4</v>
      </c>
      <c r="C1022" s="4">
        <v>201.78566018360814</v>
      </c>
      <c r="D1022" s="4">
        <v>-5.9220449882801951E-4</v>
      </c>
    </row>
    <row r="1023" spans="1:4">
      <c r="A1023" s="18">
        <v>44974</v>
      </c>
      <c r="B1023" s="8">
        <v>7.7730906119719608E-4</v>
      </c>
      <c r="C1023" s="4">
        <v>201.94251000568849</v>
      </c>
      <c r="D1023" s="4">
        <v>0</v>
      </c>
    </row>
    <row r="1024" spans="1:4">
      <c r="A1024" s="18">
        <v>44977</v>
      </c>
      <c r="B1024" s="8">
        <v>-4.3949359601014619E-3</v>
      </c>
      <c r="C1024" s="4">
        <v>201.05498560659134</v>
      </c>
      <c r="D1024" s="4">
        <v>-4.3949359601014315E-3</v>
      </c>
    </row>
    <row r="1025" spans="1:4">
      <c r="A1025" s="18">
        <v>44978</v>
      </c>
      <c r="B1025" s="8">
        <v>-2.8215880035001376E-3</v>
      </c>
      <c r="C1025" s="4">
        <v>200.48769127115989</v>
      </c>
      <c r="D1025" s="4">
        <v>-7.2041232650204012E-3</v>
      </c>
    </row>
    <row r="1026" spans="1:4">
      <c r="A1026" s="18">
        <v>44979</v>
      </c>
      <c r="B1026" s="8">
        <v>-9.987756582495351E-3</v>
      </c>
      <c r="C1026" s="4">
        <v>198.48526901295705</v>
      </c>
      <c r="D1026" s="4">
        <v>-1.71199268179546E-2</v>
      </c>
    </row>
    <row r="1027" spans="1:4">
      <c r="A1027" s="18">
        <v>44980</v>
      </c>
      <c r="B1027" s="8">
        <v>-2.3248464785427772E-3</v>
      </c>
      <c r="C1027" s="4">
        <v>198.02382123424965</v>
      </c>
      <c r="D1027" s="4">
        <v>-1.9404972094921757E-2</v>
      </c>
    </row>
    <row r="1028" spans="1:4">
      <c r="A1028" s="18">
        <v>44981</v>
      </c>
      <c r="B1028" s="8">
        <v>-4.0779504376872149E-3</v>
      </c>
      <c r="C1028" s="4">
        <v>197.21628990577494</v>
      </c>
      <c r="D1028" s="4">
        <v>-2.3403790018161175E-2</v>
      </c>
    </row>
    <row r="1029" spans="1:4">
      <c r="A1029" s="18">
        <v>44984</v>
      </c>
      <c r="B1029" s="8">
        <v>-8.6810757646650239E-3</v>
      </c>
      <c r="C1029" s="4">
        <v>195.50424035107676</v>
      </c>
      <c r="D1029" s="4">
        <v>-3.1881695708498303E-2</v>
      </c>
    </row>
    <row r="1030" spans="1:4">
      <c r="A1030" s="18">
        <v>44985</v>
      </c>
      <c r="B1030" s="8">
        <v>-6.9683602787901202E-3</v>
      </c>
      <c r="C1030" s="4">
        <v>194.14189636827928</v>
      </c>
      <c r="D1030" s="4">
        <v>-3.8627892845292888E-2</v>
      </c>
    </row>
    <row r="1031" spans="1:4">
      <c r="A1031" s="18">
        <v>44986</v>
      </c>
      <c r="B1031" s="8">
        <v>8.1067179873335424E-3</v>
      </c>
      <c r="C1031" s="4">
        <v>195.71574997166306</v>
      </c>
      <c r="D1031" s="4">
        <v>-3.0834320291700967E-2</v>
      </c>
    </row>
    <row r="1032" spans="1:4">
      <c r="A1032" s="18">
        <v>44987</v>
      </c>
      <c r="B1032" s="8">
        <v>-8.5668030217491142E-3</v>
      </c>
      <c r="C1032" s="4">
        <v>194.0390916934019</v>
      </c>
      <c r="D1032" s="4">
        <v>-3.91369717652017E-2</v>
      </c>
    </row>
    <row r="1033" spans="1:4">
      <c r="A1033" s="18">
        <v>44988</v>
      </c>
      <c r="B1033" s="8">
        <v>1.2046153065187425E-2</v>
      </c>
      <c r="C1033" s="4">
        <v>196.37651629257056</v>
      </c>
      <c r="D1033" s="4">
        <v>-2.7562268652405852E-2</v>
      </c>
    </row>
    <row r="1034" spans="1:4">
      <c r="A1034" s="18">
        <v>44991</v>
      </c>
      <c r="B1034" s="8">
        <v>4.2829164531895531E-3</v>
      </c>
      <c r="C1034" s="4">
        <v>197.21758050522004</v>
      </c>
      <c r="D1034" s="4">
        <v>-2.339739909311489E-2</v>
      </c>
    </row>
    <row r="1035" spans="1:4">
      <c r="A1035" s="18">
        <v>44993</v>
      </c>
      <c r="B1035" s="8">
        <v>4.0994656621295388E-3</v>
      </c>
      <c r="C1035" s="4">
        <v>198.02606720446948</v>
      </c>
      <c r="D1035" s="4">
        <v>-1.9393850265150614E-2</v>
      </c>
    </row>
    <row r="1036" spans="1:4">
      <c r="A1036" s="18">
        <v>44994</v>
      </c>
      <c r="B1036" s="8">
        <v>-8.3021837098020239E-3</v>
      </c>
      <c r="C1036" s="4">
        <v>196.38201841520836</v>
      </c>
      <c r="D1036" s="4">
        <v>-2.7535022667211084E-2</v>
      </c>
    </row>
    <row r="1037" spans="1:4">
      <c r="A1037" s="18">
        <v>44995</v>
      </c>
      <c r="B1037" s="8">
        <v>-5.8089932978395067E-3</v>
      </c>
      <c r="C1037" s="4">
        <v>195.24123658641824</v>
      </c>
      <c r="D1037" s="4">
        <v>-3.3184065202920832E-2</v>
      </c>
    </row>
    <row r="1038" spans="1:4">
      <c r="A1038" s="18">
        <v>44998</v>
      </c>
      <c r="B1038" s="8">
        <v>-1.1664015321190473E-2</v>
      </c>
      <c r="C1038" s="4">
        <v>192.96393981154608</v>
      </c>
      <c r="D1038" s="4">
        <v>-4.4461021079165053E-2</v>
      </c>
    </row>
    <row r="1039" spans="1:4">
      <c r="A1039" s="18">
        <v>44999</v>
      </c>
      <c r="B1039" s="8">
        <v>-2.914901769498237E-3</v>
      </c>
      <c r="C1039" s="4">
        <v>192.40146888194005</v>
      </c>
      <c r="D1039" s="4">
        <v>-4.7246323339645957E-2</v>
      </c>
    </row>
    <row r="1040" spans="1:4">
      <c r="A1040" s="18">
        <v>45000</v>
      </c>
      <c r="B1040" s="8">
        <v>-2.5505895559086501E-3</v>
      </c>
      <c r="C1040" s="4">
        <v>191.91073170486828</v>
      </c>
      <c r="D1040" s="4">
        <v>-4.9676406916689397E-2</v>
      </c>
    </row>
    <row r="1041" spans="1:4">
      <c r="A1041" s="18">
        <v>45001</v>
      </c>
      <c r="B1041" s="8">
        <v>3.9009671678148853E-4</v>
      </c>
      <c r="C1041" s="4">
        <v>191.98559545122151</v>
      </c>
      <c r="D1041" s="4">
        <v>-4.9305688803147452E-2</v>
      </c>
    </row>
    <row r="1042" spans="1:4">
      <c r="A1042" s="18">
        <v>45002</v>
      </c>
      <c r="B1042" s="8">
        <v>-1.899048450045434E-3</v>
      </c>
      <c r="C1042" s="4">
        <v>191.62100550374882</v>
      </c>
      <c r="D1042" s="4">
        <v>-5.1111103361292876E-2</v>
      </c>
    </row>
    <row r="1043" spans="1:4">
      <c r="A1043" s="18">
        <v>45005</v>
      </c>
      <c r="B1043" s="8">
        <v>-6.4071235187317405E-3</v>
      </c>
      <c r="C1043" s="4">
        <v>190.39326605270273</v>
      </c>
      <c r="D1043" s="4">
        <v>-5.7190751727610123E-2</v>
      </c>
    </row>
    <row r="1044" spans="1:4">
      <c r="A1044" s="18">
        <v>45006</v>
      </c>
      <c r="B1044" s="8">
        <v>4.7900668562458129E-3</v>
      </c>
      <c r="C1044" s="4">
        <v>191.30526252607416</v>
      </c>
      <c r="D1044" s="4">
        <v>-5.2674632395698584E-2</v>
      </c>
    </row>
    <row r="1045" spans="1:4">
      <c r="A1045" s="18">
        <v>45007</v>
      </c>
      <c r="B1045" s="8">
        <v>4.5597015849627529E-3</v>
      </c>
      <c r="C1045" s="4">
        <v>192.17755743482601</v>
      </c>
      <c r="D1045" s="4">
        <v>-4.8355111415557817E-2</v>
      </c>
    </row>
    <row r="1046" spans="1:4">
      <c r="A1046" s="18">
        <v>45008</v>
      </c>
      <c r="B1046" s="8">
        <v>-4.1776444029873404E-5</v>
      </c>
      <c r="C1046" s="4">
        <v>192.16952893985402</v>
      </c>
      <c r="D1046" s="4">
        <v>-4.8394867754982251E-2</v>
      </c>
    </row>
    <row r="1047" spans="1:4">
      <c r="A1047" s="18">
        <v>45009</v>
      </c>
      <c r="B1047" s="8">
        <v>-9.7296379966919887E-3</v>
      </c>
      <c r="C1047" s="4">
        <v>190.29978898927442</v>
      </c>
      <c r="D1047" s="4">
        <v>-5.7653641207520478E-2</v>
      </c>
    </row>
    <row r="1048" spans="1:4">
      <c r="A1048" s="18">
        <v>45012</v>
      </c>
      <c r="B1048" s="8">
        <v>4.5687253910485625E-3</v>
      </c>
      <c r="C1048" s="4">
        <v>191.16921646714087</v>
      </c>
      <c r="D1048" s="4">
        <v>-5.3348319470943206E-2</v>
      </c>
    </row>
    <row r="1049" spans="1:4">
      <c r="A1049" s="18">
        <v>45013</v>
      </c>
      <c r="B1049" s="8">
        <v>-3.1565962228140947E-3</v>
      </c>
      <c r="C1049" s="4">
        <v>190.56577244052238</v>
      </c>
      <c r="D1049" s="4">
        <v>-5.6336516590021812E-2</v>
      </c>
    </row>
    <row r="1050" spans="1:4">
      <c r="A1050" s="18">
        <v>45014</v>
      </c>
      <c r="B1050" s="8">
        <v>5.7881187034656053E-3</v>
      </c>
      <c r="C1050" s="4">
        <v>191.66878975222573</v>
      </c>
      <c r="D1050" s="4">
        <v>-5.0874480331918992E-2</v>
      </c>
    </row>
    <row r="1051" spans="1:4">
      <c r="A1051" s="18">
        <v>45016</v>
      </c>
      <c r="B1051" s="8">
        <v>1.1387217497684928E-2</v>
      </c>
      <c r="C1051" s="4">
        <v>193.85136394865239</v>
      </c>
      <c r="D1051" s="4">
        <v>-4.0066581606855278E-2</v>
      </c>
    </row>
    <row r="1052" spans="1:4">
      <c r="A1052" s="18">
        <v>45019</v>
      </c>
      <c r="B1052" s="8">
        <v>2.7541139107953279E-3</v>
      </c>
      <c r="C1052" s="4">
        <v>194.38525268673004</v>
      </c>
      <c r="D1052" s="4">
        <v>-3.7422815625821282E-2</v>
      </c>
    </row>
    <row r="1053" spans="1:4">
      <c r="A1053" s="18">
        <v>45021</v>
      </c>
      <c r="B1053" s="8">
        <v>1.465721753937844E-2</v>
      </c>
      <c r="C1053" s="4">
        <v>197.23439962180649</v>
      </c>
      <c r="D1053" s="4">
        <v>-2.3314112436006562E-2</v>
      </c>
    </row>
    <row r="1054" spans="1:4">
      <c r="A1054" s="18">
        <v>45022</v>
      </c>
      <c r="B1054" s="8">
        <v>6.3113785896673743E-3</v>
      </c>
      <c r="C1054" s="4">
        <v>198.47922058872544</v>
      </c>
      <c r="D1054" s="4">
        <v>-1.7149878036404997E-2</v>
      </c>
    </row>
    <row r="1055" spans="1:4">
      <c r="A1055" s="18">
        <v>45026</v>
      </c>
      <c r="B1055" s="8">
        <v>3.4803422036093039E-3</v>
      </c>
      <c r="C1055" s="4">
        <v>199.16999619667988</v>
      </c>
      <c r="D1055" s="4">
        <v>-1.3729223277112457E-2</v>
      </c>
    </row>
    <row r="1056" spans="1:4">
      <c r="A1056" s="18">
        <v>45027</v>
      </c>
      <c r="B1056" s="8">
        <v>2.0722637493594764E-3</v>
      </c>
      <c r="C1056" s="4">
        <v>199.58272895975833</v>
      </c>
      <c r="D1056" s="4">
        <v>-1.1685410099457005E-2</v>
      </c>
    </row>
    <row r="1057" spans="1:4">
      <c r="A1057" s="18">
        <v>45028</v>
      </c>
      <c r="B1057" s="8">
        <v>2.2408102781906994E-3</v>
      </c>
      <c r="C1057" s="4">
        <v>200.02995599016072</v>
      </c>
      <c r="D1057" s="4">
        <v>-9.4707846083219582E-3</v>
      </c>
    </row>
    <row r="1058" spans="1:4">
      <c r="A1058" s="18">
        <v>45029</v>
      </c>
      <c r="B1058" s="8">
        <v>-5.8963615601393821E-3</v>
      </c>
      <c r="C1058" s="4">
        <v>198.85050704678395</v>
      </c>
      <c r="D1058" s="4">
        <v>-1.5311302998152532E-2</v>
      </c>
    </row>
    <row r="1059" spans="1:4">
      <c r="A1059" s="18">
        <v>45033</v>
      </c>
      <c r="B1059" s="8">
        <v>-1.3411512493777186E-2</v>
      </c>
      <c r="C1059" s="4">
        <v>196.18362098713209</v>
      </c>
      <c r="D1059" s="4">
        <v>-2.8517467760473925E-2</v>
      </c>
    </row>
    <row r="1060" spans="1:4">
      <c r="A1060" s="18">
        <v>45034</v>
      </c>
      <c r="B1060" s="8">
        <v>1.6211044569359968E-4</v>
      </c>
      <c r="C1060" s="4">
        <v>196.21542440136813</v>
      </c>
      <c r="D1060" s="4">
        <v>-2.8359980294188847E-2</v>
      </c>
    </row>
    <row r="1061" spans="1:4">
      <c r="A1061" s="18">
        <v>45035</v>
      </c>
      <c r="B1061" s="8">
        <v>-4.3227169592505279E-3</v>
      </c>
      <c r="C1061" s="4">
        <v>195.36724065864178</v>
      </c>
      <c r="D1061" s="4">
        <v>-3.2560105085657765E-2</v>
      </c>
    </row>
    <row r="1062" spans="1:4">
      <c r="A1062" s="18">
        <v>45036</v>
      </c>
      <c r="B1062" s="8">
        <v>8.7531538914991627E-4</v>
      </c>
      <c r="C1062" s="4">
        <v>195.53824861092602</v>
      </c>
      <c r="D1062" s="4">
        <v>-3.1713290057561738E-2</v>
      </c>
    </row>
    <row r="1063" spans="1:4">
      <c r="A1063" s="18">
        <v>45037</v>
      </c>
      <c r="B1063" s="8">
        <v>-9.7435051928217869E-4</v>
      </c>
      <c r="C1063" s="4">
        <v>195.34772581685243</v>
      </c>
      <c r="D1063" s="4">
        <v>-3.2656740716208277E-2</v>
      </c>
    </row>
    <row r="1064" spans="1:4">
      <c r="A1064" s="18">
        <v>45040</v>
      </c>
      <c r="B1064" s="8">
        <v>-9.5033835518798407E-4</v>
      </c>
      <c r="C1064" s="4">
        <v>195.16207938040992</v>
      </c>
      <c r="D1064" s="4">
        <v>-3.3576044118138193E-2</v>
      </c>
    </row>
    <row r="1065" spans="1:4">
      <c r="A1065" s="18">
        <v>45041</v>
      </c>
      <c r="B1065" s="8">
        <v>1.159545457935856E-3</v>
      </c>
      <c r="C1065" s="4">
        <v>195.3883786831168</v>
      </c>
      <c r="D1065" s="4">
        <v>-3.2455431609655028E-2</v>
      </c>
    </row>
    <row r="1066" spans="1:4">
      <c r="A1066" s="18">
        <v>45042</v>
      </c>
      <c r="B1066" s="8">
        <v>3.680766029103057E-3</v>
      </c>
      <c r="C1066" s="4">
        <v>196.10755758985516</v>
      </c>
      <c r="D1066" s="4">
        <v>-2.8894126430680567E-2</v>
      </c>
    </row>
    <row r="1067" spans="1:4">
      <c r="A1067" s="18">
        <v>45043</v>
      </c>
      <c r="B1067" s="8">
        <v>7.5162407093440266E-3</v>
      </c>
      <c r="C1067" s="4">
        <v>197.58154919762208</v>
      </c>
      <c r="D1067" s="4">
        <v>-2.1595060930675647E-2</v>
      </c>
    </row>
    <row r="1068" spans="1:4">
      <c r="A1068" s="18">
        <v>45044</v>
      </c>
      <c r="B1068" s="8">
        <v>1.3305210466540011E-2</v>
      </c>
      <c r="C1068" s="4">
        <v>200.21041329400148</v>
      </c>
      <c r="D1068" s="4">
        <v>-8.5771772948559644E-3</v>
      </c>
    </row>
    <row r="1069" spans="1:4">
      <c r="A1069" s="18">
        <v>45048</v>
      </c>
      <c r="B1069" s="8">
        <v>6.2034558403150277E-3</v>
      </c>
      <c r="C1069" s="4">
        <v>201.45240975164205</v>
      </c>
      <c r="D1069" s="4">
        <v>-2.4269295951240277E-3</v>
      </c>
    </row>
    <row r="1070" spans="1:4">
      <c r="A1070" s="18">
        <v>45049</v>
      </c>
      <c r="B1070" s="8">
        <v>-5.266080772754993E-3</v>
      </c>
      <c r="C1070" s="4">
        <v>200.39154509002375</v>
      </c>
      <c r="D1070" s="4">
        <v>-7.6802299606013591E-3</v>
      </c>
    </row>
    <row r="1071" spans="1:4">
      <c r="A1071" s="18">
        <v>45050</v>
      </c>
      <c r="B1071" s="8">
        <v>5.6624175334468486E-3</v>
      </c>
      <c r="C1071" s="4">
        <v>201.526245688496</v>
      </c>
      <c r="D1071" s="4">
        <v>-2.0613010959443789E-3</v>
      </c>
    </row>
    <row r="1072" spans="1:4">
      <c r="A1072" s="18">
        <v>45051</v>
      </c>
      <c r="B1072" s="8">
        <v>-1.5126034493132706E-4</v>
      </c>
      <c r="C1072" s="4">
        <v>201.49576275906045</v>
      </c>
      <c r="D1072" s="4">
        <v>-2.2122496477608999E-3</v>
      </c>
    </row>
    <row r="1073" spans="1:4">
      <c r="A1073" s="18">
        <v>45054</v>
      </c>
      <c r="B1073" s="8">
        <v>4.369556393753824E-3</v>
      </c>
      <c r="C1073" s="4">
        <v>202.37620985753861</v>
      </c>
      <c r="D1073" s="4">
        <v>0</v>
      </c>
    </row>
    <row r="1074" spans="1:4">
      <c r="A1074" s="18">
        <v>45055</v>
      </c>
      <c r="B1074" s="8">
        <v>9.4913973581118476E-4</v>
      </c>
      <c r="C1074" s="4">
        <v>202.56829315989728</v>
      </c>
      <c r="D1074" s="4">
        <v>0</v>
      </c>
    </row>
    <row r="1075" spans="1:4">
      <c r="A1075" s="18">
        <v>45056</v>
      </c>
      <c r="B1075" s="8">
        <v>9.3157178092602303E-4</v>
      </c>
      <c r="C1075" s="4">
        <v>202.75700006551537</v>
      </c>
      <c r="D1075" s="4">
        <v>0</v>
      </c>
    </row>
    <row r="1076" spans="1:4">
      <c r="A1076" s="18">
        <v>45057</v>
      </c>
      <c r="B1076" s="8">
        <v>-9.4352710912940507E-3</v>
      </c>
      <c r="C1076" s="4">
        <v>200.8439328042397</v>
      </c>
      <c r="D1076" s="4">
        <v>-9.4352710912940507E-3</v>
      </c>
    </row>
    <row r="1077" spans="1:4">
      <c r="A1077" s="18">
        <v>45058</v>
      </c>
      <c r="B1077" s="8">
        <v>-1.9870181265957162E-3</v>
      </c>
      <c r="C1077" s="4">
        <v>200.44485226914091</v>
      </c>
      <c r="D1077" s="4">
        <v>-1.140354116320208E-2</v>
      </c>
    </row>
    <row r="1078" spans="1:4">
      <c r="A1078" s="18">
        <v>45061</v>
      </c>
      <c r="B1078" s="8">
        <v>2.4149664221332508E-3</v>
      </c>
      <c r="C1078" s="4">
        <v>200.92891985686038</v>
      </c>
      <c r="D1078" s="4">
        <v>-9.0161139100711774E-3</v>
      </c>
    </row>
    <row r="1079" spans="1:4">
      <c r="A1079" s="18">
        <v>45062</v>
      </c>
      <c r="B1079" s="8">
        <v>-9.0070677398845309E-3</v>
      </c>
      <c r="C1079" s="4">
        <v>199.1191394648078</v>
      </c>
      <c r="D1079" s="4">
        <v>-1.794197290121724E-2</v>
      </c>
    </row>
    <row r="1080" spans="1:4">
      <c r="A1080" s="18">
        <v>45063</v>
      </c>
      <c r="B1080" s="8">
        <v>-3.3735415247281605E-3</v>
      </c>
      <c r="C1080" s="4">
        <v>198.44740277945513</v>
      </c>
      <c r="D1080" s="4">
        <v>-2.1254986435327528E-2</v>
      </c>
    </row>
    <row r="1081" spans="1:4">
      <c r="A1081" s="18">
        <v>45064</v>
      </c>
      <c r="B1081" s="8">
        <v>-7.035338145746221E-3</v>
      </c>
      <c r="C1081" s="4">
        <v>197.05125819675658</v>
      </c>
      <c r="D1081" s="4">
        <v>-2.8140788564217978E-2</v>
      </c>
    </row>
    <row r="1082" spans="1:4">
      <c r="A1082" s="18">
        <v>45065</v>
      </c>
      <c r="B1082" s="8">
        <v>3.3968070933444753E-3</v>
      </c>
      <c r="C1082" s="4">
        <v>197.7206033083518</v>
      </c>
      <c r="D1082" s="4">
        <v>-2.4839570301080638E-2</v>
      </c>
    </row>
    <row r="1083" spans="1:4">
      <c r="A1083" s="18">
        <v>45068</v>
      </c>
      <c r="B1083" s="8">
        <v>1.0417409137720721E-2</v>
      </c>
      <c r="C1083" s="4">
        <v>199.78033972797186</v>
      </c>
      <c r="D1083" s="4">
        <v>-1.4680925129991418E-2</v>
      </c>
    </row>
    <row r="1084" spans="1:4">
      <c r="A1084" s="18">
        <v>45069</v>
      </c>
      <c r="B1084" s="8">
        <v>-5.9250095145148654E-4</v>
      </c>
      <c r="C1084" s="4">
        <v>199.66196968660174</v>
      </c>
      <c r="D1084" s="4">
        <v>-1.5264727619335283E-2</v>
      </c>
    </row>
    <row r="1085" spans="1:4">
      <c r="A1085" s="18">
        <v>45070</v>
      </c>
      <c r="B1085" s="8">
        <v>2.8965511602965319E-3</v>
      </c>
      <c r="C1085" s="4">
        <v>200.24030079656455</v>
      </c>
      <c r="D1085" s="4">
        <v>-1.2412391523536126E-2</v>
      </c>
    </row>
    <row r="1086" spans="1:4">
      <c r="A1086" s="18">
        <v>45071</v>
      </c>
      <c r="B1086" s="8">
        <v>2.1472723889736805E-3</v>
      </c>
      <c r="C1086" s="4">
        <v>200.67027126562482</v>
      </c>
      <c r="D1086" s="4">
        <v>-1.0291771920161952E-2</v>
      </c>
    </row>
    <row r="1087" spans="1:4">
      <c r="A1087" s="18">
        <v>45072</v>
      </c>
      <c r="B1087" s="8">
        <v>1.3693834839213799E-2</v>
      </c>
      <c r="C1087" s="4">
        <v>203.41821681747649</v>
      </c>
      <c r="D1087" s="4">
        <v>0</v>
      </c>
    </row>
    <row r="1088" spans="1:4">
      <c r="A1088" s="18">
        <v>45075</v>
      </c>
      <c r="B1088" s="8">
        <v>1.1811184682048591E-3</v>
      </c>
      <c r="C1088" s="4">
        <v>203.65847783012893</v>
      </c>
      <c r="D1088" s="4">
        <v>0</v>
      </c>
    </row>
    <row r="1089" spans="1:4">
      <c r="A1089" s="18">
        <v>45076</v>
      </c>
      <c r="B1089" s="8">
        <v>9.9274130850009017E-4</v>
      </c>
      <c r="C1089" s="4">
        <v>203.86065801389714</v>
      </c>
      <c r="D1089" s="4">
        <v>0</v>
      </c>
    </row>
    <row r="1090" spans="1:4">
      <c r="A1090" s="18">
        <v>45077</v>
      </c>
      <c r="B1090" s="8">
        <v>-3.8880629542008228E-3</v>
      </c>
      <c r="C1090" s="4">
        <v>203.0680349416543</v>
      </c>
      <c r="D1090" s="4">
        <v>-3.8880629542008549E-3</v>
      </c>
    </row>
    <row r="1091" spans="1:4">
      <c r="A1091" s="18">
        <v>45078</v>
      </c>
      <c r="B1091" s="8">
        <v>5.3355147280097453E-4</v>
      </c>
      <c r="C1091" s="4">
        <v>203.1763821907762</v>
      </c>
      <c r="D1091" s="4">
        <v>-3.3565859631154993E-3</v>
      </c>
    </row>
    <row r="1092" spans="1:4">
      <c r="A1092" s="18">
        <v>45079</v>
      </c>
      <c r="B1092" s="8">
        <v>7.1970754318871587E-3</v>
      </c>
      <c r="C1092" s="4">
        <v>204.63865793938112</v>
      </c>
      <c r="D1092" s="4">
        <v>0</v>
      </c>
    </row>
    <row r="1093" spans="1:4">
      <c r="A1093" s="18">
        <v>45082</v>
      </c>
      <c r="B1093" s="8">
        <v>6.7822876278346138E-3</v>
      </c>
      <c r="C1093" s="4">
        <v>206.02657617730003</v>
      </c>
      <c r="D1093" s="4">
        <v>0</v>
      </c>
    </row>
    <row r="1094" spans="1:4">
      <c r="A1094" s="18">
        <v>45083</v>
      </c>
      <c r="B1094" s="8">
        <v>1.8366588104410902E-3</v>
      </c>
      <c r="C1094" s="4">
        <v>206.40497670362106</v>
      </c>
      <c r="D1094" s="4">
        <v>0</v>
      </c>
    </row>
    <row r="1095" spans="1:4">
      <c r="A1095" s="18">
        <v>45084</v>
      </c>
      <c r="B1095" s="8">
        <v>6.1777138338445711E-3</v>
      </c>
      <c r="C1095" s="4">
        <v>207.68008758357738</v>
      </c>
      <c r="D1095" s="4">
        <v>0</v>
      </c>
    </row>
    <row r="1096" spans="1:4">
      <c r="A1096" s="18">
        <v>45085</v>
      </c>
      <c r="B1096" s="8">
        <v>-4.4844596012038798E-3</v>
      </c>
      <c r="C1096" s="4">
        <v>206.74875462083432</v>
      </c>
      <c r="D1096" s="4">
        <v>-4.4844596012040272E-3</v>
      </c>
    </row>
    <row r="1097" spans="1:4">
      <c r="A1097" s="18">
        <v>45086</v>
      </c>
      <c r="B1097" s="8">
        <v>-2.6748505432951926E-3</v>
      </c>
      <c r="C1097" s="4">
        <v>206.19573260221117</v>
      </c>
      <c r="D1097" s="4">
        <v>-7.1473148852985169E-3</v>
      </c>
    </row>
    <row r="1098" spans="1:4">
      <c r="A1098" s="18">
        <v>45089</v>
      </c>
      <c r="B1098" s="8">
        <v>-1.1111455108960468E-3</v>
      </c>
      <c r="C1098" s="4">
        <v>205.9666191395643</v>
      </c>
      <c r="D1098" s="4">
        <v>-8.2505186893447879E-3</v>
      </c>
    </row>
    <row r="1099" spans="1:4">
      <c r="A1099" s="18">
        <v>45090</v>
      </c>
      <c r="B1099" s="8">
        <v>5.3330021253662607E-3</v>
      </c>
      <c r="C1099" s="4">
        <v>207.06503955719012</v>
      </c>
      <c r="D1099" s="4">
        <v>-2.9615165976841773E-3</v>
      </c>
    </row>
    <row r="1100" spans="1:4">
      <c r="A1100" s="18">
        <v>45091</v>
      </c>
      <c r="B1100" s="8">
        <v>1.3727732207266211E-3</v>
      </c>
      <c r="C1100" s="4">
        <v>207.34929289844294</v>
      </c>
      <c r="D1100" s="4">
        <v>-1.5928088676354646E-3</v>
      </c>
    </row>
    <row r="1101" spans="1:4">
      <c r="A1101" s="18">
        <v>45092</v>
      </c>
      <c r="B1101" s="8">
        <v>6.7302411725840778E-4</v>
      </c>
      <c r="C1101" s="4">
        <v>207.48884397326006</v>
      </c>
      <c r="D1101" s="4">
        <v>-9.2085674915920457E-4</v>
      </c>
    </row>
    <row r="1102" spans="1:4">
      <c r="A1102" s="18">
        <v>45093</v>
      </c>
      <c r="B1102" s="8">
        <v>3.5207092128177204E-3</v>
      </c>
      <c r="C1102" s="4">
        <v>208.21935185779364</v>
      </c>
      <c r="D1102" s="4">
        <v>0</v>
      </c>
    </row>
    <row r="1103" spans="1:4">
      <c r="A1103" s="18">
        <v>45096</v>
      </c>
      <c r="B1103" s="8">
        <v>3.1933889233031184E-5</v>
      </c>
      <c r="C1103" s="4">
        <v>208.22600111151203</v>
      </c>
      <c r="D1103" s="4">
        <v>0</v>
      </c>
    </row>
    <row r="1104" spans="1:4">
      <c r="A1104" s="18">
        <v>45097</v>
      </c>
      <c r="B1104" s="8">
        <v>3.7712015324042479E-4</v>
      </c>
      <c r="C1104" s="4">
        <v>208.30452733295982</v>
      </c>
      <c r="D1104" s="4">
        <v>0</v>
      </c>
    </row>
    <row r="1105" spans="1:4">
      <c r="A1105" s="18">
        <v>45098</v>
      </c>
      <c r="B1105" s="8">
        <v>1.1262142998301069E-3</v>
      </c>
      <c r="C1105" s="4">
        <v>208.53912287036155</v>
      </c>
      <c r="D1105" s="4">
        <v>0</v>
      </c>
    </row>
    <row r="1106" spans="1:4">
      <c r="A1106" s="18">
        <v>45099</v>
      </c>
      <c r="B1106" s="8">
        <v>-1.8771947652733857E-3</v>
      </c>
      <c r="C1106" s="4">
        <v>208.14765432055461</v>
      </c>
      <c r="D1106" s="4">
        <v>-1.8771947652733711E-3</v>
      </c>
    </row>
    <row r="1107" spans="1:4">
      <c r="A1107" s="18">
        <v>45100</v>
      </c>
      <c r="B1107" s="8">
        <v>-6.8498915657778797E-3</v>
      </c>
      <c r="C1107" s="4">
        <v>206.72186545878779</v>
      </c>
      <c r="D1107" s="4">
        <v>-8.7142277504612675E-3</v>
      </c>
    </row>
    <row r="1108" spans="1:4">
      <c r="A1108" s="18">
        <v>45103</v>
      </c>
      <c r="B1108" s="8">
        <v>9.9935715269132289E-4</v>
      </c>
      <c r="C1108" s="4">
        <v>206.92845443365172</v>
      </c>
      <c r="D1108" s="4">
        <v>-7.7235792236025613E-3</v>
      </c>
    </row>
    <row r="1109" spans="1:4">
      <c r="A1109" s="18">
        <v>45104</v>
      </c>
      <c r="B1109" s="8">
        <v>3.4999131454225389E-3</v>
      </c>
      <c r="C1109" s="4">
        <v>207.65268605148603</v>
      </c>
      <c r="D1109" s="4">
        <v>-4.2506979346343954E-3</v>
      </c>
    </row>
    <row r="1110" spans="1:4">
      <c r="A1110" s="18">
        <v>45105</v>
      </c>
      <c r="B1110" s="8">
        <v>1.2110675198042223E-2</v>
      </c>
      <c r="C1110" s="4">
        <v>210.1675002862566</v>
      </c>
      <c r="D1110" s="4">
        <v>0</v>
      </c>
    </row>
    <row r="1111" spans="1:4">
      <c r="A1111" s="18">
        <v>45107</v>
      </c>
      <c r="B1111" s="8">
        <v>2.1574566703189631E-2</v>
      </c>
      <c r="C1111" s="4">
        <v>214.70177304002507</v>
      </c>
      <c r="D1111" s="4">
        <v>0</v>
      </c>
    </row>
    <row r="1112" spans="1:4">
      <c r="A1112" s="18">
        <v>45110</v>
      </c>
      <c r="B1112" s="8">
        <v>-1.4079743387023689E-3</v>
      </c>
      <c r="C1112" s="4">
        <v>214.39947845311082</v>
      </c>
      <c r="D1112" s="4">
        <v>-1.4079743387024335E-3</v>
      </c>
    </row>
    <row r="1113" spans="1:4">
      <c r="A1113" s="18">
        <v>45111</v>
      </c>
      <c r="B1113" s="8">
        <v>3.7831383528865105E-3</v>
      </c>
      <c r="C1113" s="4">
        <v>215.21058134288566</v>
      </c>
      <c r="D1113" s="4">
        <v>0</v>
      </c>
    </row>
    <row r="1114" spans="1:4">
      <c r="A1114" s="18">
        <v>45112</v>
      </c>
      <c r="B1114" s="8">
        <v>6.5037639613662133E-3</v>
      </c>
      <c r="C1114" s="4">
        <v>216.61026016592822</v>
      </c>
      <c r="D1114" s="4">
        <v>0</v>
      </c>
    </row>
    <row r="1115" spans="1:4">
      <c r="A1115" s="18">
        <v>45113</v>
      </c>
      <c r="B1115" s="8">
        <v>9.1571423807094402E-4</v>
      </c>
      <c r="C1115" s="4">
        <v>216.8086132652744</v>
      </c>
      <c r="D1115" s="4">
        <v>0</v>
      </c>
    </row>
    <row r="1116" spans="1:4">
      <c r="A1116" s="18">
        <v>45114</v>
      </c>
      <c r="B1116" s="8">
        <v>-6.834039189756648E-3</v>
      </c>
      <c r="C1116" s="4">
        <v>215.32693470554273</v>
      </c>
      <c r="D1116" s="4">
        <v>-6.8340391897566688E-3</v>
      </c>
    </row>
    <row r="1117" spans="1:4">
      <c r="A1117" s="18">
        <v>45117</v>
      </c>
      <c r="B1117" s="8">
        <v>9.4574016912055375E-4</v>
      </c>
      <c r="C1117" s="4">
        <v>215.53057803718738</v>
      </c>
      <c r="D1117" s="4">
        <v>-5.8947622460150395E-3</v>
      </c>
    </row>
    <row r="1118" spans="1:4">
      <c r="A1118" s="18">
        <v>45118</v>
      </c>
      <c r="B1118" s="8">
        <v>1.3678319553312052E-2</v>
      </c>
      <c r="C1118" s="4">
        <v>218.4786741570901</v>
      </c>
      <c r="D1118" s="4">
        <v>0</v>
      </c>
    </row>
    <row r="1119" spans="1:4">
      <c r="A1119" s="18">
        <v>45119</v>
      </c>
      <c r="B1119" s="8">
        <v>-3.9148174855005002E-3</v>
      </c>
      <c r="C1119" s="4">
        <v>217.62337002329096</v>
      </c>
      <c r="D1119" s="4">
        <v>-3.914817485500488E-3</v>
      </c>
    </row>
    <row r="1120" spans="1:4">
      <c r="A1120" s="18">
        <v>45120</v>
      </c>
      <c r="B1120" s="8">
        <v>-1.1648025921185967E-3</v>
      </c>
      <c r="C1120" s="4">
        <v>217.36988175778225</v>
      </c>
      <c r="D1120" s="4">
        <v>-5.0750600880642427E-3</v>
      </c>
    </row>
    <row r="1121" spans="1:4">
      <c r="A1121" s="18">
        <v>45121</v>
      </c>
      <c r="B1121" s="8">
        <v>9.0754859829293467E-3</v>
      </c>
      <c r="C1121" s="4">
        <v>219.34261907278602</v>
      </c>
      <c r="D1121" s="4">
        <v>0</v>
      </c>
    </row>
    <row r="1122" spans="1:4">
      <c r="A1122" s="18">
        <v>45124</v>
      </c>
      <c r="B1122" s="8">
        <v>5.423515244099673E-3</v>
      </c>
      <c r="C1122" s="4">
        <v>220.53222711100801</v>
      </c>
      <c r="D1122" s="4">
        <v>0</v>
      </c>
    </row>
    <row r="1123" spans="1:4">
      <c r="A1123" s="18">
        <v>45125</v>
      </c>
      <c r="B1123" s="8">
        <v>2.8170248332825445E-3</v>
      </c>
      <c r="C1123" s="4">
        <v>221.15347187131886</v>
      </c>
      <c r="D1123" s="4">
        <v>0</v>
      </c>
    </row>
    <row r="1124" spans="1:4">
      <c r="A1124" s="18">
        <v>45126</v>
      </c>
      <c r="B1124" s="8">
        <v>4.1954385459154024E-3</v>
      </c>
      <c r="C1124" s="4">
        <v>222.08130767177079</v>
      </c>
      <c r="D1124" s="4">
        <v>0</v>
      </c>
    </row>
    <row r="1125" spans="1:4">
      <c r="A1125" s="18">
        <v>45127</v>
      </c>
      <c r="B1125" s="8">
        <v>6.1133554009510493E-3</v>
      </c>
      <c r="C1125" s="4">
        <v>223.43896963347629</v>
      </c>
      <c r="D1125" s="4">
        <v>0</v>
      </c>
    </row>
    <row r="1126" spans="1:4">
      <c r="A1126" s="18">
        <v>45128</v>
      </c>
      <c r="B1126" s="8">
        <v>-6.5820242028238824E-3</v>
      </c>
      <c r="C1126" s="4">
        <v>221.96828892749474</v>
      </c>
      <c r="D1126" s="4">
        <v>-6.5820242028238329E-3</v>
      </c>
    </row>
    <row r="1127" spans="1:4">
      <c r="A1127" s="18">
        <v>45131</v>
      </c>
      <c r="B1127" s="8">
        <v>-4.3077389575596836E-3</v>
      </c>
      <c r="C1127" s="4">
        <v>221.01210748193893</v>
      </c>
      <c r="D1127" s="4">
        <v>-1.0861409518305276E-2</v>
      </c>
    </row>
    <row r="1128" spans="1:4">
      <c r="A1128" s="18">
        <v>45132</v>
      </c>
      <c r="B1128" s="8">
        <v>-3.7009719541905867E-3</v>
      </c>
      <c r="C1128" s="4">
        <v>220.19414787061172</v>
      </c>
      <c r="D1128" s="4">
        <v>-1.4522183700485636E-2</v>
      </c>
    </row>
    <row r="1129" spans="1:4">
      <c r="A1129" s="18">
        <v>45133</v>
      </c>
      <c r="B1129" s="8">
        <v>1.3088914008805274E-2</v>
      </c>
      <c r="C1129" s="4">
        <v>223.07625013733232</v>
      </c>
      <c r="D1129" s="4">
        <v>-1.6233493053560144E-3</v>
      </c>
    </row>
    <row r="1130" spans="1:4">
      <c r="A1130" s="18">
        <v>45134</v>
      </c>
      <c r="B1130" s="8">
        <v>1.3585785186566077E-3</v>
      </c>
      <c r="C1130" s="4">
        <v>223.37931673879135</v>
      </c>
      <c r="D1130" s="4">
        <v>-2.6697623419402738E-4</v>
      </c>
    </row>
    <row r="1131" spans="1:4">
      <c r="A1131" s="18">
        <v>45135</v>
      </c>
      <c r="B1131" s="8">
        <v>-2.7268511075805185E-3</v>
      </c>
      <c r="C1131" s="4">
        <v>222.77019460153159</v>
      </c>
      <c r="D1131" s="4">
        <v>-2.9930993373347148E-3</v>
      </c>
    </row>
    <row r="1132" spans="1:4">
      <c r="A1132" s="18">
        <v>45138</v>
      </c>
      <c r="B1132" s="8">
        <v>9.6551030805760857E-3</v>
      </c>
      <c r="C1132" s="4">
        <v>224.92106379368937</v>
      </c>
      <c r="D1132" s="4">
        <v>0</v>
      </c>
    </row>
    <row r="1133" spans="1:4">
      <c r="A1133" s="18">
        <v>45139</v>
      </c>
      <c r="B1133" s="8">
        <v>-3.2177268034558346E-3</v>
      </c>
      <c r="C1133" s="4">
        <v>224.1973292580586</v>
      </c>
      <c r="D1133" s="4">
        <v>-3.2177268034558892E-3</v>
      </c>
    </row>
    <row r="1134" spans="1:4">
      <c r="A1134" s="18">
        <v>45140</v>
      </c>
      <c r="B1134" s="8">
        <v>-7.4096752582842353E-3</v>
      </c>
      <c r="C1134" s="4">
        <v>222.53609985448176</v>
      </c>
      <c r="D1134" s="4">
        <v>-1.0603559751056646E-2</v>
      </c>
    </row>
    <row r="1135" spans="1:4">
      <c r="A1135" s="18">
        <v>45141</v>
      </c>
      <c r="B1135" s="8">
        <v>-3.8344663021279697E-3</v>
      </c>
      <c r="C1135" s="4">
        <v>221.68279267858279</v>
      </c>
      <c r="D1135" s="4">
        <v>-1.4397367060636546E-2</v>
      </c>
    </row>
    <row r="1136" spans="1:4">
      <c r="A1136" s="18">
        <v>45142</v>
      </c>
      <c r="B1136" s="8">
        <v>5.0240646025167968E-3</v>
      </c>
      <c r="C1136" s="4">
        <v>222.79654135026632</v>
      </c>
      <c r="D1136" s="4">
        <v>-9.4456357603385221E-3</v>
      </c>
    </row>
    <row r="1137" spans="1:4">
      <c r="A1137" s="18">
        <v>45145</v>
      </c>
      <c r="B1137" s="8">
        <v>7.2709601362990076E-3</v>
      </c>
      <c r="C1137" s="4">
        <v>224.41648612092942</v>
      </c>
      <c r="D1137" s="4">
        <v>-2.2433544651148107E-3</v>
      </c>
    </row>
    <row r="1138" spans="1:4">
      <c r="A1138" s="18">
        <v>45146</v>
      </c>
      <c r="B1138" s="8">
        <v>-3.2768807678947086E-3</v>
      </c>
      <c r="C1138" s="4">
        <v>223.68110005356124</v>
      </c>
      <c r="D1138" s="4">
        <v>-5.5128840279071722E-3</v>
      </c>
    </row>
    <row r="1139" spans="1:4">
      <c r="A1139" s="18">
        <v>45147</v>
      </c>
      <c r="B1139" s="8">
        <v>2.4578982887624957E-3</v>
      </c>
      <c r="C1139" s="4">
        <v>224.23088544661138</v>
      </c>
      <c r="D1139" s="4">
        <v>-3.0685358473631075E-3</v>
      </c>
    </row>
    <row r="1140" spans="1:4">
      <c r="A1140" s="18">
        <v>45148</v>
      </c>
      <c r="B1140" s="8">
        <v>-4.4639099097430442E-3</v>
      </c>
      <c r="C1140" s="4">
        <v>223.2299389749958</v>
      </c>
      <c r="D1140" s="4">
        <v>-7.5187480895286818E-3</v>
      </c>
    </row>
    <row r="1141" spans="1:4">
      <c r="A1141" s="18">
        <v>45149</v>
      </c>
      <c r="B1141" s="8">
        <v>-5.243600152721262E-3</v>
      </c>
      <c r="C1141" s="4">
        <v>222.05941043289454</v>
      </c>
      <c r="D1141" s="4">
        <v>-1.272292293361954E-2</v>
      </c>
    </row>
    <row r="1142" spans="1:4">
      <c r="A1142" s="18">
        <v>45152</v>
      </c>
      <c r="B1142" s="8">
        <v>3.7124370359873722E-3</v>
      </c>
      <c r="C1142" s="4">
        <v>222.88379201237512</v>
      </c>
      <c r="D1142" s="4">
        <v>-9.0577189479369435E-3</v>
      </c>
    </row>
    <row r="1143" spans="1:4">
      <c r="A1143" s="18">
        <v>45154</v>
      </c>
      <c r="B1143" s="8">
        <v>7.2076114277917144E-3</v>
      </c>
      <c r="C1143" s="4">
        <v>224.49025177875308</v>
      </c>
      <c r="D1143" s="4">
        <v>-1.9153920387441348E-3</v>
      </c>
    </row>
    <row r="1144" spans="1:4">
      <c r="A1144" s="18">
        <v>45155</v>
      </c>
      <c r="B1144" s="8">
        <v>-8.5400731349767958E-3</v>
      </c>
      <c r="C1144" s="4">
        <v>222.57308861047315</v>
      </c>
      <c r="D1144" s="4">
        <v>-1.0439107585628049E-2</v>
      </c>
    </row>
    <row r="1145" spans="1:4">
      <c r="A1145" s="18">
        <v>45156</v>
      </c>
      <c r="B1145" s="8">
        <v>-2.7712031151473793E-3</v>
      </c>
      <c r="C1145" s="4">
        <v>221.95629337396784</v>
      </c>
      <c r="D1145" s="4">
        <v>-1.3181381813314741E-2</v>
      </c>
    </row>
    <row r="1146" spans="1:4">
      <c r="A1146" s="18">
        <v>45159</v>
      </c>
      <c r="B1146" s="8">
        <v>3.1219322606711028E-3</v>
      </c>
      <c r="C1146" s="4">
        <v>222.64922588671098</v>
      </c>
      <c r="D1146" s="4">
        <v>-1.0100600933766968E-2</v>
      </c>
    </row>
    <row r="1147" spans="1:4">
      <c r="A1147" s="18">
        <v>45160</v>
      </c>
      <c r="B1147" s="8">
        <v>2.5914252230387824E-3</v>
      </c>
      <c r="C1147" s="4">
        <v>223.22620470656386</v>
      </c>
      <c r="D1147" s="4">
        <v>-7.5353506627557909E-3</v>
      </c>
    </row>
    <row r="1148" spans="1:4">
      <c r="A1148" s="18">
        <v>45161</v>
      </c>
      <c r="B1148" s="8">
        <v>3.5479499571767119E-3</v>
      </c>
      <c r="C1148" s="4">
        <v>224.01820010999322</v>
      </c>
      <c r="D1148" s="4">
        <v>-4.0141357526404242E-3</v>
      </c>
    </row>
    <row r="1149" spans="1:4">
      <c r="A1149" s="18">
        <v>45162</v>
      </c>
      <c r="B1149" s="8">
        <v>-5.1393235988442237E-3</v>
      </c>
      <c r="C1149" s="4">
        <v>222.86689808759732</v>
      </c>
      <c r="D1149" s="4">
        <v>-9.1328294088820483E-3</v>
      </c>
    </row>
    <row r="1150" spans="1:4">
      <c r="A1150" s="18">
        <v>45163</v>
      </c>
      <c r="B1150" s="8">
        <v>-9.8484770316349824E-3</v>
      </c>
      <c r="C1150" s="4">
        <v>220.67199856066989</v>
      </c>
      <c r="D1150" s="4">
        <v>-1.8891361979849863E-2</v>
      </c>
    </row>
    <row r="1151" spans="1:4">
      <c r="A1151" s="18">
        <v>45166</v>
      </c>
      <c r="B1151" s="8">
        <v>6.3170643560174948E-3</v>
      </c>
      <c r="C1151" s="4">
        <v>222.06599777714865</v>
      </c>
      <c r="D1151" s="4">
        <v>-1.2693635573231776E-2</v>
      </c>
    </row>
    <row r="1152" spans="1:4">
      <c r="A1152" s="18">
        <v>45167</v>
      </c>
      <c r="B1152" s="8">
        <v>7.3260079718747914E-4</v>
      </c>
      <c r="C1152" s="4">
        <v>222.22868350414842</v>
      </c>
      <c r="D1152" s="4">
        <v>-1.1970334143584505E-2</v>
      </c>
    </row>
    <row r="1153" spans="1:4">
      <c r="A1153" s="18">
        <v>45168</v>
      </c>
      <c r="B1153" s="8">
        <v>4.5471203699918401E-3</v>
      </c>
      <c r="C1153" s="4">
        <v>223.2391840777066</v>
      </c>
      <c r="D1153" s="4">
        <v>-7.4776443238125934E-3</v>
      </c>
    </row>
    <row r="1154" spans="1:4">
      <c r="A1154" s="18">
        <v>45169</v>
      </c>
      <c r="B1154" s="8">
        <v>8.3611608845503586E-4</v>
      </c>
      <c r="C1154" s="4">
        <v>223.42583795108757</v>
      </c>
      <c r="D1154" s="4">
        <v>-6.6477804140803176E-3</v>
      </c>
    </row>
    <row r="1155" spans="1:4">
      <c r="A1155" s="18">
        <v>45170</v>
      </c>
      <c r="B1155" s="8">
        <v>7.7568510358905184E-3</v>
      </c>
      <c r="C1155" s="4">
        <v>225.15891889364318</v>
      </c>
      <c r="D1155" s="4">
        <v>0</v>
      </c>
    </row>
    <row r="1156" spans="1:4">
      <c r="A1156" s="18">
        <v>45173</v>
      </c>
      <c r="B1156" s="8">
        <v>3.186522567422051E-3</v>
      </c>
      <c r="C1156" s="4">
        <v>225.87639286995415</v>
      </c>
      <c r="D1156" s="4">
        <v>0</v>
      </c>
    </row>
    <row r="1157" spans="1:4">
      <c r="A1157" s="18">
        <v>45174</v>
      </c>
      <c r="B1157" s="8">
        <v>5.2110166982700153E-3</v>
      </c>
      <c r="C1157" s="4">
        <v>227.05343852494445</v>
      </c>
      <c r="D1157" s="4">
        <v>0</v>
      </c>
    </row>
    <row r="1158" spans="1:4">
      <c r="A1158" s="18">
        <v>45175</v>
      </c>
      <c r="B1158" s="8">
        <v>1.6256135127277378E-3</v>
      </c>
      <c r="C1158" s="4">
        <v>227.4225396627219</v>
      </c>
      <c r="D1158" s="4">
        <v>0</v>
      </c>
    </row>
    <row r="1159" spans="1:4">
      <c r="A1159" s="18">
        <v>45176</v>
      </c>
      <c r="B1159" s="8">
        <v>9.6852533073586607E-3</v>
      </c>
      <c r="C1159" s="4">
        <v>229.62518456715816</v>
      </c>
      <c r="D1159" s="4">
        <v>0</v>
      </c>
    </row>
    <row r="1160" spans="1:4">
      <c r="A1160" s="18">
        <v>45177</v>
      </c>
      <c r="B1160" s="8">
        <v>5.117845821396013E-3</v>
      </c>
      <c r="C1160" s="4">
        <v>230.80037085848249</v>
      </c>
      <c r="D1160" s="4">
        <v>0</v>
      </c>
    </row>
    <row r="1161" spans="1:4">
      <c r="A1161" s="18">
        <v>45180</v>
      </c>
      <c r="B1161" s="8">
        <v>8.1579298009489664E-3</v>
      </c>
      <c r="C1161" s="4">
        <v>232.68322408197895</v>
      </c>
      <c r="D1161" s="4">
        <v>0</v>
      </c>
    </row>
    <row r="1162" spans="1:4">
      <c r="A1162" s="18">
        <v>45181</v>
      </c>
      <c r="B1162" s="8">
        <v>7.0183513962440401E-3</v>
      </c>
      <c r="C1162" s="4">
        <v>234.31627671259727</v>
      </c>
      <c r="D1162" s="4">
        <v>0</v>
      </c>
    </row>
    <row r="1163" spans="1:4">
      <c r="A1163" s="18">
        <v>45182</v>
      </c>
      <c r="B1163" s="8">
        <v>-1.6804744571073372E-3</v>
      </c>
      <c r="C1163" s="4">
        <v>233.92251419469727</v>
      </c>
      <c r="D1163" s="4">
        <v>-1.6804744571072838E-3</v>
      </c>
    </row>
    <row r="1164" spans="1:4">
      <c r="A1164" s="18">
        <v>45183</v>
      </c>
      <c r="B1164" s="8">
        <v>1.4073228126277259E-4</v>
      </c>
      <c r="C1164" s="4">
        <v>233.95543464375862</v>
      </c>
      <c r="D1164" s="4">
        <v>-1.5399786728483855E-3</v>
      </c>
    </row>
    <row r="1165" spans="1:4">
      <c r="A1165" s="18">
        <v>45184</v>
      </c>
      <c r="B1165" s="8">
        <v>2.793604428731561E-3</v>
      </c>
      <c r="C1165" s="4">
        <v>234.60901358210523</v>
      </c>
      <c r="D1165" s="4">
        <v>0</v>
      </c>
    </row>
    <row r="1166" spans="1:4">
      <c r="A1166" s="18">
        <v>45187</v>
      </c>
      <c r="B1166" s="8">
        <v>-2.3727501744597369E-3</v>
      </c>
      <c r="C1166" s="4">
        <v>234.05234500419849</v>
      </c>
      <c r="D1166" s="4">
        <v>-2.3727501744597035E-3</v>
      </c>
    </row>
    <row r="1167" spans="1:4">
      <c r="A1167" s="18">
        <v>45189</v>
      </c>
      <c r="B1167" s="8">
        <v>-1.0275444987429369E-2</v>
      </c>
      <c r="C1167" s="4">
        <v>231.647353008929</v>
      </c>
      <c r="D1167" s="4">
        <v>-1.2623814098002506E-2</v>
      </c>
    </row>
    <row r="1168" spans="1:4">
      <c r="A1168" s="18">
        <v>45190</v>
      </c>
      <c r="B1168" s="8">
        <v>-3.7278760174627155E-3</v>
      </c>
      <c r="C1168" s="4">
        <v>230.78380039713829</v>
      </c>
      <c r="D1168" s="4">
        <v>-1.6304630101640294E-2</v>
      </c>
    </row>
    <row r="1169" spans="1:4">
      <c r="A1169" s="18">
        <v>45191</v>
      </c>
      <c r="B1169" s="8">
        <v>1.8746698839485459E-3</v>
      </c>
      <c r="C1169" s="4">
        <v>231.21644383744598</v>
      </c>
      <c r="D1169" s="4">
        <v>-1.4460526016712327E-2</v>
      </c>
    </row>
    <row r="1170" spans="1:4">
      <c r="A1170" s="18">
        <v>45194</v>
      </c>
      <c r="B1170" s="8">
        <v>-3.9111881704876287E-3</v>
      </c>
      <c r="C1170" s="4">
        <v>230.31211281748674</v>
      </c>
      <c r="D1170" s="4">
        <v>-1.831515634890446E-2</v>
      </c>
    </row>
    <row r="1171" spans="1:4">
      <c r="A1171" s="18">
        <v>45195</v>
      </c>
      <c r="B1171" s="8">
        <v>1.8451374246449524E-4</v>
      </c>
      <c r="C1171" s="4">
        <v>230.35460856735762</v>
      </c>
      <c r="D1171" s="4">
        <v>-1.8134022004481554E-2</v>
      </c>
    </row>
    <row r="1172" spans="1:4">
      <c r="A1172" s="18">
        <v>45196</v>
      </c>
      <c r="B1172" s="8">
        <v>1.0360793931994778E-2</v>
      </c>
      <c r="C1172" s="4">
        <v>232.74126519800933</v>
      </c>
      <c r="D1172" s="4">
        <v>-7.9611109376335198E-3</v>
      </c>
    </row>
    <row r="1173" spans="1:4">
      <c r="A1173" s="18">
        <v>45197</v>
      </c>
      <c r="B1173" s="8">
        <v>-6.590315628287529E-3</v>
      </c>
      <c r="C1173" s="4">
        <v>231.20742680062747</v>
      </c>
      <c r="D1173" s="4">
        <v>-1.4498960332090194E-2</v>
      </c>
    </row>
    <row r="1174" spans="1:4">
      <c r="A1174" s="18">
        <v>45198</v>
      </c>
      <c r="B1174" s="8">
        <v>6.2042064031890944E-3</v>
      </c>
      <c r="C1174" s="4">
        <v>232.64188539844881</v>
      </c>
      <c r="D1174" s="4">
        <v>-8.3847084714330222E-3</v>
      </c>
    </row>
    <row r="1175" spans="1:4">
      <c r="A1175" s="18">
        <v>45202</v>
      </c>
      <c r="B1175" s="8">
        <v>-7.5070514023842256E-3</v>
      </c>
      <c r="C1175" s="4">
        <v>230.89543080641505</v>
      </c>
      <c r="D1175" s="4">
        <v>-1.5828815436328303E-2</v>
      </c>
    </row>
    <row r="1176" spans="1:4">
      <c r="A1176" s="18">
        <v>45203</v>
      </c>
      <c r="B1176" s="8">
        <v>-7.9695390231514368E-3</v>
      </c>
      <c r="C1176" s="4">
        <v>229.05530066033597</v>
      </c>
      <c r="D1176" s="4">
        <v>-2.3672206097169579E-2</v>
      </c>
    </row>
    <row r="1177" spans="1:4">
      <c r="A1177" s="18">
        <v>45204</v>
      </c>
      <c r="B1177" s="8">
        <v>8.0449825999224962E-3</v>
      </c>
      <c r="C1177" s="4">
        <v>230.89804656856839</v>
      </c>
      <c r="D1177" s="4">
        <v>-1.5817665983400619E-2</v>
      </c>
    </row>
    <row r="1178" spans="1:4">
      <c r="A1178" s="18">
        <v>45205</v>
      </c>
      <c r="B1178" s="8">
        <v>5.6724992440686491E-3</v>
      </c>
      <c r="C1178" s="4">
        <v>232.20781556318553</v>
      </c>
      <c r="D1178" s="4">
        <v>-1.0234892437665732E-2</v>
      </c>
    </row>
    <row r="1179" spans="1:4">
      <c r="A1179" s="18">
        <v>45208</v>
      </c>
      <c r="B1179" s="8">
        <v>-4.9034314081501653E-3</v>
      </c>
      <c r="C1179" s="4">
        <v>231.06920046713506</v>
      </c>
      <c r="D1179" s="4">
        <v>-1.5088137752778064E-2</v>
      </c>
    </row>
    <row r="1180" spans="1:4">
      <c r="A1180" s="18">
        <v>45209</v>
      </c>
      <c r="B1180" s="8">
        <v>5.6555107053577634E-3</v>
      </c>
      <c r="C1180" s="4">
        <v>232.37601480405539</v>
      </c>
      <c r="D1180" s="4">
        <v>-9.5179581720050699E-3</v>
      </c>
    </row>
    <row r="1181" spans="1:4">
      <c r="A1181" s="18">
        <v>45210</v>
      </c>
      <c r="B1181" s="8">
        <v>4.7722288653495567E-3</v>
      </c>
      <c r="C1181" s="4">
        <v>233.48496632951819</v>
      </c>
      <c r="D1181" s="4">
        <v>-4.7911511813831797E-3</v>
      </c>
    </row>
    <row r="1182" spans="1:4">
      <c r="A1182" s="18">
        <v>45211</v>
      </c>
      <c r="B1182" s="8">
        <v>8.3971405758443687E-4</v>
      </c>
      <c r="C1182" s="4">
        <v>233.68102693797971</v>
      </c>
      <c r="D1182" s="4">
        <v>-3.9554603207977435E-3</v>
      </c>
    </row>
    <row r="1183" spans="1:4">
      <c r="A1183" s="18">
        <v>45212</v>
      </c>
      <c r="B1183" s="8">
        <v>2.7802709183201869E-3</v>
      </c>
      <c r="C1183" s="4">
        <v>234.33072350133858</v>
      </c>
      <c r="D1183" s="4">
        <v>-1.1861866537760113E-3</v>
      </c>
    </row>
    <row r="1184" spans="1:4">
      <c r="A1184" s="18">
        <v>45215</v>
      </c>
      <c r="B1184" s="8">
        <v>-2.3941142719162683E-3</v>
      </c>
      <c r="C1184" s="4">
        <v>233.76970897185555</v>
      </c>
      <c r="D1184" s="4">
        <v>-3.5774610592953504E-3</v>
      </c>
    </row>
    <row r="1185" spans="1:4">
      <c r="A1185" s="18">
        <v>45216</v>
      </c>
      <c r="B1185" s="8">
        <v>8.5682002499781838E-4</v>
      </c>
      <c r="C1185" s="4">
        <v>233.97000753974055</v>
      </c>
      <c r="D1185" s="4">
        <v>-2.7237062745718577E-3</v>
      </c>
    </row>
    <row r="1186" spans="1:4">
      <c r="A1186" s="18">
        <v>45217</v>
      </c>
      <c r="B1186" s="8">
        <v>-2.1078085555425855E-3</v>
      </c>
      <c r="C1186" s="4">
        <v>233.47684355610792</v>
      </c>
      <c r="D1186" s="4">
        <v>-4.8257737787260613E-3</v>
      </c>
    </row>
    <row r="1187" spans="1:4">
      <c r="A1187" s="18">
        <v>45218</v>
      </c>
      <c r="B1187" s="8">
        <v>-3.7097859150534282E-3</v>
      </c>
      <c r="C1187" s="4">
        <v>232.61069445039234</v>
      </c>
      <c r="D1187" s="4">
        <v>-8.5176571061859052E-3</v>
      </c>
    </row>
    <row r="1188" spans="1:4">
      <c r="A1188" s="18">
        <v>45219</v>
      </c>
      <c r="B1188" s="8">
        <v>-5.0906097238551037E-3</v>
      </c>
      <c r="C1188" s="4">
        <v>231.42656418735049</v>
      </c>
      <c r="D1188" s="4">
        <v>-1.3564906761951767E-2</v>
      </c>
    </row>
    <row r="1189" spans="1:4">
      <c r="A1189" s="18">
        <v>45222</v>
      </c>
      <c r="B1189" s="8">
        <v>-1.5747584530686896E-2</v>
      </c>
      <c r="C1189" s="4">
        <v>227.78215480516374</v>
      </c>
      <c r="D1189" s="4">
        <v>-2.9098876776754046E-2</v>
      </c>
    </row>
    <row r="1190" spans="1:4">
      <c r="A1190" s="18">
        <v>45224</v>
      </c>
      <c r="B1190" s="8">
        <v>-5.603520105670317E-3</v>
      </c>
      <c r="C1190" s="4">
        <v>226.5057729210001</v>
      </c>
      <c r="D1190" s="4">
        <v>-3.4539340741353342E-2</v>
      </c>
    </row>
    <row r="1191" spans="1:4">
      <c r="A1191" s="18">
        <v>45225</v>
      </c>
      <c r="B1191" s="8">
        <v>-1.3873309663262966E-2</v>
      </c>
      <c r="C1191" s="4">
        <v>223.36338819275034</v>
      </c>
      <c r="D1191" s="4">
        <v>-4.7933475434946637E-2</v>
      </c>
    </row>
    <row r="1192" spans="1:4">
      <c r="A1192" s="18">
        <v>45226</v>
      </c>
      <c r="B1192" s="8">
        <v>1.0249475947807219E-2</v>
      </c>
      <c r="C1192" s="4">
        <v>225.65274586765264</v>
      </c>
      <c r="D1192" s="4">
        <v>-3.8175292490704726E-2</v>
      </c>
    </row>
    <row r="1193" spans="1:4">
      <c r="A1193" s="18">
        <v>45229</v>
      </c>
      <c r="B1193" s="8">
        <v>2.5036560968963069E-3</v>
      </c>
      <c r="C1193" s="4">
        <v>226.21770274062558</v>
      </c>
      <c r="D1193" s="4">
        <v>-3.5767214197603647E-2</v>
      </c>
    </row>
    <row r="1194" spans="1:4">
      <c r="A1194" s="18">
        <v>45230</v>
      </c>
      <c r="B1194" s="8">
        <v>-6.4857213860669265E-3</v>
      </c>
      <c r="C1194" s="4">
        <v>224.75051774805377</v>
      </c>
      <c r="D1194" s="4">
        <v>-4.2020959397629176E-2</v>
      </c>
    </row>
    <row r="1195" spans="1:4">
      <c r="A1195" s="18">
        <v>45231</v>
      </c>
      <c r="B1195" s="8">
        <v>-3.0310814750993099E-3</v>
      </c>
      <c r="C1195" s="4">
        <v>224.06928061718867</v>
      </c>
      <c r="D1195" s="4">
        <v>-4.4924671921132364E-2</v>
      </c>
    </row>
    <row r="1196" spans="1:4">
      <c r="A1196" s="18">
        <v>45232</v>
      </c>
      <c r="B1196" s="8">
        <v>8.9940602077002354E-3</v>
      </c>
      <c r="C1196" s="4">
        <v>226.08457321775577</v>
      </c>
      <c r="D1196" s="4">
        <v>-3.6334666917501868E-2</v>
      </c>
    </row>
    <row r="1197" spans="1:4">
      <c r="A1197" s="18">
        <v>45233</v>
      </c>
      <c r="B1197" s="8">
        <v>1.7812868866130818E-3</v>
      </c>
      <c r="C1197" s="4">
        <v>226.48729470329411</v>
      </c>
      <c r="D1197" s="4">
        <v>-3.4618102496598246E-2</v>
      </c>
    </row>
    <row r="1198" spans="1:4">
      <c r="A1198" s="18">
        <v>45236</v>
      </c>
      <c r="B1198" s="8">
        <v>9.322699469142836E-3</v>
      </c>
      <c r="C1198" s="4">
        <v>228.59876768539212</v>
      </c>
      <c r="D1198" s="4">
        <v>-2.5618137193223145E-2</v>
      </c>
    </row>
    <row r="1199" spans="1:4">
      <c r="A1199" s="18">
        <v>45237</v>
      </c>
      <c r="B1199" s="8">
        <v>-6.7323714412865349E-4</v>
      </c>
      <c r="C1199" s="4">
        <v>228.44486650388427</v>
      </c>
      <c r="D1199" s="4">
        <v>-2.6274127255829893E-2</v>
      </c>
    </row>
    <row r="1200" spans="1:4">
      <c r="A1200" s="18">
        <v>45238</v>
      </c>
      <c r="B1200" s="8">
        <v>5.5707908005176868E-3</v>
      </c>
      <c r="C1200" s="4">
        <v>229.71748506462959</v>
      </c>
      <c r="D1200" s="4">
        <v>-2.0849704121720714E-2</v>
      </c>
    </row>
    <row r="1201" spans="1:4">
      <c r="A1201" s="18">
        <v>45239</v>
      </c>
      <c r="B1201" s="8">
        <v>-7.6228863999031602E-4</v>
      </c>
      <c r="C1201" s="4">
        <v>229.54237403535768</v>
      </c>
      <c r="D1201" s="4">
        <v>-2.1596099269111879E-2</v>
      </c>
    </row>
    <row r="1202" spans="1:4">
      <c r="A1202" s="18">
        <v>45240</v>
      </c>
      <c r="B1202" s="8">
        <v>9.4494248113436644E-4</v>
      </c>
      <c r="C1202" s="4">
        <v>229.75927837580412</v>
      </c>
      <c r="D1202" s="4">
        <v>-2.067156385960367E-2</v>
      </c>
    </row>
    <row r="1203" spans="1:4">
      <c r="A1203" s="18">
        <v>45243</v>
      </c>
      <c r="B1203" s="8">
        <v>9.5761039330283151E-4</v>
      </c>
      <c r="C1203" s="4">
        <v>229.97929824873455</v>
      </c>
      <c r="D1203" s="4">
        <v>-1.9733748770698667E-2</v>
      </c>
    </row>
    <row r="1204" spans="1:4">
      <c r="A1204" s="18">
        <v>45245</v>
      </c>
      <c r="B1204" s="8">
        <v>1.095761510211048E-2</v>
      </c>
      <c r="C1204" s="4">
        <v>232.49932288039764</v>
      </c>
      <c r="D1204" s="4">
        <v>-8.9923684921392466E-3</v>
      </c>
    </row>
    <row r="1205" spans="1:4">
      <c r="A1205" s="18">
        <v>45246</v>
      </c>
      <c r="B1205" s="8">
        <v>5.0278226528337458E-3</v>
      </c>
      <c r="C1205" s="4">
        <v>233.66828824274421</v>
      </c>
      <c r="D1205" s="4">
        <v>-4.0097578733129247E-3</v>
      </c>
    </row>
    <row r="1206" spans="1:4">
      <c r="A1206" s="18">
        <v>45247</v>
      </c>
      <c r="B1206" s="8">
        <v>4.4552930286060333E-3</v>
      </c>
      <c r="C1206" s="4">
        <v>234.70934893835837</v>
      </c>
      <c r="D1206" s="4">
        <v>0</v>
      </c>
    </row>
    <row r="1207" spans="1:4">
      <c r="A1207" s="18">
        <v>45250</v>
      </c>
      <c r="B1207" s="8">
        <v>-1.743787107169207E-3</v>
      </c>
      <c r="C1207" s="4">
        <v>234.30006580174759</v>
      </c>
      <c r="D1207" s="4">
        <v>-1.7437871071691591E-3</v>
      </c>
    </row>
    <row r="1208" spans="1:4">
      <c r="A1208" s="18">
        <v>45251</v>
      </c>
      <c r="B1208" s="8">
        <v>2.2721641796990318E-3</v>
      </c>
      <c r="C1208" s="4">
        <v>234.83243401856345</v>
      </c>
      <c r="D1208" s="4">
        <v>0</v>
      </c>
    </row>
    <row r="1209" spans="1:4">
      <c r="A1209" s="18">
        <v>45252</v>
      </c>
      <c r="B1209" s="8">
        <v>2.5680825550325652E-3</v>
      </c>
      <c r="C1209" s="4">
        <v>235.43550309572234</v>
      </c>
      <c r="D1209" s="4">
        <v>0</v>
      </c>
    </row>
    <row r="1210" spans="1:4">
      <c r="A1210" s="18">
        <v>45253</v>
      </c>
      <c r="B1210" s="8">
        <v>-3.2168489072927167E-3</v>
      </c>
      <c r="C1210" s="4">
        <v>234.67814265485097</v>
      </c>
      <c r="D1210" s="4">
        <v>-3.2168489072926798E-3</v>
      </c>
    </row>
    <row r="1211" spans="1:4">
      <c r="A1211" s="18">
        <v>45254</v>
      </c>
      <c r="B1211" s="8">
        <v>-1.3768119703110615E-3</v>
      </c>
      <c r="C1211" s="4">
        <v>234.35503497887342</v>
      </c>
      <c r="D1211" s="4">
        <v>-4.5892318815213828E-3</v>
      </c>
    </row>
    <row r="1212" spans="1:4">
      <c r="A1212" s="18">
        <v>45258</v>
      </c>
      <c r="B1212" s="8">
        <v>-3.7105165080334585E-4</v>
      </c>
      <c r="C1212" s="4">
        <v>234.26807715627044</v>
      </c>
      <c r="D1212" s="4">
        <v>-4.9585806902592289E-3</v>
      </c>
    </row>
    <row r="1213" spans="1:4">
      <c r="A1213" s="18">
        <v>45259</v>
      </c>
      <c r="B1213" s="8">
        <v>8.9796337315926015E-3</v>
      </c>
      <c r="C1213" s="4">
        <v>236.37171868413822</v>
      </c>
      <c r="D1213" s="4">
        <v>0</v>
      </c>
    </row>
    <row r="1214" spans="1:4">
      <c r="A1214" s="18">
        <v>45260</v>
      </c>
      <c r="B1214" s="8">
        <v>2.3367477536857476E-3</v>
      </c>
      <c r="C1214" s="4">
        <v>236.92405976680823</v>
      </c>
      <c r="D1214" s="4">
        <v>0</v>
      </c>
    </row>
    <row r="1215" spans="1:4">
      <c r="A1215" s="18">
        <v>45261</v>
      </c>
      <c r="B1215" s="8">
        <v>9.2707652503529955E-3</v>
      </c>
      <c r="C1215" s="4">
        <v>239.12052710706689</v>
      </c>
      <c r="D1215" s="4">
        <v>0</v>
      </c>
    </row>
    <row r="1216" spans="1:4">
      <c r="A1216" s="18">
        <v>45264</v>
      </c>
      <c r="B1216" s="8">
        <v>1.3299694488714806E-2</v>
      </c>
      <c r="C1216" s="4">
        <v>242.3007570635713</v>
      </c>
      <c r="D1216" s="4">
        <v>0</v>
      </c>
    </row>
    <row r="1217" spans="1:4">
      <c r="A1217" s="18">
        <v>45265</v>
      </c>
      <c r="B1217" s="8">
        <v>4.4221077667083953E-3</v>
      </c>
      <c r="C1217" s="4">
        <v>243.37223712326144</v>
      </c>
      <c r="D1217" s="4">
        <v>0</v>
      </c>
    </row>
    <row r="1218" spans="1:4">
      <c r="A1218" s="18">
        <v>45266</v>
      </c>
      <c r="B1218" s="8">
        <v>9.4451063036723442E-3</v>
      </c>
      <c r="C1218" s="4">
        <v>245.67091377425317</v>
      </c>
      <c r="D1218" s="4">
        <v>0</v>
      </c>
    </row>
    <row r="1219" spans="1:4">
      <c r="A1219" s="18">
        <v>45267</v>
      </c>
      <c r="B1219" s="8">
        <v>-2.1987056725979539E-3</v>
      </c>
      <c r="C1219" s="4">
        <v>245.1307557425454</v>
      </c>
      <c r="D1219" s="4">
        <v>-2.1987056725979448E-3</v>
      </c>
    </row>
    <row r="1220" spans="1:4">
      <c r="A1220" s="18">
        <v>45268</v>
      </c>
      <c r="B1220" s="8">
        <v>5.778951676767112E-4</v>
      </c>
      <c r="C1220" s="4">
        <v>245.27241562173796</v>
      </c>
      <c r="D1220" s="4">
        <v>-1.6220811263045753E-3</v>
      </c>
    </row>
    <row r="1221" spans="1:4">
      <c r="A1221" s="18">
        <v>45271</v>
      </c>
      <c r="B1221" s="8">
        <v>6.4912175519512227E-4</v>
      </c>
      <c r="C1221" s="4">
        <v>245.43162728266731</v>
      </c>
      <c r="D1221" s="4">
        <v>-9.7401229925708765E-4</v>
      </c>
    </row>
    <row r="1222" spans="1:4">
      <c r="A1222" s="18">
        <v>45272</v>
      </c>
      <c r="B1222" s="8">
        <v>-1.1568029879039753E-2</v>
      </c>
      <c r="C1222" s="4">
        <v>242.59246688500008</v>
      </c>
      <c r="D1222" s="4">
        <v>-1.2530774774916487E-2</v>
      </c>
    </row>
    <row r="1223" spans="1:4">
      <c r="A1223" s="18">
        <v>45273</v>
      </c>
      <c r="B1223" s="8">
        <v>3.4284905855077995E-3</v>
      </c>
      <c r="C1223" s="4">
        <v>243.42419287383041</v>
      </c>
      <c r="D1223" s="4">
        <v>-9.1452458327535568E-3</v>
      </c>
    </row>
    <row r="1224" spans="1:4">
      <c r="A1224" s="18">
        <v>45274</v>
      </c>
      <c r="B1224" s="8">
        <v>9.3483916207641096E-3</v>
      </c>
      <c r="C1224" s="4">
        <v>245.69981755878339</v>
      </c>
      <c r="D1224" s="4">
        <v>0</v>
      </c>
    </row>
    <row r="1225" spans="1:4">
      <c r="A1225" s="18">
        <v>45275</v>
      </c>
      <c r="B1225" s="8">
        <v>1.2990703591134654E-2</v>
      </c>
      <c r="C1225" s="4">
        <v>248.89163106108543</v>
      </c>
      <c r="D1225" s="4">
        <v>0</v>
      </c>
    </row>
    <row r="1226" spans="1:4">
      <c r="A1226" s="18">
        <v>45278</v>
      </c>
      <c r="B1226" s="8">
        <v>2.1727770477458024E-3</v>
      </c>
      <c r="C1226" s="4">
        <v>249.43241708443097</v>
      </c>
      <c r="D1226" s="4">
        <v>0</v>
      </c>
    </row>
    <row r="1227" spans="1:4">
      <c r="A1227" s="18">
        <v>45279</v>
      </c>
      <c r="B1227" s="8">
        <v>-8.7902147700469617E-4</v>
      </c>
      <c r="C1227" s="4">
        <v>249.21316063275256</v>
      </c>
      <c r="D1227" s="4">
        <v>-8.7902147700469335E-4</v>
      </c>
    </row>
    <row r="1228" spans="1:4">
      <c r="A1228" s="18">
        <v>45280</v>
      </c>
      <c r="B1228" s="8">
        <v>-1.3287437056288945E-2</v>
      </c>
      <c r="C1228" s="4">
        <v>245.90175644724602</v>
      </c>
      <c r="D1228" s="4">
        <v>-1.4154778590746875E-2</v>
      </c>
    </row>
    <row r="1229" spans="1:4">
      <c r="A1229" s="18">
        <v>45281</v>
      </c>
      <c r="B1229" s="8">
        <v>2.5215233221405828E-3</v>
      </c>
      <c r="C1229" s="4">
        <v>246.52180346108307</v>
      </c>
      <c r="D1229" s="4">
        <v>-1.166894687294262E-2</v>
      </c>
    </row>
    <row r="1230" spans="1:4">
      <c r="A1230" s="18">
        <v>45282</v>
      </c>
      <c r="B1230" s="8">
        <v>1.0751626630879607E-2</v>
      </c>
      <c r="C1230" s="4">
        <v>249.17231384826772</v>
      </c>
      <c r="D1230" s="4">
        <v>-1.0427804020164411E-3</v>
      </c>
    </row>
    <row r="1231" spans="1:4">
      <c r="A1231" s="18">
        <v>45286</v>
      </c>
      <c r="B1231" s="8">
        <v>1.8826958664377043E-3</v>
      </c>
      <c r="C1231" s="4">
        <v>249.64142953358058</v>
      </c>
      <c r="D1231" s="4">
        <v>0</v>
      </c>
    </row>
    <row r="1232" spans="1:4">
      <c r="A1232" s="18">
        <v>45287</v>
      </c>
      <c r="B1232" s="8">
        <v>7.0868929845819672E-3</v>
      </c>
      <c r="C1232" s="4">
        <v>251.41061162920312</v>
      </c>
      <c r="D1232" s="4">
        <v>0</v>
      </c>
    </row>
    <row r="1233" spans="1:4">
      <c r="A1233" s="18">
        <v>45288</v>
      </c>
      <c r="B1233" s="8">
        <v>1.1918598509984672E-3</v>
      </c>
      <c r="C1233" s="4">
        <v>251.71025784331897</v>
      </c>
      <c r="D1233" s="4">
        <v>0</v>
      </c>
    </row>
    <row r="1234" spans="1:4">
      <c r="A1234" s="18">
        <v>45289</v>
      </c>
      <c r="B1234" s="8">
        <v>-1.7088338176937188E-3</v>
      </c>
      <c r="C1234" s="4">
        <v>251.2801268424559</v>
      </c>
      <c r="D1234" s="4">
        <v>-1.7088338176937112E-3</v>
      </c>
    </row>
    <row r="1235" spans="1:4">
      <c r="A1235" s="18">
        <v>45292</v>
      </c>
      <c r="B1235" s="8">
        <v>1.4312063014445355E-3</v>
      </c>
      <c r="C1235" s="4">
        <v>251.63976054342061</v>
      </c>
      <c r="D1235" s="4">
        <v>-2.8007320997713858E-4</v>
      </c>
    </row>
    <row r="1236" spans="1:4">
      <c r="A1236" s="18">
        <v>45293</v>
      </c>
      <c r="B1236" s="8">
        <v>-2.2543643362686969E-3</v>
      </c>
      <c r="C1236" s="4">
        <v>251.07247284166434</v>
      </c>
      <c r="D1236" s="4">
        <v>-2.5338061591897443E-3</v>
      </c>
    </row>
    <row r="1237" spans="1:4">
      <c r="A1237" s="18">
        <v>45294</v>
      </c>
      <c r="B1237" s="8">
        <v>-7.7596630367056437E-3</v>
      </c>
      <c r="C1237" s="4">
        <v>249.12423505462061</v>
      </c>
      <c r="D1237" s="4">
        <v>-1.027380771389963E-2</v>
      </c>
    </row>
    <row r="1238" spans="1:4">
      <c r="A1238" s="18">
        <v>45295</v>
      </c>
      <c r="B1238" s="8">
        <v>3.5185826254503319E-3</v>
      </c>
      <c r="C1238" s="4">
        <v>250.00079925966239</v>
      </c>
      <c r="D1238" s="4">
        <v>-6.791374329768729E-3</v>
      </c>
    </row>
    <row r="1239" spans="1:4">
      <c r="A1239" s="18">
        <v>45296</v>
      </c>
      <c r="B1239" s="8">
        <v>4.7134311086616081E-3</v>
      </c>
      <c r="C1239" s="4">
        <v>251.17916080408315</v>
      </c>
      <c r="D1239" s="4">
        <v>-2.109953896143546E-3</v>
      </c>
    </row>
    <row r="1240" spans="1:4">
      <c r="A1240" s="18">
        <v>45299</v>
      </c>
      <c r="B1240" s="8">
        <v>-7.1870370851811532E-3</v>
      </c>
      <c r="C1240" s="4">
        <v>249.37392686035952</v>
      </c>
      <c r="D1240" s="4">
        <v>-9.2818266644251191E-3</v>
      </c>
    </row>
    <row r="1241" spans="1:4">
      <c r="A1241" s="18">
        <v>45300</v>
      </c>
      <c r="B1241" s="8">
        <v>6.312511571963551E-3</v>
      </c>
      <c r="C1241" s="4">
        <v>250.94810265941152</v>
      </c>
      <c r="D1241" s="4">
        <v>-3.0279067306897556E-3</v>
      </c>
    </row>
    <row r="1242" spans="1:4">
      <c r="A1242" s="18">
        <v>45301</v>
      </c>
      <c r="B1242" s="8">
        <v>2.7310474432614591E-3</v>
      </c>
      <c r="C1242" s="4">
        <v>251.6334538335708</v>
      </c>
      <c r="D1242" s="4">
        <v>-3.0512864436371689E-4</v>
      </c>
    </row>
    <row r="1243" spans="1:4">
      <c r="A1243" s="18">
        <v>45302</v>
      </c>
      <c r="B1243" s="8">
        <v>-1.2026503438623919E-3</v>
      </c>
      <c r="C1243" s="4">
        <v>251.33082677379059</v>
      </c>
      <c r="D1243" s="4">
        <v>-1.5074120251569179E-3</v>
      </c>
    </row>
    <row r="1244" spans="1:4">
      <c r="A1244" s="18">
        <v>45303</v>
      </c>
      <c r="B1244" s="8">
        <v>1.5400273379439298E-2</v>
      </c>
      <c r="C1244" s="4">
        <v>255.20139021478749</v>
      </c>
      <c r="D1244" s="4">
        <v>0</v>
      </c>
    </row>
    <row r="1245" spans="1:4">
      <c r="A1245" s="18">
        <v>45306</v>
      </c>
      <c r="B1245" s="8">
        <v>7.6405140991317429E-3</v>
      </c>
      <c r="C1245" s="4">
        <v>257.15126003484164</v>
      </c>
      <c r="D1245" s="4">
        <v>0</v>
      </c>
    </row>
    <row r="1246" spans="1:4">
      <c r="A1246" s="18">
        <v>45307</v>
      </c>
      <c r="B1246" s="8">
        <v>-9.1595229020342947E-4</v>
      </c>
      <c r="C1246" s="4">
        <v>256.91572174928405</v>
      </c>
      <c r="D1246" s="4">
        <v>-9.15952290203359E-4</v>
      </c>
    </row>
    <row r="1247" spans="1:4">
      <c r="A1247" s="18">
        <v>45308</v>
      </c>
      <c r="B1247" s="8">
        <v>-1.182706914863348E-2</v>
      </c>
      <c r="C1247" s="4">
        <v>253.87716174278418</v>
      </c>
      <c r="D1247" s="4">
        <v>-1.27321884077638E-2</v>
      </c>
    </row>
    <row r="1248" spans="1:4">
      <c r="A1248" s="18">
        <v>45309</v>
      </c>
      <c r="B1248" s="8">
        <v>1.6346485437368906E-3</v>
      </c>
      <c r="C1248" s="4">
        <v>254.29216167551508</v>
      </c>
      <c r="D1248" s="4">
        <v>-1.1118352517266228E-2</v>
      </c>
    </row>
    <row r="1249" spans="1:4">
      <c r="A1249" s="18">
        <v>45310</v>
      </c>
      <c r="B1249" s="8">
        <v>7.5792377073108531E-3</v>
      </c>
      <c r="C1249" s="4">
        <v>256.21950241595977</v>
      </c>
      <c r="D1249" s="4">
        <v>-3.6233834465972947E-3</v>
      </c>
    </row>
    <row r="1250" spans="1:4">
      <c r="A1250" s="18">
        <v>45314</v>
      </c>
      <c r="B1250" s="8">
        <v>-1.4472683214736725E-2</v>
      </c>
      <c r="C1250" s="4">
        <v>252.51131872405611</v>
      </c>
      <c r="D1250" s="4">
        <v>-1.8043626580545813E-2</v>
      </c>
    </row>
    <row r="1251" spans="1:4">
      <c r="A1251" s="18">
        <v>45315</v>
      </c>
      <c r="B1251" s="8">
        <v>1.0130251041640032E-2</v>
      </c>
      <c r="C1251" s="4">
        <v>255.06932177358641</v>
      </c>
      <c r="D1251" s="4">
        <v>-8.0961620058682682E-3</v>
      </c>
    </row>
    <row r="1252" spans="1:4">
      <c r="A1252" s="18">
        <v>45316</v>
      </c>
      <c r="B1252" s="8">
        <v>-6.031810206625886E-3</v>
      </c>
      <c r="C1252" s="4">
        <v>253.53079203511535</v>
      </c>
      <c r="D1252" s="4">
        <v>-1.4079137699872568E-2</v>
      </c>
    </row>
    <row r="1253" spans="1:4">
      <c r="A1253" s="18">
        <v>45320</v>
      </c>
      <c r="B1253" s="8">
        <v>2.0076807929414818E-2</v>
      </c>
      <c r="C1253" s="4">
        <v>258.62088105099679</v>
      </c>
      <c r="D1253" s="4">
        <v>0</v>
      </c>
    </row>
    <row r="1254" spans="1:4">
      <c r="A1254" s="18">
        <v>45321</v>
      </c>
      <c r="B1254" s="8">
        <v>-1.441845942648403E-2</v>
      </c>
      <c r="C1254" s="4">
        <v>254.89196637072143</v>
      </c>
      <c r="D1254" s="4">
        <v>-1.4418459426484009E-2</v>
      </c>
    </row>
    <row r="1255" spans="1:4">
      <c r="A1255" s="18">
        <v>45322</v>
      </c>
      <c r="B1255" s="8">
        <v>5.5739869205684318E-3</v>
      </c>
      <c r="C1255" s="4">
        <v>256.31273085742981</v>
      </c>
      <c r="D1255" s="4">
        <v>-8.9248408101735288E-3</v>
      </c>
    </row>
    <row r="1256" spans="1:4">
      <c r="A1256" s="18">
        <v>45323</v>
      </c>
      <c r="B1256" s="8">
        <v>3.9925655986300327E-3</v>
      </c>
      <c r="C1256" s="4">
        <v>257.33607624914208</v>
      </c>
      <c r="D1256" s="4">
        <v>-4.9679082239355576E-3</v>
      </c>
    </row>
    <row r="1257" spans="1:4">
      <c r="A1257" s="18">
        <v>45324</v>
      </c>
      <c r="B1257" s="8">
        <v>5.6086966235221972E-3</v>
      </c>
      <c r="C1257" s="4">
        <v>258.77939623111109</v>
      </c>
      <c r="D1257" s="4">
        <v>0</v>
      </c>
    </row>
    <row r="1258" spans="1:4">
      <c r="A1258" s="18">
        <v>45327</v>
      </c>
      <c r="B1258" s="8">
        <v>-3.3593879913259681E-3</v>
      </c>
      <c r="C1258" s="4">
        <v>257.9100558350097</v>
      </c>
      <c r="D1258" s="4">
        <v>-3.3593879913260682E-3</v>
      </c>
    </row>
    <row r="1259" spans="1:4">
      <c r="A1259" s="18">
        <v>45328</v>
      </c>
      <c r="B1259" s="8">
        <v>1.7202307148999098E-2</v>
      </c>
      <c r="C1259" s="4">
        <v>262.34670383229906</v>
      </c>
      <c r="D1259" s="4">
        <v>0</v>
      </c>
    </row>
    <row r="1260" spans="1:4">
      <c r="A1260" s="18">
        <v>45329</v>
      </c>
      <c r="B1260" s="8">
        <v>-1.5052008196809216E-4</v>
      </c>
      <c r="C1260" s="4">
        <v>262.30721538493412</v>
      </c>
      <c r="D1260" s="4">
        <v>-1.5052008196825284E-4</v>
      </c>
    </row>
    <row r="1261" spans="1:4">
      <c r="A1261" s="18">
        <v>45330</v>
      </c>
      <c r="B1261" s="8">
        <v>-8.3049332564239416E-3</v>
      </c>
      <c r="C1261" s="4">
        <v>260.12877146848382</v>
      </c>
      <c r="D1261" s="4">
        <v>-8.4542032791576904E-3</v>
      </c>
    </row>
    <row r="1262" spans="1:4">
      <c r="A1262" s="18">
        <v>45331</v>
      </c>
      <c r="B1262" s="8">
        <v>3.5789694166933495E-3</v>
      </c>
      <c r="C1262" s="4">
        <v>261.05976438597156</v>
      </c>
      <c r="D1262" s="4">
        <v>-4.9054911974428794E-3</v>
      </c>
    </row>
    <row r="1263" spans="1:4">
      <c r="A1263" s="18">
        <v>45334</v>
      </c>
      <c r="B1263" s="8">
        <v>-4.8587453793168195E-3</v>
      </c>
      <c r="C1263" s="4">
        <v>259.79134146203569</v>
      </c>
      <c r="D1263" s="4">
        <v>-9.7404020440707839E-3</v>
      </c>
    </row>
    <row r="1264" spans="1:4">
      <c r="A1264" s="18">
        <v>45335</v>
      </c>
      <c r="B1264" s="8">
        <v>5.7848032798694816E-3</v>
      </c>
      <c r="C1264" s="4">
        <v>261.29418326620697</v>
      </c>
      <c r="D1264" s="4">
        <v>-4.0119450738931306E-3</v>
      </c>
    </row>
    <row r="1265" spans="1:4">
      <c r="A1265" s="18">
        <v>45336</v>
      </c>
      <c r="B1265" s="8">
        <v>1.2089990846456465E-3</v>
      </c>
      <c r="C1265" s="4">
        <v>261.61008769459903</v>
      </c>
      <c r="D1265" s="4">
        <v>-2.807796427169551E-3</v>
      </c>
    </row>
    <row r="1266" spans="1:4">
      <c r="A1266" s="18">
        <v>45337</v>
      </c>
      <c r="B1266" s="8">
        <v>-7.4847785840124169E-4</v>
      </c>
      <c r="C1266" s="4">
        <v>261.41427833642518</v>
      </c>
      <c r="D1266" s="4">
        <v>-3.554172712114223E-3</v>
      </c>
    </row>
    <row r="1267" spans="1:4">
      <c r="A1267" s="18">
        <v>45338</v>
      </c>
      <c r="B1267" s="8">
        <v>1.165098343897325E-2</v>
      </c>
      <c r="C1267" s="4">
        <v>264.46001176403405</v>
      </c>
      <c r="D1267" s="4">
        <v>0</v>
      </c>
    </row>
    <row r="1268" spans="1:4">
      <c r="A1268" s="18">
        <v>45341</v>
      </c>
      <c r="B1268" s="8">
        <v>2.4119313902110032E-3</v>
      </c>
      <c r="C1268" s="4">
        <v>265.09787116786327</v>
      </c>
      <c r="D1268" s="4">
        <v>0</v>
      </c>
    </row>
    <row r="1269" spans="1:4">
      <c r="A1269" s="18">
        <v>45342</v>
      </c>
      <c r="B1269" s="8">
        <v>-1.4637499669972135E-5</v>
      </c>
      <c r="C1269" s="4">
        <v>265.09399079786152</v>
      </c>
      <c r="D1269" s="4">
        <v>-1.46374996700116E-5</v>
      </c>
    </row>
    <row r="1270" spans="1:4">
      <c r="A1270" s="18">
        <v>45343</v>
      </c>
      <c r="B1270" s="8">
        <v>-6.7276605322795675E-3</v>
      </c>
      <c r="C1270" s="4">
        <v>263.31052841862629</v>
      </c>
      <c r="D1270" s="4">
        <v>-6.7421995558206715E-3</v>
      </c>
    </row>
    <row r="1271" spans="1:4">
      <c r="A1271" s="18">
        <v>45344</v>
      </c>
      <c r="B1271" s="8">
        <v>1.4640012299658115E-2</v>
      </c>
      <c r="C1271" s="4">
        <v>267.16539779330446</v>
      </c>
      <c r="D1271" s="4">
        <v>0</v>
      </c>
    </row>
    <row r="1272" spans="1:4">
      <c r="A1272" s="18">
        <v>45345</v>
      </c>
      <c r="B1272" s="8">
        <v>-8.2652285212313475E-4</v>
      </c>
      <c r="C1272" s="4">
        <v>266.94457948673175</v>
      </c>
      <c r="D1272" s="4">
        <v>-8.26522852123035E-4</v>
      </c>
    </row>
    <row r="1273" spans="1:4">
      <c r="A1273" s="18">
        <v>45348</v>
      </c>
      <c r="B1273" s="8">
        <v>3.6106661683493833E-4</v>
      </c>
      <c r="C1273" s="4">
        <v>267.04096426292949</v>
      </c>
      <c r="D1273" s="4">
        <v>-4.6575466509790608E-4</v>
      </c>
    </row>
    <row r="1274" spans="1:4">
      <c r="A1274" s="18">
        <v>45349</v>
      </c>
      <c r="B1274" s="8">
        <v>7.7176145015743899E-3</v>
      </c>
      <c r="C1274" s="4">
        <v>269.1018834812395</v>
      </c>
      <c r="D1274" s="4">
        <v>0</v>
      </c>
    </row>
    <row r="1275" spans="1:4">
      <c r="A1275" s="18">
        <v>45350</v>
      </c>
      <c r="B1275" s="8">
        <v>-1.1779875467574662E-2</v>
      </c>
      <c r="C1275" s="4">
        <v>265.93189680574073</v>
      </c>
      <c r="D1275" s="4">
        <v>-1.177987546757453E-2</v>
      </c>
    </row>
    <row r="1276" spans="1:4">
      <c r="A1276" s="18">
        <v>45351</v>
      </c>
      <c r="B1276" s="8">
        <v>2.5256209121470503E-3</v>
      </c>
      <c r="C1276" s="4">
        <v>266.60353996552027</v>
      </c>
      <c r="D1276" s="4">
        <v>-9.2840060552508152E-3</v>
      </c>
    </row>
    <row r="1277" spans="1:4">
      <c r="A1277" s="18">
        <v>45352</v>
      </c>
      <c r="B1277" s="8">
        <v>1.6624486881901348E-2</v>
      </c>
      <c r="C1277" s="4">
        <v>271.03568701834553</v>
      </c>
      <c r="D1277" s="4">
        <v>0</v>
      </c>
    </row>
    <row r="1278" spans="1:4">
      <c r="A1278" s="18">
        <v>45355</v>
      </c>
      <c r="B1278" s="8">
        <v>-4.1395255901330156E-4</v>
      </c>
      <c r="C1278" s="4">
        <v>270.92349110212035</v>
      </c>
      <c r="D1278" s="4">
        <v>-4.1395255901333083E-4</v>
      </c>
    </row>
    <row r="1279" spans="1:4">
      <c r="A1279" s="18">
        <v>45356</v>
      </c>
      <c r="B1279" s="8">
        <v>-2.1458975222006021E-3</v>
      </c>
      <c r="C1279" s="4">
        <v>270.34211705385837</v>
      </c>
      <c r="D1279" s="4">
        <v>-2.5589617814432142E-3</v>
      </c>
    </row>
    <row r="1280" spans="1:4">
      <c r="A1280" s="18">
        <v>45357</v>
      </c>
      <c r="B1280" s="8">
        <v>5.1485618038667079E-3</v>
      </c>
      <c r="C1280" s="4">
        <v>271.73399015169832</v>
      </c>
      <c r="D1280" s="4">
        <v>0</v>
      </c>
    </row>
    <row r="1281" spans="1:4">
      <c r="A1281" s="18">
        <v>45358</v>
      </c>
      <c r="B1281" s="8">
        <v>1.2913592878539563E-3</v>
      </c>
      <c r="C1281" s="4">
        <v>272.08489636370638</v>
      </c>
      <c r="D1281" s="4">
        <v>0</v>
      </c>
    </row>
    <row r="1282" spans="1:4">
      <c r="A1282" s="18">
        <v>45362</v>
      </c>
      <c r="B1282" s="8">
        <v>-8.3976786460464199E-3</v>
      </c>
      <c r="C1282" s="4">
        <v>269.80001483960109</v>
      </c>
      <c r="D1282" s="4">
        <v>-8.3976786460465691E-3</v>
      </c>
    </row>
    <row r="1283" spans="1:4">
      <c r="A1283" s="18">
        <v>45363</v>
      </c>
      <c r="B1283" s="8">
        <v>3.5963857835726257E-3</v>
      </c>
      <c r="C1283" s="4">
        <v>270.77031977737789</v>
      </c>
      <c r="D1283" s="4">
        <v>-4.831494154571625E-3</v>
      </c>
    </row>
    <row r="1284" spans="1:4">
      <c r="A1284" s="18">
        <v>45364</v>
      </c>
      <c r="B1284" s="8">
        <v>-9.9411508308766793E-3</v>
      </c>
      <c r="C1284" s="4">
        <v>268.07855118794629</v>
      </c>
      <c r="D1284" s="4">
        <v>-1.4724614373319178E-2</v>
      </c>
    </row>
    <row r="1285" spans="1:4">
      <c r="A1285" s="18">
        <v>45365</v>
      </c>
      <c r="B1285" s="8">
        <v>7.8226982338142469E-3</v>
      </c>
      <c r="C1285" s="4">
        <v>270.17564879684772</v>
      </c>
      <c r="D1285" s="4">
        <v>-7.0171023543567079E-3</v>
      </c>
    </row>
    <row r="1286" spans="1:4">
      <c r="A1286" s="18">
        <v>45366</v>
      </c>
      <c r="B1286" s="8">
        <v>-6.9416358626510216E-3</v>
      </c>
      <c r="C1286" s="4">
        <v>268.3001878239445</v>
      </c>
      <c r="D1286" s="4">
        <v>-1.3910028047652845E-2</v>
      </c>
    </row>
    <row r="1287" spans="1:4">
      <c r="A1287" s="18">
        <v>45369</v>
      </c>
      <c r="B1287" s="8">
        <v>4.5129703291092917E-3</v>
      </c>
      <c r="C1287" s="4">
        <v>269.51101861088841</v>
      </c>
      <c r="D1287" s="4">
        <v>-9.4598332623997416E-3</v>
      </c>
    </row>
    <row r="1288" spans="1:4">
      <c r="A1288" s="18">
        <v>45370</v>
      </c>
      <c r="B1288" s="8">
        <v>-1.4690222319891885E-2</v>
      </c>
      <c r="C1288" s="4">
        <v>265.55184182983396</v>
      </c>
      <c r="D1288" s="4">
        <v>-2.4011088528557711E-2</v>
      </c>
    </row>
    <row r="1289" spans="1:4">
      <c r="A1289" s="18">
        <v>45371</v>
      </c>
      <c r="B1289" s="8">
        <v>7.7805438109272047E-3</v>
      </c>
      <c r="C1289" s="4">
        <v>267.61797956926341</v>
      </c>
      <c r="D1289" s="4">
        <v>-1.6417364043874949E-2</v>
      </c>
    </row>
    <row r="1290" spans="1:4">
      <c r="A1290" s="18">
        <v>45372</v>
      </c>
      <c r="B1290" s="8">
        <v>6.379362222544576E-3</v>
      </c>
      <c r="C1290" s="4">
        <v>269.32521159820129</v>
      </c>
      <c r="D1290" s="4">
        <v>-1.0142734133305575E-2</v>
      </c>
    </row>
    <row r="1291" spans="1:4">
      <c r="A1291" s="18">
        <v>45373</v>
      </c>
      <c r="B1291" s="8">
        <v>1.2213316120194015E-2</v>
      </c>
      <c r="C1291" s="4">
        <v>272.61456554658827</v>
      </c>
      <c r="D1291" s="4">
        <v>0</v>
      </c>
    </row>
    <row r="1292" spans="1:4">
      <c r="A1292" s="18">
        <v>45377</v>
      </c>
      <c r="B1292" s="8">
        <v>-3.4574238893837895E-3</v>
      </c>
      <c r="C1292" s="4">
        <v>271.67202143507353</v>
      </c>
      <c r="D1292" s="4">
        <v>-3.4574238893837483E-3</v>
      </c>
    </row>
    <row r="1293" spans="1:4">
      <c r="A1293" s="18">
        <v>45378</v>
      </c>
      <c r="B1293" s="8">
        <v>1.0707188889393442E-2</v>
      </c>
      <c r="C1293" s="4">
        <v>274.58086508454221</v>
      </c>
      <c r="D1293" s="4">
        <v>0</v>
      </c>
    </row>
    <row r="1294" spans="1:4">
      <c r="A1294" s="18">
        <v>45379</v>
      </c>
      <c r="B1294" s="8">
        <v>7.4622878943773861E-3</v>
      </c>
      <c r="C1294" s="4">
        <v>276.62986655009024</v>
      </c>
      <c r="D1294" s="4">
        <v>0</v>
      </c>
    </row>
    <row r="1295" spans="1:4">
      <c r="A1295" s="18">
        <v>45383</v>
      </c>
      <c r="B1295" s="8">
        <v>5.7264351261416841E-3</v>
      </c>
      <c r="C1295" s="4">
        <v>278.21396953484259</v>
      </c>
      <c r="D1295" s="4">
        <v>0</v>
      </c>
    </row>
    <row r="1296" spans="1:4">
      <c r="A1296" s="18">
        <v>45384</v>
      </c>
      <c r="B1296" s="8">
        <v>-3.4282771607229948E-3</v>
      </c>
      <c r="C1296" s="4">
        <v>277.26017493729222</v>
      </c>
      <c r="D1296" s="4">
        <v>-3.4282771607229146E-3</v>
      </c>
    </row>
    <row r="1297" spans="1:4">
      <c r="A1297" s="18">
        <v>45385</v>
      </c>
      <c r="B1297" s="8">
        <v>-3.4681840355638891E-3</v>
      </c>
      <c r="C1297" s="4">
        <v>276.29858562487703</v>
      </c>
      <c r="D1297" s="4">
        <v>-6.8845713001686182E-3</v>
      </c>
    </row>
    <row r="1298" spans="1:4">
      <c r="A1298" s="18">
        <v>45386</v>
      </c>
      <c r="B1298" s="8">
        <v>5.567722730294866E-3</v>
      </c>
      <c r="C1298" s="4">
        <v>277.83693954040899</v>
      </c>
      <c r="D1298" s="4">
        <v>-1.3551799539900378E-3</v>
      </c>
    </row>
    <row r="1299" spans="1:4">
      <c r="A1299" s="18">
        <v>45387</v>
      </c>
      <c r="B1299" s="8">
        <v>-5.2462254432659207E-3</v>
      </c>
      <c r="C1299" s="4">
        <v>276.37934431911299</v>
      </c>
      <c r="D1299" s="4">
        <v>-6.5942958177009903E-3</v>
      </c>
    </row>
    <row r="1300" spans="1:4">
      <c r="A1300" s="18">
        <v>45390</v>
      </c>
      <c r="B1300" s="8">
        <v>1.1608316747954503E-2</v>
      </c>
      <c r="C1300" s="4">
        <v>279.58764329056123</v>
      </c>
      <c r="D1300" s="4">
        <v>0</v>
      </c>
    </row>
    <row r="1301" spans="1:4">
      <c r="A1301" s="18">
        <v>45391</v>
      </c>
      <c r="B1301" s="8">
        <v>-2.4425726543763036E-3</v>
      </c>
      <c r="C1301" s="4">
        <v>278.90473015855821</v>
      </c>
      <c r="D1301" s="4">
        <v>-2.4425726543761961E-3</v>
      </c>
    </row>
    <row r="1302" spans="1:4">
      <c r="A1302" s="18">
        <v>45392</v>
      </c>
      <c r="B1302" s="8">
        <v>-2.1805198211537311E-4</v>
      </c>
      <c r="C1302" s="4">
        <v>278.84391442932582</v>
      </c>
      <c r="D1302" s="4">
        <v>-2.6600920286826701E-3</v>
      </c>
    </row>
    <row r="1303" spans="1:4">
      <c r="A1303" s="18">
        <v>45394</v>
      </c>
      <c r="B1303" s="8">
        <v>-2.0376686923042765E-2</v>
      </c>
      <c r="C1303" s="4">
        <v>273.16199928460372</v>
      </c>
      <c r="D1303" s="4">
        <v>-2.2982575089270485E-2</v>
      </c>
    </row>
    <row r="1304" spans="1:4">
      <c r="A1304" s="18">
        <v>45397</v>
      </c>
      <c r="B1304" s="8">
        <v>-6.1928744761103561E-3</v>
      </c>
      <c r="C1304" s="4">
        <v>271.47034131139083</v>
      </c>
      <c r="D1304" s="4">
        <v>-2.9033121362715297E-2</v>
      </c>
    </row>
    <row r="1305" spans="1:4">
      <c r="A1305" s="18">
        <v>45398</v>
      </c>
      <c r="B1305" s="8">
        <v>-5.9512703593852211E-3</v>
      </c>
      <c r="C1305" s="4">
        <v>269.85474791569214</v>
      </c>
      <c r="D1305" s="4">
        <v>-3.4811607767494146E-2</v>
      </c>
    </row>
    <row r="1306" spans="1:4">
      <c r="A1306" s="18">
        <v>45400</v>
      </c>
      <c r="B1306" s="8">
        <v>-5.3578679262438859E-3</v>
      </c>
      <c r="C1306" s="4">
        <v>268.40890181709</v>
      </c>
      <c r="D1306" s="4">
        <v>-3.9982959697019704E-2</v>
      </c>
    </row>
    <row r="1307" spans="1:4">
      <c r="A1307" s="18">
        <v>45401</v>
      </c>
      <c r="B1307" s="8">
        <v>5.8334852030572796E-3</v>
      </c>
      <c r="C1307" s="4">
        <v>269.97466117420885</v>
      </c>
      <c r="D1307" s="4">
        <v>-3.438271449772945E-2</v>
      </c>
    </row>
    <row r="1308" spans="1:4">
      <c r="A1308" s="18">
        <v>45404</v>
      </c>
      <c r="B1308" s="8">
        <v>1.0330866418490885E-2</v>
      </c>
      <c r="C1308" s="4">
        <v>272.76373333517694</v>
      </c>
      <c r="D1308" s="4">
        <v>-2.4407051309819683E-2</v>
      </c>
    </row>
    <row r="1309" spans="1:4">
      <c r="A1309" s="18">
        <v>45405</v>
      </c>
      <c r="B1309" s="8">
        <v>-2.7899808303689716E-3</v>
      </c>
      <c r="C1309" s="4">
        <v>272.00272774795189</v>
      </c>
      <c r="D1309" s="4">
        <v>-2.7128936934908476E-2</v>
      </c>
    </row>
    <row r="1310" spans="1:4">
      <c r="A1310" s="18">
        <v>45406</v>
      </c>
      <c r="B1310" s="8">
        <v>-1.648235597867326E-3</v>
      </c>
      <c r="C1310" s="4">
        <v>271.55440316936068</v>
      </c>
      <c r="D1310" s="4">
        <v>-2.8732457653187549E-2</v>
      </c>
    </row>
    <row r="1311" spans="1:4">
      <c r="A1311" s="18">
        <v>45407</v>
      </c>
      <c r="B1311" s="8">
        <v>7.553306403602098E-3</v>
      </c>
      <c r="C1311" s="4">
        <v>273.6055367817462</v>
      </c>
      <c r="D1311" s="4">
        <v>-2.1396176305968351E-2</v>
      </c>
    </row>
    <row r="1312" spans="1:4">
      <c r="A1312" s="18">
        <v>45408</v>
      </c>
      <c r="B1312" s="8">
        <v>-8.5975611079865989E-3</v>
      </c>
      <c r="C1312" s="4">
        <v>271.25319645978163</v>
      </c>
      <c r="D1312" s="4">
        <v>-2.9809782480687219E-2</v>
      </c>
    </row>
    <row r="1313" spans="1:4">
      <c r="A1313" s="18">
        <v>45411</v>
      </c>
      <c r="B1313" s="8">
        <v>5.9997961224360786E-3</v>
      </c>
      <c r="C1313" s="4">
        <v>272.88066033609942</v>
      </c>
      <c r="D1313" s="4">
        <v>-2.3988838975589455E-2</v>
      </c>
    </row>
    <row r="1314" spans="1:4">
      <c r="A1314" s="18">
        <v>45412</v>
      </c>
      <c r="B1314" s="8">
        <v>-4.880072124132594E-3</v>
      </c>
      <c r="C1314" s="4">
        <v>271.54898303237832</v>
      </c>
      <c r="D1314" s="4">
        <v>-2.8751843835347013E-2</v>
      </c>
    </row>
    <row r="1315" spans="1:4">
      <c r="A1315" s="18">
        <v>45414</v>
      </c>
      <c r="B1315" s="8">
        <v>3.612521892630758E-3</v>
      </c>
      <c r="C1315" s="4">
        <v>272.52995967850444</v>
      </c>
      <c r="D1315" s="4">
        <v>-2.5243188608024769E-2</v>
      </c>
    </row>
    <row r="1316" spans="1:4">
      <c r="A1316" s="18">
        <v>45415</v>
      </c>
      <c r="B1316" s="8">
        <v>-1.5256622806391389E-2</v>
      </c>
      <c r="C1316" s="4">
        <v>268.37207288024842</v>
      </c>
      <c r="D1316" s="4">
        <v>-4.0114685607393064E-2</v>
      </c>
    </row>
    <row r="1317" spans="1:4">
      <c r="A1317" s="18">
        <v>45418</v>
      </c>
      <c r="B1317" s="8">
        <v>-1.9578119732574333E-4</v>
      </c>
      <c r="C1317" s="4">
        <v>268.31953067449115</v>
      </c>
      <c r="D1317" s="4">
        <v>-4.0302613103540108E-2</v>
      </c>
    </row>
    <row r="1318" spans="1:4">
      <c r="A1318" s="18">
        <v>45419</v>
      </c>
      <c r="B1318" s="8">
        <v>-3.7128161432228093E-3</v>
      </c>
      <c r="C1318" s="4">
        <v>267.32330958946091</v>
      </c>
      <c r="D1318" s="4">
        <v>-4.3865793054218116E-2</v>
      </c>
    </row>
    <row r="1319" spans="1:4">
      <c r="A1319" s="18">
        <v>45420</v>
      </c>
      <c r="B1319" s="8">
        <v>6.5214507063727119E-3</v>
      </c>
      <c r="C1319" s="4">
        <v>269.06664537561295</v>
      </c>
      <c r="D1319" s="4">
        <v>-3.7630410954944571E-2</v>
      </c>
    </row>
    <row r="1320" spans="1:4">
      <c r="A1320" s="18">
        <v>45421</v>
      </c>
      <c r="B1320" s="8">
        <v>-2.1843437593180012E-2</v>
      </c>
      <c r="C1320" s="4">
        <v>263.18930489894444</v>
      </c>
      <c r="D1320" s="4">
        <v>-5.8651871014824608E-2</v>
      </c>
    </row>
    <row r="1321" spans="1:4">
      <c r="A1321" s="18">
        <v>45422</v>
      </c>
      <c r="B1321" s="8">
        <v>4.6358561239344901E-3</v>
      </c>
      <c r="C1321" s="4">
        <v>264.40941264981427</v>
      </c>
      <c r="D1321" s="4">
        <v>-5.4287916526314373E-2</v>
      </c>
    </row>
    <row r="1322" spans="1:4">
      <c r="A1322" s="18">
        <v>45425</v>
      </c>
      <c r="B1322" s="8">
        <v>4.4866939133124647E-3</v>
      </c>
      <c r="C1322" s="4">
        <v>265.59573675217268</v>
      </c>
      <c r="D1322" s="4">
        <v>-5.0044795877647097E-2</v>
      </c>
    </row>
    <row r="1323" spans="1:4">
      <c r="A1323" s="18">
        <v>45426</v>
      </c>
      <c r="B1323" s="8">
        <v>9.7576377874136009E-3</v>
      </c>
      <c r="C1323" s="4">
        <v>268.18732374928163</v>
      </c>
      <c r="D1323" s="4">
        <v>-4.0775477081552713E-2</v>
      </c>
    </row>
    <row r="1324" spans="1:4">
      <c r="A1324" s="18">
        <v>45427</v>
      </c>
      <c r="B1324" s="8">
        <v>-3.1987286851991145E-3</v>
      </c>
      <c r="C1324" s="4">
        <v>267.329465263798</v>
      </c>
      <c r="D1324" s="4">
        <v>-4.3843776078558383E-2</v>
      </c>
    </row>
    <row r="1325" spans="1:4">
      <c r="A1325" s="18">
        <v>45428</v>
      </c>
      <c r="B1325" s="8">
        <v>5.3738962662792603E-3</v>
      </c>
      <c r="C1325" s="4">
        <v>268.76606607904557</v>
      </c>
      <c r="D1325" s="4">
        <v>-3.8705491716847229E-2</v>
      </c>
    </row>
    <row r="1326" spans="1:4">
      <c r="A1326" s="18">
        <v>45429</v>
      </c>
      <c r="B1326" s="8">
        <v>1.2234047275148576E-3</v>
      </c>
      <c r="C1326" s="4">
        <v>269.09487575488225</v>
      </c>
      <c r="D1326" s="4">
        <v>-3.75294394708795E-2</v>
      </c>
    </row>
    <row r="1327" spans="1:4">
      <c r="A1327" s="18">
        <v>45433</v>
      </c>
      <c r="B1327" s="8">
        <v>-3.6388794387128692E-3</v>
      </c>
      <c r="C1327" s="4">
        <v>268.11567194443484</v>
      </c>
      <c r="D1327" s="4">
        <v>-4.1031753803955295E-2</v>
      </c>
    </row>
    <row r="1328" spans="1:4">
      <c r="A1328" s="18">
        <v>45434</v>
      </c>
      <c r="B1328" s="8">
        <v>6.5495987076984452E-3</v>
      </c>
      <c r="C1328" s="4">
        <v>269.87172200291582</v>
      </c>
      <c r="D1328" s="4">
        <v>-3.4750896617945837E-2</v>
      </c>
    </row>
    <row r="1329" spans="1:4">
      <c r="A1329" s="18">
        <v>45435</v>
      </c>
      <c r="B1329" s="8">
        <v>1.564262345320196E-2</v>
      </c>
      <c r="C1329" s="4">
        <v>274.09322373087463</v>
      </c>
      <c r="D1329" s="4">
        <v>-1.9651868355199609E-2</v>
      </c>
    </row>
    <row r="1330" spans="1:4">
      <c r="A1330" s="18">
        <v>45436</v>
      </c>
      <c r="B1330" s="8">
        <v>7.0329212805107007E-4</v>
      </c>
      <c r="C1330" s="4">
        <v>274.28599133747667</v>
      </c>
      <c r="D1330" s="4">
        <v>-1.8962397231464312E-2</v>
      </c>
    </row>
    <row r="1331" spans="1:4">
      <c r="A1331" s="18">
        <v>45439</v>
      </c>
      <c r="B1331" s="8">
        <v>-3.3724178112610062E-3</v>
      </c>
      <c r="C1331" s="4">
        <v>273.3609843749108</v>
      </c>
      <c r="D1331" s="4">
        <v>-2.2270865916557581E-2</v>
      </c>
    </row>
    <row r="1332" spans="1:4">
      <c r="A1332" s="18">
        <v>45440</v>
      </c>
      <c r="B1332" s="8">
        <v>-2.7340787558363293E-3</v>
      </c>
      <c r="C1332" s="4">
        <v>272.61359391485684</v>
      </c>
      <c r="D1332" s="4">
        <v>-2.4944054371017432E-2</v>
      </c>
    </row>
    <row r="1333" spans="1:4">
      <c r="A1333" s="18">
        <v>45441</v>
      </c>
      <c r="B1333" s="8">
        <v>-4.072793138769279E-3</v>
      </c>
      <c r="C1333" s="4">
        <v>271.50329514002516</v>
      </c>
      <c r="D1333" s="4">
        <v>-2.8915255536291373E-2</v>
      </c>
    </row>
    <row r="1334" spans="1:4">
      <c r="A1334" s="18">
        <v>45442</v>
      </c>
      <c r="B1334" s="8">
        <v>-1.0319034684067745E-2</v>
      </c>
      <c r="C1334" s="4">
        <v>268.70164322063658</v>
      </c>
      <c r="D1334" s="4">
        <v>-3.8935912695581387E-2</v>
      </c>
    </row>
    <row r="1335" spans="1:4">
      <c r="A1335" s="18">
        <v>45443</v>
      </c>
      <c r="B1335" s="8">
        <v>-3.7065308888931223E-4</v>
      </c>
      <c r="C1335" s="4">
        <v>268.60204812658725</v>
      </c>
      <c r="D1335" s="4">
        <v>-3.9292134068161233E-2</v>
      </c>
    </row>
    <row r="1336" spans="1:4">
      <c r="A1336" s="18">
        <v>45446</v>
      </c>
      <c r="B1336" s="8">
        <v>2.32939063706755E-2</v>
      </c>
      <c r="C1336" s="4">
        <v>274.85883908661964</v>
      </c>
      <c r="D1336" s="4">
        <v>-1.6913494989573619E-2</v>
      </c>
    </row>
    <row r="1337" spans="1:4">
      <c r="A1337" s="18">
        <v>45447</v>
      </c>
      <c r="B1337" s="8">
        <v>-4.7697390877685417E-2</v>
      </c>
      <c r="C1337" s="4">
        <v>261.74878960251829</v>
      </c>
      <c r="D1337" s="4">
        <v>-6.3804156285633629E-2</v>
      </c>
    </row>
    <row r="1338" spans="1:4">
      <c r="A1338" s="18">
        <v>45448</v>
      </c>
      <c r="B1338" s="8">
        <v>2.3189400474032385E-2</v>
      </c>
      <c r="C1338" s="4">
        <v>267.81858710820433</v>
      </c>
      <c r="D1338" s="4">
        <v>-4.2094335943616557E-2</v>
      </c>
    </row>
    <row r="1339" spans="1:4">
      <c r="A1339" s="18">
        <v>45449</v>
      </c>
      <c r="B1339" s="8">
        <v>1.2231384329213084E-2</v>
      </c>
      <c r="C1339" s="4">
        <v>271.09437917763159</v>
      </c>
      <c r="D1339" s="4">
        <v>-3.0377823615412858E-2</v>
      </c>
    </row>
    <row r="1340" spans="1:4">
      <c r="A1340" s="18">
        <v>45450</v>
      </c>
      <c r="B1340" s="8">
        <v>1.8199228447522846E-2</v>
      </c>
      <c r="C1340" s="4">
        <v>276.02808771512468</v>
      </c>
      <c r="D1340" s="4">
        <v>-1.2731448119605471E-2</v>
      </c>
    </row>
    <row r="1341" spans="1:4">
      <c r="A1341" s="18">
        <v>45453</v>
      </c>
      <c r="B1341" s="8">
        <v>-3.698223937545304E-3</v>
      </c>
      <c r="C1341" s="4">
        <v>275.00727403370178</v>
      </c>
      <c r="D1341" s="4">
        <v>-1.6382588310955182E-2</v>
      </c>
    </row>
    <row r="1342" spans="1:4">
      <c r="A1342" s="18">
        <v>45454</v>
      </c>
      <c r="B1342" s="8">
        <v>1.7251081168630537E-3</v>
      </c>
      <c r="C1342" s="4">
        <v>275.48169131433366</v>
      </c>
      <c r="D1342" s="4">
        <v>-1.4685741930162699E-2</v>
      </c>
    </row>
    <row r="1343" spans="1:4">
      <c r="A1343" s="18">
        <v>45455</v>
      </c>
      <c r="B1343" s="8">
        <v>2.0534655022046693E-3</v>
      </c>
      <c r="C1343" s="4">
        <v>276.04738346393663</v>
      </c>
      <c r="D1343" s="4">
        <v>-1.2662433092386016E-2</v>
      </c>
    </row>
    <row r="1344" spans="1:4">
      <c r="A1344" s="18">
        <v>45456</v>
      </c>
      <c r="B1344" s="8">
        <v>5.9971766743071092E-3</v>
      </c>
      <c r="C1344" s="4">
        <v>277.7028883930501</v>
      </c>
      <c r="D1344" s="4">
        <v>-6.7411952664603314E-3</v>
      </c>
    </row>
    <row r="1345" spans="1:4">
      <c r="A1345" s="18">
        <v>45457</v>
      </c>
      <c r="B1345" s="8">
        <v>3.1131788965698889E-4</v>
      </c>
      <c r="C1345" s="4">
        <v>277.78934227021625</v>
      </c>
      <c r="D1345" s="4">
        <v>-6.4319760314875962E-3</v>
      </c>
    </row>
    <row r="1346" spans="1:4">
      <c r="A1346" s="18">
        <v>45461</v>
      </c>
      <c r="B1346" s="8">
        <v>-3.2505786011806891E-3</v>
      </c>
      <c r="C1346" s="4">
        <v>276.88636617859663</v>
      </c>
      <c r="D1346" s="4">
        <v>-9.6616469890169476E-3</v>
      </c>
    </row>
    <row r="1347" spans="1:4">
      <c r="A1347" s="18">
        <v>45462</v>
      </c>
      <c r="B1347" s="8">
        <v>-1.2081022866478396E-2</v>
      </c>
      <c r="C1347" s="4">
        <v>273.54129565737691</v>
      </c>
      <c r="D1347" s="4">
        <v>-2.1625947277293167E-2</v>
      </c>
    </row>
    <row r="1348" spans="1:4">
      <c r="A1348" s="18">
        <v>45463</v>
      </c>
      <c r="B1348" s="8">
        <v>-1.3291484941520301E-3</v>
      </c>
      <c r="C1348" s="4">
        <v>273.1777186561655</v>
      </c>
      <c r="D1348" s="4">
        <v>-2.2926351676187062E-2</v>
      </c>
    </row>
    <row r="1349" spans="1:4">
      <c r="A1349" s="18">
        <v>45464</v>
      </c>
      <c r="B1349" s="8">
        <v>-3.8747460442140544E-3</v>
      </c>
      <c r="C1349" s="4">
        <v>272.11922437143511</v>
      </c>
      <c r="D1349" s="4">
        <v>-2.671226392993542E-2</v>
      </c>
    </row>
    <row r="1350" spans="1:4">
      <c r="A1350" s="18">
        <v>45467</v>
      </c>
      <c r="B1350" s="8">
        <v>2.0768185219175958E-3</v>
      </c>
      <c r="C1350" s="4">
        <v>272.68436661677953</v>
      </c>
      <c r="D1350" s="4">
        <v>-2.469092193250999E-2</v>
      </c>
    </row>
    <row r="1351" spans="1:4">
      <c r="A1351" s="18">
        <v>45468</v>
      </c>
      <c r="B1351" s="8">
        <v>7.3202958225661542E-3</v>
      </c>
      <c r="C1351" s="4">
        <v>274.68049684660343</v>
      </c>
      <c r="D1351" s="4">
        <v>-1.7551370962621715E-2</v>
      </c>
    </row>
    <row r="1352" spans="1:4">
      <c r="A1352" s="18">
        <v>45469</v>
      </c>
      <c r="B1352" s="8">
        <v>9.009662826295126E-3</v>
      </c>
      <c r="C1352" s="4">
        <v>277.15527550815057</v>
      </c>
      <c r="D1352" s="4">
        <v>-8.6998400708390156E-3</v>
      </c>
    </row>
    <row r="1353" spans="1:4">
      <c r="A1353" s="18">
        <v>45470</v>
      </c>
      <c r="B1353" s="8">
        <v>2.1556181435878571E-3</v>
      </c>
      <c r="C1353" s="4">
        <v>277.75271644862698</v>
      </c>
      <c r="D1353" s="4">
        <v>-6.5629754603543367E-3</v>
      </c>
    </row>
    <row r="1354" spans="1:4">
      <c r="A1354" s="18">
        <v>45471</v>
      </c>
      <c r="B1354" s="8">
        <v>-1.5402883566447787E-3</v>
      </c>
      <c r="C1354" s="4">
        <v>277.3248971734547</v>
      </c>
      <c r="D1354" s="4">
        <v>-8.0931549423125526E-3</v>
      </c>
    </row>
    <row r="1355" spans="1:4">
      <c r="A1355" s="18">
        <v>45474</v>
      </c>
      <c r="B1355" s="8">
        <v>4.2170528336106135E-3</v>
      </c>
      <c r="C1355" s="4">
        <v>278.49439091691079</v>
      </c>
      <c r="D1355" s="4">
        <v>-3.9102313706842473E-3</v>
      </c>
    </row>
    <row r="1356" spans="1:4">
      <c r="A1356" s="18">
        <v>45475</v>
      </c>
      <c r="B1356" s="8">
        <v>8.218156818784926E-3</v>
      </c>
      <c r="C1356" s="4">
        <v>280.78310149461794</v>
      </c>
      <c r="D1356" s="4">
        <v>0</v>
      </c>
    </row>
    <row r="1357" spans="1:4">
      <c r="A1357" s="18">
        <v>45476</v>
      </c>
      <c r="B1357" s="8">
        <v>1.9663715943302957E-3</v>
      </c>
      <c r="C1357" s="4">
        <v>281.33522540956494</v>
      </c>
      <c r="D1357" s="4">
        <v>0</v>
      </c>
    </row>
    <row r="1358" spans="1:4">
      <c r="A1358" s="18">
        <v>45477</v>
      </c>
      <c r="B1358" s="8">
        <v>5.4990242343908469E-4</v>
      </c>
      <c r="C1358" s="4">
        <v>281.48993233181642</v>
      </c>
      <c r="D1358" s="4">
        <v>0</v>
      </c>
    </row>
    <row r="1359" spans="1:4">
      <c r="A1359" s="18">
        <v>45478</v>
      </c>
      <c r="B1359" s="8">
        <v>4.1808849189349144E-3</v>
      </c>
      <c r="C1359" s="4">
        <v>282.66680934473453</v>
      </c>
      <c r="D1359" s="4">
        <v>0</v>
      </c>
    </row>
    <row r="1360" spans="1:4">
      <c r="A1360" s="18">
        <v>45481</v>
      </c>
      <c r="B1360" s="8">
        <v>4.664278168339425E-4</v>
      </c>
      <c r="C1360" s="4">
        <v>282.79865300750862</v>
      </c>
      <c r="D1360" s="4">
        <v>0</v>
      </c>
    </row>
    <row r="1361" spans="1:4">
      <c r="A1361" s="18">
        <v>45482</v>
      </c>
      <c r="B1361" s="8">
        <v>1.8166676171333877E-2</v>
      </c>
      <c r="C1361" s="4">
        <v>287.93616455838549</v>
      </c>
      <c r="D1361" s="4">
        <v>0</v>
      </c>
    </row>
    <row r="1362" spans="1:4">
      <c r="A1362" s="18">
        <v>45483</v>
      </c>
      <c r="B1362" s="8">
        <v>-3.7509938565468241E-3</v>
      </c>
      <c r="C1362" s="4">
        <v>286.85611777404932</v>
      </c>
      <c r="D1362" s="4">
        <v>-3.7509938565468692E-3</v>
      </c>
    </row>
    <row r="1363" spans="1:4">
      <c r="A1363" s="18">
        <v>45484</v>
      </c>
      <c r="B1363" s="8">
        <v>-2.6123056624981133E-3</v>
      </c>
      <c r="C1363" s="4">
        <v>286.10676191326593</v>
      </c>
      <c r="D1363" s="4">
        <v>-6.3535007765536111E-3</v>
      </c>
    </row>
    <row r="1364" spans="1:4">
      <c r="A1364" s="18">
        <v>45485</v>
      </c>
      <c r="B1364" s="8">
        <v>9.5078384820966085E-3</v>
      </c>
      <c r="C1364" s="4">
        <v>288.82701879417294</v>
      </c>
      <c r="D1364" s="4">
        <v>0</v>
      </c>
    </row>
    <row r="1365" spans="1:4">
      <c r="A1365" s="18">
        <v>45488</v>
      </c>
      <c r="B1365" s="8">
        <v>2.4970218742274022E-3</v>
      </c>
      <c r="C1365" s="4">
        <v>289.54822617796992</v>
      </c>
      <c r="D1365" s="4">
        <v>0</v>
      </c>
    </row>
    <row r="1366" spans="1:4">
      <c r="A1366" s="18">
        <v>45489</v>
      </c>
      <c r="B1366" s="8">
        <v>-1.7896114568600303E-3</v>
      </c>
      <c r="C1366" s="4">
        <v>289.0300473550883</v>
      </c>
      <c r="D1366" s="4">
        <v>-1.7896114568601851E-3</v>
      </c>
    </row>
    <row r="1367" spans="1:4">
      <c r="A1367" s="18">
        <v>45491</v>
      </c>
      <c r="B1367" s="8">
        <v>8.4712077227106931E-3</v>
      </c>
      <c r="C1367" s="4">
        <v>291.47848092433816</v>
      </c>
      <c r="D1367" s="4">
        <v>0</v>
      </c>
    </row>
    <row r="1368" spans="1:4">
      <c r="A1368" s="18">
        <v>45492</v>
      </c>
      <c r="B1368" s="8">
        <v>-6.7842530491194547E-3</v>
      </c>
      <c r="C1368" s="4">
        <v>289.50101715137453</v>
      </c>
      <c r="D1368" s="4">
        <v>-6.7842530491194486E-3</v>
      </c>
    </row>
    <row r="1369" spans="1:4">
      <c r="A1369" s="18">
        <v>45495</v>
      </c>
      <c r="B1369" s="8">
        <v>1.7086275782530263E-3</v>
      </c>
      <c r="C1369" s="4">
        <v>289.99566657321162</v>
      </c>
      <c r="D1369" s="4">
        <v>-5.087217232724095E-3</v>
      </c>
    </row>
    <row r="1370" spans="1:4">
      <c r="A1370" s="18">
        <v>45496</v>
      </c>
      <c r="B1370" s="8">
        <v>-1.004139787992098E-3</v>
      </c>
      <c r="C1370" s="4">
        <v>289.70447038606017</v>
      </c>
      <c r="D1370" s="4">
        <v>-6.0862487434826251E-3</v>
      </c>
    </row>
    <row r="1371" spans="1:4">
      <c r="A1371" s="18">
        <v>45497</v>
      </c>
      <c r="B1371" s="8">
        <v>-1.2720766380887023E-3</v>
      </c>
      <c r="C1371" s="4">
        <v>289.33594409733217</v>
      </c>
      <c r="D1371" s="4">
        <v>-7.3505832067313204E-3</v>
      </c>
    </row>
    <row r="1372" spans="1:4">
      <c r="A1372" s="18">
        <v>45498</v>
      </c>
      <c r="B1372" s="8">
        <v>9.7562733189850044E-3</v>
      </c>
      <c r="C1372" s="4">
        <v>292.15878464895235</v>
      </c>
      <c r="D1372" s="4">
        <v>0</v>
      </c>
    </row>
    <row r="1373" spans="1:4">
      <c r="A1373" s="18">
        <v>45499</v>
      </c>
      <c r="B1373" s="8">
        <v>1.7512232765332029E-2</v>
      </c>
      <c r="C1373" s="4">
        <v>297.27513729016135</v>
      </c>
      <c r="D1373" s="4">
        <v>0</v>
      </c>
    </row>
    <row r="1374" spans="1:4">
      <c r="A1374" s="18">
        <v>45502</v>
      </c>
      <c r="B1374" s="8">
        <v>6.0494774647320811E-3</v>
      </c>
      <c r="C1374" s="4">
        <v>299.07349653402332</v>
      </c>
      <c r="D1374" s="4">
        <v>0</v>
      </c>
    </row>
    <row r="1375" spans="1:4">
      <c r="A1375" s="18">
        <v>45503</v>
      </c>
      <c r="B1375" s="8">
        <v>-7.0164804008847749E-4</v>
      </c>
      <c r="C1375" s="4">
        <v>298.86365220133786</v>
      </c>
      <c r="D1375" s="4">
        <v>-7.0164804008832071E-4</v>
      </c>
    </row>
    <row r="1376" spans="1:4">
      <c r="A1376" s="18">
        <v>45504</v>
      </c>
      <c r="B1376" s="8">
        <v>7.0996790352586461E-3</v>
      </c>
      <c r="C1376" s="4">
        <v>300.98548820727251</v>
      </c>
      <c r="D1376" s="4">
        <v>0</v>
      </c>
    </row>
    <row r="1377" spans="1:4">
      <c r="A1377" s="18">
        <v>45505</v>
      </c>
      <c r="B1377" s="8">
        <v>2.5406753322452453E-3</v>
      </c>
      <c r="C1377" s="4">
        <v>301.75019461252452</v>
      </c>
      <c r="D1377" s="4">
        <v>0</v>
      </c>
    </row>
    <row r="1378" spans="1:4">
      <c r="A1378" s="18">
        <v>45506</v>
      </c>
      <c r="B1378" s="8">
        <v>-1.684402800965587E-2</v>
      </c>
      <c r="C1378" s="4">
        <v>296.66750588255206</v>
      </c>
      <c r="D1378" s="4">
        <v>-1.6844028009655787E-2</v>
      </c>
    </row>
    <row r="1379" spans="1:4">
      <c r="A1379" s="18">
        <v>45509</v>
      </c>
      <c r="B1379" s="8">
        <v>-2.9148837136929451E-2</v>
      </c>
      <c r="C1379" s="4">
        <v>288.01999306976245</v>
      </c>
      <c r="D1379" s="4">
        <v>-4.5501881317402071E-2</v>
      </c>
    </row>
    <row r="1380" spans="1:4">
      <c r="A1380" s="18">
        <v>45510</v>
      </c>
      <c r="B1380" s="8">
        <v>9.1043863628655314E-4</v>
      </c>
      <c r="C1380" s="4">
        <v>288.28221759947616</v>
      </c>
      <c r="D1380" s="4">
        <v>-4.4632869351890592E-2</v>
      </c>
    </row>
    <row r="1381" spans="1:4">
      <c r="A1381" s="18">
        <v>45511</v>
      </c>
      <c r="B1381" s="8">
        <v>1.5117467873554342E-2</v>
      </c>
      <c r="C1381" s="4">
        <v>292.64031476255326</v>
      </c>
      <c r="D1381" s="4">
        <v>-3.0190137446867937E-2</v>
      </c>
    </row>
    <row r="1382" spans="1:4">
      <c r="A1382" s="18">
        <v>45512</v>
      </c>
      <c r="B1382" s="8">
        <v>-9.7629166425093599E-3</v>
      </c>
      <c r="C1382" s="4">
        <v>289.78329176328873</v>
      </c>
      <c r="D1382" s="4">
        <v>-3.9658310294057642E-2</v>
      </c>
    </row>
    <row r="1383" spans="1:4">
      <c r="A1383" s="18">
        <v>45513</v>
      </c>
      <c r="B1383" s="8">
        <v>7.3356905622134084E-3</v>
      </c>
      <c r="C1383" s="4">
        <v>291.90905232176385</v>
      </c>
      <c r="D1383" s="4">
        <v>-3.2613540824381615E-2</v>
      </c>
    </row>
    <row r="1384" spans="1:4">
      <c r="A1384" s="18">
        <v>45516</v>
      </c>
      <c r="B1384" s="8">
        <v>-8.1261467900762435E-4</v>
      </c>
      <c r="C1384" s="4">
        <v>291.67184274091198</v>
      </c>
      <c r="D1384" s="4">
        <v>-3.3399653261380946E-2</v>
      </c>
    </row>
    <row r="1385" spans="1:4">
      <c r="A1385" s="18">
        <v>45517</v>
      </c>
      <c r="B1385" s="8">
        <v>-5.1388574322865747E-3</v>
      </c>
      <c r="C1385" s="4">
        <v>290.17298272405412</v>
      </c>
      <c r="D1385" s="4">
        <v>-3.836687463726951E-2</v>
      </c>
    </row>
    <row r="1386" spans="1:4">
      <c r="A1386" s="18">
        <v>45518</v>
      </c>
      <c r="B1386" s="8">
        <v>3.945459265387842E-3</v>
      </c>
      <c r="C1386" s="4">
        <v>291.31784840730796</v>
      </c>
      <c r="D1386" s="4">
        <v>-3.4572790312903279E-2</v>
      </c>
    </row>
    <row r="1387" spans="1:4">
      <c r="A1387" s="18">
        <v>45520</v>
      </c>
      <c r="B1387" s="8">
        <v>9.9547782082507197E-3</v>
      </c>
      <c r="C1387" s="4">
        <v>294.21785297630754</v>
      </c>
      <c r="D1387" s="4">
        <v>-2.496217656425781E-2</v>
      </c>
    </row>
    <row r="1388" spans="1:4">
      <c r="A1388" s="18">
        <v>45523</v>
      </c>
      <c r="B1388" s="8">
        <v>1.5183035378845034E-3</v>
      </c>
      <c r="C1388" s="4">
        <v>294.66456498339028</v>
      </c>
      <c r="D1388" s="4">
        <v>-2.3481773187363997E-2</v>
      </c>
    </row>
    <row r="1389" spans="1:4">
      <c r="A1389" s="18">
        <v>45524</v>
      </c>
      <c r="B1389" s="8">
        <v>5.089873066713213E-3</v>
      </c>
      <c r="C1389" s="4">
        <v>296.164370216414</v>
      </c>
      <c r="D1389" s="4">
        <v>-1.8511419365555781E-2</v>
      </c>
    </row>
    <row r="1390" spans="1:4">
      <c r="A1390" s="18">
        <v>45525</v>
      </c>
      <c r="B1390" s="8">
        <v>2.606437945248806E-3</v>
      </c>
      <c r="C1390" s="4">
        <v>296.93630426897681</v>
      </c>
      <c r="D1390" s="4">
        <v>-1.595323028616169E-2</v>
      </c>
    </row>
    <row r="1391" spans="1:4">
      <c r="A1391" s="18">
        <v>45526</v>
      </c>
      <c r="B1391" s="8">
        <v>-2.9098604466822682E-4</v>
      </c>
      <c r="C1391" s="4">
        <v>296.84989994827919</v>
      </c>
      <c r="D1391" s="4">
        <v>-1.6239574163449233E-2</v>
      </c>
    </row>
    <row r="1392" spans="1:4">
      <c r="A1392" s="18">
        <v>45527</v>
      </c>
      <c r="B1392" s="8">
        <v>6.57338972493869E-4</v>
      </c>
      <c r="C1392" s="4">
        <v>297.04503095649608</v>
      </c>
      <c r="D1392" s="4">
        <v>-1.5592910095949764E-2</v>
      </c>
    </row>
    <row r="1393" spans="1:4">
      <c r="A1393" s="18">
        <v>45530</v>
      </c>
      <c r="B1393" s="8">
        <v>4.3040779123545408E-3</v>
      </c>
      <c r="C1393" s="4">
        <v>298.32353591321055</v>
      </c>
      <c r="D1393" s="4">
        <v>-1.1355945283528679E-2</v>
      </c>
    </row>
    <row r="1394" spans="1:4">
      <c r="A1394" s="18">
        <v>45531</v>
      </c>
      <c r="B1394" s="8">
        <v>7.7606055170942271E-3</v>
      </c>
      <c r="C1394" s="4">
        <v>300.63870719189765</v>
      </c>
      <c r="D1394" s="4">
        <v>-3.6834687780537001E-3</v>
      </c>
    </row>
    <row r="1395" spans="1:4">
      <c r="A1395" s="18">
        <v>45532</v>
      </c>
      <c r="B1395" s="8">
        <v>1.4782037213288202E-4</v>
      </c>
      <c r="C1395" s="4">
        <v>300.68314771747225</v>
      </c>
      <c r="D1395" s="4">
        <v>-3.5361928976465062E-3</v>
      </c>
    </row>
    <row r="1396" spans="1:4">
      <c r="A1396" s="18">
        <v>45533</v>
      </c>
      <c r="B1396" s="8">
        <v>3.3224746991874572E-3</v>
      </c>
      <c r="C1396" s="4">
        <v>301.68215986823566</v>
      </c>
      <c r="D1396" s="4">
        <v>-2.2546710989279628E-4</v>
      </c>
    </row>
    <row r="1397" spans="1:4">
      <c r="A1397" s="18">
        <v>45534</v>
      </c>
      <c r="B1397" s="8">
        <v>1.9432543995049774E-3</v>
      </c>
      <c r="C1397" s="4">
        <v>302.26840505265181</v>
      </c>
      <c r="D1397" s="4">
        <v>0</v>
      </c>
    </row>
    <row r="1398" spans="1:4">
      <c r="A1398" s="18">
        <v>45537</v>
      </c>
      <c r="B1398" s="8">
        <v>5.0628013609001449E-4</v>
      </c>
      <c r="C1398" s="4">
        <v>302.4214375418976</v>
      </c>
      <c r="D1398" s="4">
        <v>0</v>
      </c>
    </row>
    <row r="1399" spans="1:4">
      <c r="A1399" s="18">
        <v>45538</v>
      </c>
      <c r="B1399" s="8">
        <v>-1.8686089281847859E-3</v>
      </c>
      <c r="C1399" s="4">
        <v>301.85633014363236</v>
      </c>
      <c r="D1399" s="4">
        <v>-1.8686089281847451E-3</v>
      </c>
    </row>
    <row r="1400" spans="1:4">
      <c r="A1400" s="18">
        <v>45539</v>
      </c>
      <c r="B1400" s="8">
        <v>-2.583294340001643E-3</v>
      </c>
      <c r="C1400" s="4">
        <v>301.07654639447867</v>
      </c>
      <c r="D1400" s="4">
        <v>-4.4470761013184479E-3</v>
      </c>
    </row>
    <row r="1401" spans="1:4">
      <c r="A1401" s="18">
        <v>45540</v>
      </c>
      <c r="B1401" s="8">
        <v>-2.9929553823577751E-3</v>
      </c>
      <c r="C1401" s="4">
        <v>300.1754377244456</v>
      </c>
      <c r="D1401" s="4">
        <v>-7.426721583323026E-3</v>
      </c>
    </row>
    <row r="1402" spans="1:4">
      <c r="A1402" s="18">
        <v>45541</v>
      </c>
      <c r="B1402" s="8">
        <v>-1.0710240847602933E-2</v>
      </c>
      <c r="C1402" s="4">
        <v>296.96048648988216</v>
      </c>
      <c r="D1402" s="4">
        <v>-1.8057420454060558E-2</v>
      </c>
    </row>
    <row r="1403" spans="1:4">
      <c r="A1403" s="18">
        <v>45544</v>
      </c>
      <c r="B1403" s="8">
        <v>7.6793704152113961E-4</v>
      </c>
      <c r="C1403" s="4">
        <v>297.18853344732588</v>
      </c>
      <c r="D1403" s="4">
        <v>-1.7303350374580306E-2</v>
      </c>
    </row>
    <row r="1404" spans="1:4">
      <c r="A1404" s="18">
        <v>45545</v>
      </c>
      <c r="B1404" s="8">
        <v>6.4009933474392785E-3</v>
      </c>
      <c r="C1404" s="4">
        <v>299.09083527285748</v>
      </c>
      <c r="D1404" s="4">
        <v>-1.1013115657777073E-2</v>
      </c>
    </row>
    <row r="1405" spans="1:4">
      <c r="A1405" s="18">
        <v>45546</v>
      </c>
      <c r="B1405" s="8">
        <v>-4.4978957347085267E-3</v>
      </c>
      <c r="C1405" s="4">
        <v>297.74555588059332</v>
      </c>
      <c r="D1405" s="4">
        <v>-1.5461475546542536E-2</v>
      </c>
    </row>
    <row r="1406" spans="1:4">
      <c r="A1406" s="18">
        <v>45547</v>
      </c>
      <c r="B1406" s="8">
        <v>1.5745184277103419E-2</v>
      </c>
      <c r="C1406" s="4">
        <v>302.43361452562186</v>
      </c>
      <c r="D1406" s="4">
        <v>0</v>
      </c>
    </row>
    <row r="1407" spans="1:4">
      <c r="A1407" s="18">
        <v>45548</v>
      </c>
      <c r="B1407" s="8">
        <v>-4.4955876473155272E-3</v>
      </c>
      <c r="C1407" s="4">
        <v>301.07399770402748</v>
      </c>
      <c r="D1407" s="4">
        <v>-4.4955876473156131E-3</v>
      </c>
    </row>
    <row r="1408" spans="1:4">
      <c r="A1408" s="18">
        <v>45551</v>
      </c>
      <c r="B1408" s="8">
        <v>2.7583748386755293E-3</v>
      </c>
      <c r="C1408" s="4">
        <v>301.9044726438737</v>
      </c>
      <c r="D1408" s="4">
        <v>-1.749613324491528E-3</v>
      </c>
    </row>
    <row r="1409" spans="1:4">
      <c r="A1409" s="18">
        <v>45552</v>
      </c>
      <c r="B1409" s="8">
        <v>7.344056693339273E-4</v>
      </c>
      <c r="C1409" s="4">
        <v>302.12619300018065</v>
      </c>
      <c r="D1409" s="4">
        <v>-1.0164925811021464E-3</v>
      </c>
    </row>
    <row r="1410" spans="1:4">
      <c r="A1410" s="18">
        <v>45553</v>
      </c>
      <c r="B1410" s="8">
        <v>-6.6175722391720402E-3</v>
      </c>
      <c r="C1410" s="4">
        <v>300.1268510926559</v>
      </c>
      <c r="D1410" s="4">
        <v>-7.6273381071882973E-3</v>
      </c>
    </row>
    <row r="1411" spans="1:4">
      <c r="A1411" s="18">
        <v>45554</v>
      </c>
      <c r="B1411" s="8">
        <v>1.0772640687342224E-3</v>
      </c>
      <c r="C1411" s="4">
        <v>300.45016696540034</v>
      </c>
      <c r="D1411" s="4">
        <v>-6.5582906957371012E-3</v>
      </c>
    </row>
    <row r="1412" spans="1:4">
      <c r="A1412" s="18">
        <v>45555</v>
      </c>
      <c r="B1412" s="8">
        <v>1.5770936658353902E-2</v>
      </c>
      <c r="C1412" s="4">
        <v>305.18854751760352</v>
      </c>
      <c r="D1412" s="4">
        <v>0</v>
      </c>
    </row>
    <row r="1413" spans="1:4">
      <c r="A1413" s="18">
        <v>45558</v>
      </c>
      <c r="B1413" s="8">
        <v>1.5858462273888308E-3</v>
      </c>
      <c r="C1413" s="4">
        <v>305.67252962432656</v>
      </c>
      <c r="D1413" s="4">
        <v>0</v>
      </c>
    </row>
    <row r="1414" spans="1:4">
      <c r="A1414" s="18">
        <v>45559</v>
      </c>
      <c r="B1414" s="8">
        <v>1.3760637672089648E-3</v>
      </c>
      <c r="C1414" s="4">
        <v>306.0931545169737</v>
      </c>
      <c r="D1414" s="4">
        <v>0</v>
      </c>
    </row>
    <row r="1415" spans="1:4">
      <c r="A1415" s="18">
        <v>45560</v>
      </c>
      <c r="B1415" s="8">
        <v>2.1810442281790937E-3</v>
      </c>
      <c r="C1415" s="4">
        <v>306.76075722491805</v>
      </c>
      <c r="D1415" s="4">
        <v>0</v>
      </c>
    </row>
    <row r="1416" spans="1:4">
      <c r="A1416" s="18">
        <v>45561</v>
      </c>
      <c r="B1416" s="8">
        <v>1.1646980661537165E-2</v>
      </c>
      <c r="C1416" s="4">
        <v>310.33359383203515</v>
      </c>
      <c r="D1416" s="4">
        <v>0</v>
      </c>
    </row>
    <row r="1417" spans="1:4">
      <c r="A1417" s="18">
        <v>45562</v>
      </c>
      <c r="B1417" s="8">
        <v>4.3894662432513495E-3</v>
      </c>
      <c r="C1417" s="4">
        <v>311.69579266630774</v>
      </c>
      <c r="D1417" s="4">
        <v>0</v>
      </c>
    </row>
    <row r="1418" spans="1:4">
      <c r="A1418" s="18">
        <v>45565</v>
      </c>
      <c r="B1418" s="8">
        <v>-1.4954703418616638E-2</v>
      </c>
      <c r="C1418" s="4">
        <v>307.03447453015252</v>
      </c>
      <c r="D1418" s="4">
        <v>-1.4954703418616488E-2</v>
      </c>
    </row>
    <row r="1419" spans="1:4">
      <c r="A1419" s="18">
        <v>45566</v>
      </c>
      <c r="B1419" s="8">
        <v>-2.6482778970811777E-3</v>
      </c>
      <c r="C1419" s="4">
        <v>306.2213619176124</v>
      </c>
      <c r="D1419" s="4">
        <v>-1.7563377105176747E-2</v>
      </c>
    </row>
    <row r="1420" spans="1:4">
      <c r="A1420" s="18">
        <v>45568</v>
      </c>
      <c r="B1420" s="8">
        <v>-2.5882054137312482E-2</v>
      </c>
      <c r="C1420" s="4">
        <v>298.29572405045917</v>
      </c>
      <c r="D1420" s="4">
        <v>-4.2990854965419101E-2</v>
      </c>
    </row>
    <row r="1421" spans="1:4">
      <c r="A1421" s="18">
        <v>45569</v>
      </c>
      <c r="B1421" s="8">
        <v>-3.8239903152641492E-3</v>
      </c>
      <c r="C1421" s="4">
        <v>297.15504409060549</v>
      </c>
      <c r="D1421" s="4">
        <v>-4.6650448667650557E-2</v>
      </c>
    </row>
    <row r="1422" spans="1:4">
      <c r="A1422" s="18">
        <v>45572</v>
      </c>
      <c r="B1422" s="8">
        <v>-4.0237201402797572E-3</v>
      </c>
      <c r="C1422" s="4">
        <v>295.95937535491242</v>
      </c>
      <c r="D1422" s="4">
        <v>-5.0486460458073146E-2</v>
      </c>
    </row>
    <row r="1423" spans="1:4">
      <c r="A1423" s="18">
        <v>45573</v>
      </c>
      <c r="B1423" s="8">
        <v>8.5014692684799442E-3</v>
      </c>
      <c r="C1423" s="4">
        <v>298.47546488921074</v>
      </c>
      <c r="D1423" s="4">
        <v>-4.241420028165177E-2</v>
      </c>
    </row>
    <row r="1424" spans="1:4">
      <c r="A1424" s="18">
        <v>45574</v>
      </c>
      <c r="B1424" s="8">
        <v>-3.2767298399276282E-3</v>
      </c>
      <c r="C1424" s="4">
        <v>297.49744142692197</v>
      </c>
      <c r="D1424" s="4">
        <v>-4.5551950245879991E-2</v>
      </c>
    </row>
    <row r="1425" spans="1:4">
      <c r="A1425" s="18">
        <v>45575</v>
      </c>
      <c r="B1425" s="8">
        <v>-3.0150298709606211E-3</v>
      </c>
      <c r="C1425" s="4">
        <v>296.60047775448544</v>
      </c>
      <c r="D1425" s="4">
        <v>-4.8429639626168752E-2</v>
      </c>
    </row>
    <row r="1426" spans="1:4">
      <c r="A1426" s="18">
        <v>45576</v>
      </c>
      <c r="B1426" s="8">
        <v>-2.0933713381363498E-3</v>
      </c>
      <c r="C1426" s="4">
        <v>295.97958281547665</v>
      </c>
      <c r="D1426" s="4">
        <v>-5.0421629744795471E-2</v>
      </c>
    </row>
    <row r="1427" spans="1:4">
      <c r="A1427" s="18">
        <v>45579</v>
      </c>
      <c r="B1427" s="8">
        <v>5.0704411881269109E-3</v>
      </c>
      <c r="C1427" s="4">
        <v>297.48032988302884</v>
      </c>
      <c r="D1427" s="4">
        <v>-4.5606848464899041E-2</v>
      </c>
    </row>
    <row r="1428" spans="1:4">
      <c r="A1428" s="18">
        <v>45580</v>
      </c>
      <c r="B1428" s="8">
        <v>-5.4329131677130502E-3</v>
      </c>
      <c r="C1428" s="4">
        <v>295.86414508167172</v>
      </c>
      <c r="D1428" s="4">
        <v>-5.0791983585049216E-2</v>
      </c>
    </row>
    <row r="1429" spans="1:4">
      <c r="A1429" s="18">
        <v>45581</v>
      </c>
      <c r="B1429" s="8">
        <v>-3.4629709798553632E-3</v>
      </c>
      <c r="C1429" s="4">
        <v>294.83957613327419</v>
      </c>
      <c r="D1429" s="4">
        <v>-5.4079063399740224E-2</v>
      </c>
    </row>
    <row r="1430" spans="1:4">
      <c r="A1430" s="18">
        <v>45582</v>
      </c>
      <c r="B1430" s="8">
        <v>-1.6305054959641981E-3</v>
      </c>
      <c r="C1430" s="4">
        <v>294.35883858396113</v>
      </c>
      <c r="D1430" s="4">
        <v>-5.5621392685614612E-2</v>
      </c>
    </row>
    <row r="1431" spans="1:4">
      <c r="A1431" s="18">
        <v>45583</v>
      </c>
      <c r="B1431" s="8">
        <v>-1.5618036405502444E-3</v>
      </c>
      <c r="C1431" s="4">
        <v>293.89910787823254</v>
      </c>
      <c r="D1431" s="4">
        <v>-5.7096326632576022E-2</v>
      </c>
    </row>
    <row r="1432" spans="1:4">
      <c r="A1432" s="18">
        <v>45586</v>
      </c>
      <c r="B1432" s="8">
        <v>8.5820123303722445E-4</v>
      </c>
      <c r="C1432" s="4">
        <v>294.15133245500215</v>
      </c>
      <c r="D1432" s="4">
        <v>-5.628712553745685E-2</v>
      </c>
    </row>
    <row r="1433" spans="1:4">
      <c r="A1433" s="18">
        <v>45587</v>
      </c>
      <c r="B1433" s="8">
        <v>-1.3602657229308136E-2</v>
      </c>
      <c r="C1433" s="4">
        <v>290.15009270607248</v>
      </c>
      <c r="D1433" s="4">
        <v>-6.9124128291655929E-2</v>
      </c>
    </row>
    <row r="1434" spans="1:4">
      <c r="A1434" s="18">
        <v>45588</v>
      </c>
      <c r="B1434" s="8">
        <v>-4.1651613417734747E-3</v>
      </c>
      <c r="C1434" s="4">
        <v>288.94157075662116</v>
      </c>
      <c r="D1434" s="4">
        <v>-7.3001376486485192E-2</v>
      </c>
    </row>
    <row r="1435" spans="1:4">
      <c r="A1435" s="18">
        <v>45589</v>
      </c>
      <c r="B1435" s="8">
        <v>-4.7163098744228277E-3</v>
      </c>
      <c r="C1435" s="4">
        <v>287.57883277333048</v>
      </c>
      <c r="D1435" s="4">
        <v>-7.7373389248138413E-2</v>
      </c>
    </row>
    <row r="1436" spans="1:4">
      <c r="A1436" s="18">
        <v>45590</v>
      </c>
      <c r="B1436" s="8">
        <v>-9.3955899812633945E-3</v>
      </c>
      <c r="C1436" s="4">
        <v>284.87685997330192</v>
      </c>
      <c r="D1436" s="4">
        <v>-8.6042010588565643E-2</v>
      </c>
    </row>
    <row r="1437" spans="1:4">
      <c r="A1437" s="18">
        <v>45593</v>
      </c>
      <c r="B1437" s="8">
        <v>5.3901544869924857E-3</v>
      </c>
      <c r="C1437" s="4">
        <v>286.41239025832738</v>
      </c>
      <c r="D1437" s="4">
        <v>-8.1115635831016886E-2</v>
      </c>
    </row>
    <row r="1438" spans="1:4">
      <c r="A1438" s="18">
        <v>45594</v>
      </c>
      <c r="B1438" s="8">
        <v>-6.1334937183103282E-3</v>
      </c>
      <c r="C1438" s="4">
        <v>284.65568166183169</v>
      </c>
      <c r="D1438" s="4">
        <v>-8.6751607306500889E-2</v>
      </c>
    </row>
    <row r="1439" spans="1:4">
      <c r="A1439" s="18">
        <v>45595</v>
      </c>
      <c r="B1439" s="8">
        <v>2.4757826338581675E-3</v>
      </c>
      <c r="C1439" s="4">
        <v>285.36042725511913</v>
      </c>
      <c r="D1439" s="4">
        <v>-8.4490602795471381E-2</v>
      </c>
    </row>
    <row r="1440" spans="1:4">
      <c r="A1440" s="18">
        <v>45596</v>
      </c>
      <c r="B1440" s="8">
        <v>2.8464932141906412E-3</v>
      </c>
      <c r="C1440" s="4">
        <v>286.17270377489939</v>
      </c>
      <c r="D1440" s="4">
        <v>-8.1884611508800886E-2</v>
      </c>
    </row>
    <row r="1441" spans="1:4">
      <c r="A1441" s="18">
        <v>45597</v>
      </c>
      <c r="B1441" s="8">
        <v>3.0618560000067983E-3</v>
      </c>
      <c r="C1441" s="4">
        <v>287.04892338499076</v>
      </c>
      <c r="D1441" s="4">
        <v>-7.9073474397850396E-2</v>
      </c>
    </row>
    <row r="1442" spans="1:4">
      <c r="A1442" s="18">
        <v>45600</v>
      </c>
      <c r="B1442" s="8">
        <v>-1.3586688405575958E-2</v>
      </c>
      <c r="C1442" s="4">
        <v>283.14887910580285</v>
      </c>
      <c r="D1442" s="4">
        <v>-9.1585816145636434E-2</v>
      </c>
    </row>
    <row r="1443" spans="1:4">
      <c r="A1443" s="18">
        <v>45601</v>
      </c>
      <c r="B1443" s="8">
        <v>2.7990059497946577E-3</v>
      </c>
      <c r="C1443" s="4">
        <v>283.94141450309769</v>
      </c>
      <c r="D1443" s="4">
        <v>-8.9043159440150177E-2</v>
      </c>
    </row>
    <row r="1444" spans="1:4">
      <c r="A1444" s="18">
        <v>45602</v>
      </c>
      <c r="B1444" s="8">
        <v>1.8171424580840274E-2</v>
      </c>
      <c r="C1444" s="4">
        <v>289.10103450211784</v>
      </c>
      <c r="D1444" s="4">
        <v>-7.2489775915516419E-2</v>
      </c>
    </row>
    <row r="1445" spans="1:4">
      <c r="A1445" s="18">
        <v>45603</v>
      </c>
      <c r="B1445" s="8">
        <v>-7.4171093102137408E-3</v>
      </c>
      <c r="C1445" s="4">
        <v>286.95674052751974</v>
      </c>
      <c r="D1445" s="4">
        <v>-7.9369220633891846E-2</v>
      </c>
    </row>
    <row r="1446" spans="1:4">
      <c r="A1446" s="18">
        <v>45604</v>
      </c>
      <c r="B1446" s="8">
        <v>1.7729109760293979E-3</v>
      </c>
      <c r="C1446" s="4">
        <v>287.46548928244658</v>
      </c>
      <c r="D1446" s="4">
        <v>-7.773702422028328E-2</v>
      </c>
    </row>
    <row r="1447" spans="1:4">
      <c r="A1447" s="18">
        <v>45607</v>
      </c>
      <c r="B1447" s="8">
        <v>4.2381809070660831E-4</v>
      </c>
      <c r="C1447" s="4">
        <v>287.5873223572583</v>
      </c>
      <c r="D1447" s="4">
        <v>-7.7346152486758912E-2</v>
      </c>
    </row>
    <row r="1448" spans="1:4">
      <c r="A1448" s="18">
        <v>45608</v>
      </c>
      <c r="B1448" s="8">
        <v>-8.1040913108851968E-3</v>
      </c>
      <c r="C1448" s="4">
        <v>285.25668843702209</v>
      </c>
      <c r="D1448" s="4">
        <v>-8.4823423515345886E-2</v>
      </c>
    </row>
    <row r="1449" spans="1:4">
      <c r="A1449" s="18">
        <v>45609</v>
      </c>
      <c r="B1449" s="8">
        <v>-1.0769464282954659E-2</v>
      </c>
      <c r="C1449" s="4">
        <v>282.18462671942564</v>
      </c>
      <c r="D1449" s="4">
        <v>-9.467938496839412E-2</v>
      </c>
    </row>
    <row r="1450" spans="1:4">
      <c r="A1450" s="18">
        <v>45610</v>
      </c>
      <c r="B1450" s="8">
        <v>-2.1779355773603876E-3</v>
      </c>
      <c r="C1450" s="4">
        <v>281.57004678150923</v>
      </c>
      <c r="D1450" s="4">
        <v>-9.6651114944789285E-2</v>
      </c>
    </row>
    <row r="1451" spans="1:4">
      <c r="A1451" s="18">
        <v>45614</v>
      </c>
      <c r="B1451" s="8">
        <v>-4.4318678287904841E-3</v>
      </c>
      <c r="C1451" s="4">
        <v>280.32216554962724</v>
      </c>
      <c r="D1451" s="4">
        <v>-0.10065463780663919</v>
      </c>
    </row>
    <row r="1452" spans="1:4">
      <c r="A1452" s="18">
        <v>45615</v>
      </c>
      <c r="B1452" s="8">
        <v>-9.3451967319967523E-4</v>
      </c>
      <c r="C1452" s="4">
        <v>280.06019897108717</v>
      </c>
      <c r="D1452" s="4">
        <v>-0.10149509374060972</v>
      </c>
    </row>
    <row r="1453" spans="1:4">
      <c r="A1453" s="18">
        <v>45617</v>
      </c>
      <c r="B1453" s="8">
        <v>-5.3861856675315638E-3</v>
      </c>
      <c r="C1453" s="4">
        <v>278.55174274134305</v>
      </c>
      <c r="D1453" s="4">
        <v>-0.10633460798891092</v>
      </c>
    </row>
    <row r="1454" spans="1:4">
      <c r="A1454" s="18">
        <v>45618</v>
      </c>
      <c r="B1454" s="8">
        <v>2.6355841284609764E-2</v>
      </c>
      <c r="C1454" s="4">
        <v>285.89320826258529</v>
      </c>
      <c r="D1454" s="4">
        <v>-8.2781304755518259E-2</v>
      </c>
    </row>
    <row r="1455" spans="1:4">
      <c r="A1455" s="18">
        <v>45621</v>
      </c>
      <c r="B1455" s="8">
        <v>1.2953534658131814E-2</v>
      </c>
      <c r="C1455" s="4">
        <v>289.59653584433914</v>
      </c>
      <c r="D1455" s="4">
        <v>-7.0900080597582571E-2</v>
      </c>
    </row>
    <row r="1456" spans="1:4">
      <c r="A1456" s="18">
        <v>45622</v>
      </c>
      <c r="B1456" s="8">
        <v>-3.9994592103752592E-3</v>
      </c>
      <c r="C1456" s="4">
        <v>288.43830631176371</v>
      </c>
      <c r="D1456" s="4">
        <v>-7.4615977827595548E-2</v>
      </c>
    </row>
    <row r="1457" spans="1:4">
      <c r="A1457" s="18">
        <v>45623</v>
      </c>
      <c r="B1457" s="8">
        <v>1.2510922117879018E-3</v>
      </c>
      <c r="C1457" s="4">
        <v>288.79916923037166</v>
      </c>
      <c r="D1457" s="4">
        <v>-7.3458237084542577E-2</v>
      </c>
    </row>
    <row r="1458" spans="1:4">
      <c r="A1458" s="18">
        <v>45624</v>
      </c>
      <c r="B1458" s="8">
        <v>-1.3072157974406792E-2</v>
      </c>
      <c r="C1458" s="4">
        <v>285.02394086731482</v>
      </c>
      <c r="D1458" s="4">
        <v>-8.5570137379258782E-2</v>
      </c>
    </row>
    <row r="1459" spans="1:4">
      <c r="A1459" s="18">
        <v>45625</v>
      </c>
      <c r="B1459" s="8">
        <v>1.2603010081487448E-2</v>
      </c>
      <c r="C1459" s="4">
        <v>288.61610046753083</v>
      </c>
      <c r="D1459" s="4">
        <v>-7.4045568601836531E-2</v>
      </c>
    </row>
    <row r="1460" spans="1:4">
      <c r="A1460" s="18">
        <v>45628</v>
      </c>
      <c r="B1460" s="8">
        <v>7.3698135773019582E-3</v>
      </c>
      <c r="C1460" s="4">
        <v>290.74314732338439</v>
      </c>
      <c r="D1460" s="4">
        <v>-6.7221457061355405E-2</v>
      </c>
    </row>
    <row r="1461" spans="1:4">
      <c r="A1461" s="18">
        <v>45629</v>
      </c>
      <c r="B1461" s="8">
        <v>6.9378038911198847E-3</v>
      </c>
      <c r="C1461" s="4">
        <v>292.76026626220101</v>
      </c>
      <c r="D1461" s="4">
        <v>-6.0750022456602548E-2</v>
      </c>
    </row>
    <row r="1462" spans="1:4">
      <c r="A1462" s="18">
        <v>45630</v>
      </c>
      <c r="B1462" s="8">
        <v>-2.4563557049934832E-3</v>
      </c>
      <c r="C1462" s="4">
        <v>292.04114291197243</v>
      </c>
      <c r="D1462" s="4">
        <v>-6.3057154497356271E-2</v>
      </c>
    </row>
    <row r="1463" spans="1:4">
      <c r="A1463" s="18">
        <v>45631</v>
      </c>
      <c r="B1463" s="8">
        <v>1.0017181527926518E-2</v>
      </c>
      <c r="C1463" s="4">
        <v>294.96657205414476</v>
      </c>
      <c r="D1463" s="4">
        <v>-5.3671627932664445E-2</v>
      </c>
    </row>
    <row r="1464" spans="1:4">
      <c r="A1464" s="18">
        <v>45632</v>
      </c>
      <c r="B1464" s="8">
        <v>1.7875888585433463E-3</v>
      </c>
      <c r="C1464" s="4">
        <v>295.49385101199147</v>
      </c>
      <c r="D1464" s="4">
        <v>-5.1979981878233383E-2</v>
      </c>
    </row>
    <row r="1465" spans="1:4">
      <c r="A1465" s="18">
        <v>45635</v>
      </c>
      <c r="B1465" s="8">
        <v>1.6631657131125285E-3</v>
      </c>
      <c r="C1465" s="4">
        <v>295.98530625343017</v>
      </c>
      <c r="D1465" s="4">
        <v>-5.0403267488749015E-2</v>
      </c>
    </row>
    <row r="1466" spans="1:4">
      <c r="A1466" s="18">
        <v>45636</v>
      </c>
      <c r="B1466" s="8">
        <v>-2.6235858948576076E-3</v>
      </c>
      <c r="C1466" s="4">
        <v>295.20876337885858</v>
      </c>
      <c r="D1466" s="4">
        <v>-5.2894616081968326E-2</v>
      </c>
    </row>
    <row r="1467" spans="1:4">
      <c r="A1467" s="18">
        <v>45637</v>
      </c>
      <c r="B1467" s="8">
        <v>1.5174104357888337E-3</v>
      </c>
      <c r="C1467" s="4">
        <v>295.65671623714599</v>
      </c>
      <c r="D1467" s="4">
        <v>-5.1457468488619318E-2</v>
      </c>
    </row>
    <row r="1468" spans="1:4">
      <c r="A1468" s="18">
        <v>45638</v>
      </c>
      <c r="B1468" s="8">
        <v>-6.8883716120965478E-3</v>
      </c>
      <c r="C1468" s="4">
        <v>293.62012290609232</v>
      </c>
      <c r="D1468" s="4">
        <v>-5.7991381935548647E-2</v>
      </c>
    </row>
    <row r="1469" spans="1:4">
      <c r="A1469" s="18">
        <v>45639</v>
      </c>
      <c r="B1469" s="8">
        <v>8.0047285888198479E-3</v>
      </c>
      <c r="C1469" s="4">
        <v>295.9704722981715</v>
      </c>
      <c r="D1469" s="4">
        <v>-5.0450858619613403E-2</v>
      </c>
    </row>
    <row r="1470" spans="1:4">
      <c r="A1470" s="18">
        <v>45642</v>
      </c>
      <c r="B1470" s="8">
        <v>-3.3721775670057484E-3</v>
      </c>
      <c r="C1470" s="4">
        <v>294.97240731099151</v>
      </c>
      <c r="D1470" s="4">
        <v>-5.3652906932945998E-2</v>
      </c>
    </row>
    <row r="1471" spans="1:4">
      <c r="A1471" s="18">
        <v>45643</v>
      </c>
      <c r="B1471" s="8">
        <v>-1.3773411500765219E-2</v>
      </c>
      <c r="C1471" s="4">
        <v>290.90963096372593</v>
      </c>
      <c r="D1471" s="4">
        <v>-6.6687334868311354E-2</v>
      </c>
    </row>
    <row r="1472" spans="1:4">
      <c r="A1472" s="18">
        <v>45644</v>
      </c>
      <c r="B1472" s="8">
        <v>-2.8118298209271466E-3</v>
      </c>
      <c r="C1472" s="4">
        <v>290.09164258818726</v>
      </c>
      <c r="D1472" s="4">
        <v>-6.9311651252377482E-2</v>
      </c>
    </row>
    <row r="1473" spans="1:4">
      <c r="A1473" s="18">
        <v>45645</v>
      </c>
      <c r="B1473" s="8">
        <v>-7.8308322672916916E-3</v>
      </c>
      <c r="C1473" s="4">
        <v>287.81998359293607</v>
      </c>
      <c r="D1473" s="4">
        <v>-7.6599715604542706E-2</v>
      </c>
    </row>
    <row r="1474" spans="1:4">
      <c r="A1474" s="18">
        <v>45646</v>
      </c>
      <c r="B1474" s="8">
        <v>-1.3733165810354889E-2</v>
      </c>
      <c r="C1474" s="4">
        <v>283.86730403472063</v>
      </c>
      <c r="D1474" s="4">
        <v>-8.9280924819474361E-2</v>
      </c>
    </row>
    <row r="1475" spans="1:4">
      <c r="A1475" s="18">
        <v>45649</v>
      </c>
      <c r="B1475" s="8">
        <v>4.2503065432848257E-3</v>
      </c>
      <c r="C1475" s="4">
        <v>285.07382709448405</v>
      </c>
      <c r="D1475" s="4">
        <v>-8.5410089575140291E-2</v>
      </c>
    </row>
    <row r="1476" spans="1:4">
      <c r="A1476" s="18">
        <v>45650</v>
      </c>
      <c r="B1476" s="8">
        <v>-7.6372860456722666E-4</v>
      </c>
      <c r="C1476" s="4">
        <v>284.85610805831857</v>
      </c>
      <c r="D1476" s="4">
        <v>-8.6108588051180157E-2</v>
      </c>
    </row>
    <row r="1477" spans="1:4">
      <c r="A1477" s="18">
        <v>45652</v>
      </c>
      <c r="B1477" s="8">
        <v>2.6805848156471477E-3</v>
      </c>
      <c r="C1477" s="4">
        <v>285.61968901622407</v>
      </c>
      <c r="D1477" s="4">
        <v>-8.3658824609159743E-2</v>
      </c>
    </row>
    <row r="1478" spans="1:4">
      <c r="A1478" s="18">
        <v>45653</v>
      </c>
      <c r="B1478" s="8">
        <v>2.6717606109674377E-3</v>
      </c>
      <c r="C1478" s="4">
        <v>286.38279645105439</v>
      </c>
      <c r="D1478" s="4">
        <v>-8.121058035054296E-2</v>
      </c>
    </row>
    <row r="1479" spans="1:4">
      <c r="A1479" s="18">
        <v>45656</v>
      </c>
      <c r="B1479" s="8">
        <v>-5.0843936656210066E-3</v>
      </c>
      <c r="C1479" s="4">
        <v>284.92671357483584</v>
      </c>
      <c r="D1479" s="4">
        <v>-8.5882067455848143E-2</v>
      </c>
    </row>
    <row r="1480" spans="1:4">
      <c r="A1480" s="18">
        <v>45657</v>
      </c>
      <c r="B1480" s="8">
        <v>1.792490096009516E-3</v>
      </c>
      <c r="C1480" s="4">
        <v>285.43744188700731</v>
      </c>
      <c r="D1480" s="4">
        <v>-8.4243520115177994E-2</v>
      </c>
    </row>
    <row r="1481" spans="1:4">
      <c r="A1481" s="18">
        <v>45658</v>
      </c>
      <c r="B1481" s="8">
        <v>1.1384307929221857E-2</v>
      </c>
      <c r="C1481" s="4">
        <v>288.68694961997841</v>
      </c>
      <c r="D1481" s="4">
        <v>-7.3818266359988782E-2</v>
      </c>
    </row>
    <row r="1482" spans="1:4">
      <c r="A1482" s="18">
        <v>45659</v>
      </c>
      <c r="B1482" s="8">
        <v>2.0722087790691096E-2</v>
      </c>
      <c r="C1482" s="4">
        <v>294.66914593403038</v>
      </c>
      <c r="D1482" s="4">
        <v>-5.4625847165366115E-2</v>
      </c>
    </row>
    <row r="1483" spans="1:4">
      <c r="A1483" s="18">
        <v>45660</v>
      </c>
      <c r="B1483" s="8">
        <v>-8.177138394357502E-3</v>
      </c>
      <c r="C1483" s="4">
        <v>292.25959554718071</v>
      </c>
      <c r="D1483" s="4">
        <v>-6.235630244754331E-2</v>
      </c>
    </row>
    <row r="1484" spans="1:4">
      <c r="A1484" s="18">
        <v>45663</v>
      </c>
      <c r="B1484" s="8">
        <v>-1.5110889631035072E-2</v>
      </c>
      <c r="C1484" s="4">
        <v>287.84329305525631</v>
      </c>
      <c r="D1484" s="4">
        <v>-7.6524932874494134E-2</v>
      </c>
    </row>
    <row r="1485" spans="1:4">
      <c r="A1485" s="18">
        <v>45664</v>
      </c>
      <c r="B1485" s="8">
        <v>2.6006751634162564E-3</v>
      </c>
      <c r="C1485" s="4">
        <v>288.59187995846105</v>
      </c>
      <c r="D1485" s="4">
        <v>-7.4123274203386713E-2</v>
      </c>
    </row>
    <row r="1486" spans="1:4">
      <c r="A1486" s="18">
        <v>45665</v>
      </c>
      <c r="B1486" s="8">
        <v>3.0048501823167519E-3</v>
      </c>
      <c r="C1486" s="4">
        <v>289.45905532156939</v>
      </c>
      <c r="D1486" s="4">
        <v>-7.1341153355073739E-2</v>
      </c>
    </row>
    <row r="1487" spans="1:4">
      <c r="A1487" s="18">
        <v>45666</v>
      </c>
      <c r="B1487" s="8">
        <v>-1.0344976532163245E-2</v>
      </c>
      <c r="C1487" s="4">
        <v>286.46460818724563</v>
      </c>
      <c r="D1487" s="4">
        <v>-8.094810733000124E-2</v>
      </c>
    </row>
    <row r="1488" spans="1:4">
      <c r="A1488" s="18">
        <v>45667</v>
      </c>
      <c r="B1488" s="8">
        <v>-4.2194298450390821E-4</v>
      </c>
      <c r="C1488" s="4">
        <v>286.34373645551233</v>
      </c>
      <c r="D1488" s="4">
        <v>-8.1335894828508559E-2</v>
      </c>
    </row>
    <row r="1489" spans="1:4">
      <c r="A1489" s="18">
        <v>45670</v>
      </c>
      <c r="B1489" s="8">
        <v>-1.1588586431986656E-2</v>
      </c>
      <c r="C1489" s="4">
        <v>283.0254173163396</v>
      </c>
      <c r="D1489" s="4">
        <v>-9.1981913213252109E-2</v>
      </c>
    </row>
    <row r="1490" spans="1:4">
      <c r="A1490" s="18">
        <v>45671</v>
      </c>
      <c r="B1490" s="8">
        <v>4.0806845817304514E-3</v>
      </c>
      <c r="C1490" s="4">
        <v>284.18035477302021</v>
      </c>
      <c r="D1490" s="4">
        <v>-8.8276577806569057E-2</v>
      </c>
    </row>
    <row r="1491" spans="1:4">
      <c r="A1491" s="18">
        <v>45672</v>
      </c>
      <c r="B1491" s="8">
        <v>6.5579135089348563E-3</v>
      </c>
      <c r="C1491" s="4">
        <v>286.04398496056012</v>
      </c>
      <c r="D1491" s="4">
        <v>-8.2297574459754386E-2</v>
      </c>
    </row>
    <row r="1492" spans="1:4">
      <c r="A1492" s="18">
        <v>45673</v>
      </c>
      <c r="B1492" s="8">
        <v>2.4582196054839973E-3</v>
      </c>
      <c r="C1492" s="4">
        <v>286.74714389242098</v>
      </c>
      <c r="D1492" s="4">
        <v>-8.0041660365291034E-2</v>
      </c>
    </row>
    <row r="1493" spans="1:4">
      <c r="A1493" s="18">
        <v>45674</v>
      </c>
      <c r="B1493" s="8">
        <v>5.3518242084370973E-3</v>
      </c>
      <c r="C1493" s="4">
        <v>288.28176419880464</v>
      </c>
      <c r="D1493" s="4">
        <v>-7.5118205052480347E-2</v>
      </c>
    </row>
    <row r="1494" spans="1:4">
      <c r="A1494" s="18">
        <v>45677</v>
      </c>
      <c r="B1494" s="8">
        <v>-1.8211443442518471E-3</v>
      </c>
      <c r="C1494" s="4">
        <v>287.75676149438306</v>
      </c>
      <c r="D1494" s="4">
        <v>-7.680254830245048E-2</v>
      </c>
    </row>
    <row r="1495" spans="1:4">
      <c r="A1495" s="18">
        <v>45678</v>
      </c>
      <c r="B1495" s="8">
        <v>-1.1386179754979296E-2</v>
      </c>
      <c r="C1495" s="4">
        <v>284.48031128229729</v>
      </c>
      <c r="D1495" s="4">
        <v>-8.731424043681757E-2</v>
      </c>
    </row>
    <row r="1496" spans="1:4">
      <c r="A1496" s="18">
        <v>45679</v>
      </c>
      <c r="B1496" s="8">
        <v>1.0619544112795939E-2</v>
      </c>
      <c r="C1496" s="4">
        <v>287.50136249718156</v>
      </c>
      <c r="D1496" s="4">
        <v>-7.7621933752015759E-2</v>
      </c>
    </row>
    <row r="1497" spans="1:4">
      <c r="A1497" s="18">
        <v>45680</v>
      </c>
      <c r="B1497" s="8">
        <v>1.8743557106929453E-3</v>
      </c>
      <c r="C1497" s="4">
        <v>288.04024231781017</v>
      </c>
      <c r="D1497" s="4">
        <v>-7.5893069156125925E-2</v>
      </c>
    </row>
    <row r="1498" spans="1:4">
      <c r="A1498" s="18">
        <v>45681</v>
      </c>
      <c r="B1498" s="8">
        <v>-6.2821780374052337E-3</v>
      </c>
      <c r="C1498" s="4">
        <v>286.23072223363232</v>
      </c>
      <c r="D1498" s="4">
        <v>-8.1698473421287332E-2</v>
      </c>
    </row>
    <row r="1499" spans="1:4">
      <c r="A1499" s="18">
        <v>45684</v>
      </c>
      <c r="B1499" s="8">
        <v>-9.7110765835608688E-3</v>
      </c>
      <c r="C1499" s="4">
        <v>283.45111376945357</v>
      </c>
      <c r="D1499" s="4">
        <v>-9.0616169872694052E-2</v>
      </c>
    </row>
    <row r="1500" spans="1:4">
      <c r="A1500" s="18">
        <v>45685</v>
      </c>
      <c r="B1500" s="8">
        <v>-5.9397228677485706E-3</v>
      </c>
      <c r="C1500" s="4">
        <v>281.76749270710832</v>
      </c>
      <c r="D1500" s="4">
        <v>-9.6017657804062129E-2</v>
      </c>
    </row>
    <row r="1501" spans="1:4">
      <c r="A1501" s="18">
        <v>45686</v>
      </c>
      <c r="B1501" s="8">
        <v>6.0631141445855515E-3</v>
      </c>
      <c r="C1501" s="4">
        <v>283.47588117762518</v>
      </c>
      <c r="D1501" s="4">
        <v>-9.0536709678638361E-2</v>
      </c>
    </row>
    <row r="1502" spans="1:4">
      <c r="A1502" s="18">
        <v>45687</v>
      </c>
      <c r="B1502" s="8">
        <v>1.0748773684643366E-3</v>
      </c>
      <c r="C1502" s="4">
        <v>283.7805829868085</v>
      </c>
      <c r="D1502" s="4">
        <v>-8.9559148170422764E-2</v>
      </c>
    </row>
    <row r="1503" spans="1:4">
      <c r="A1503" s="18">
        <v>45688</v>
      </c>
      <c r="B1503" s="8">
        <v>1.8766076476567872E-2</v>
      </c>
      <c r="C1503" s="4">
        <v>289.10603110970396</v>
      </c>
      <c r="D1503" s="4">
        <v>-7.2473745517597332E-2</v>
      </c>
    </row>
    <row r="1504" spans="1:4">
      <c r="A1504" s="18">
        <v>45689</v>
      </c>
      <c r="B1504" s="8">
        <v>3.0932510185536274E-3</v>
      </c>
      <c r="C1504" s="4">
        <v>290.00030863490406</v>
      </c>
      <c r="D1504" s="4">
        <v>-6.9604673986184418E-2</v>
      </c>
    </row>
    <row r="1505" spans="1:4">
      <c r="A1505" s="18">
        <v>45691</v>
      </c>
      <c r="B1505" s="8">
        <v>-9.3058667561672498E-3</v>
      </c>
      <c r="C1505" s="4">
        <v>287.30160440350028</v>
      </c>
      <c r="D1505" s="4">
        <v>-7.8262808920629756E-2</v>
      </c>
    </row>
    <row r="1506" spans="1:4">
      <c r="A1506" s="18">
        <v>45692</v>
      </c>
      <c r="B1506" s="8">
        <v>1.9180160601686209E-2</v>
      </c>
      <c r="C1506" s="4">
        <v>292.81209531708151</v>
      </c>
      <c r="D1506" s="4">
        <v>-6.058374156318036E-2</v>
      </c>
    </row>
    <row r="1507" spans="1:4">
      <c r="A1507" s="18">
        <v>45693</v>
      </c>
      <c r="B1507" s="8">
        <v>-6.2833204933575078E-3</v>
      </c>
      <c r="C1507" s="4">
        <v>290.97226307787275</v>
      </c>
      <c r="D1507" s="4">
        <v>-6.6486394991609576E-2</v>
      </c>
    </row>
    <row r="1508" spans="1:4">
      <c r="A1508" s="18">
        <v>45694</v>
      </c>
      <c r="B1508" s="8">
        <v>-2.0566208082283899E-3</v>
      </c>
      <c r="C1508" s="4">
        <v>290.37384346700946</v>
      </c>
      <c r="D1508" s="4">
        <v>-6.8406278496434214E-2</v>
      </c>
    </row>
    <row r="1509" spans="1:4">
      <c r="A1509" s="18">
        <v>45695</v>
      </c>
      <c r="B1509" s="8">
        <v>-6.1911605563563597E-3</v>
      </c>
      <c r="C1509" s="4">
        <v>288.57609238073894</v>
      </c>
      <c r="D1509" s="4">
        <v>-7.4173924799556312E-2</v>
      </c>
    </row>
    <row r="1510" spans="1:4">
      <c r="A1510" s="18">
        <v>45698</v>
      </c>
      <c r="B1510" s="8">
        <v>-7.8514016948180564E-3</v>
      </c>
      <c r="C1510" s="4">
        <v>286.31036555993683</v>
      </c>
      <c r="D1510" s="4">
        <v>-8.1442957215491774E-2</v>
      </c>
    </row>
    <row r="1511" spans="1:4">
      <c r="A1511" s="18">
        <v>45699</v>
      </c>
      <c r="B1511" s="8">
        <v>-1.6818879204037206E-2</v>
      </c>
      <c r="C1511" s="4">
        <v>281.49494610672053</v>
      </c>
      <c r="D1511" s="4">
        <v>-9.6892057160102074E-2</v>
      </c>
    </row>
    <row r="1512" spans="1:4">
      <c r="A1512" s="18">
        <v>45700</v>
      </c>
      <c r="B1512" s="8">
        <v>-1.4328594427585532E-3</v>
      </c>
      <c r="C1512" s="4">
        <v>281.09160341510272</v>
      </c>
      <c r="D1512" s="4">
        <v>-9.8186083903830434E-2</v>
      </c>
    </row>
    <row r="1513" spans="1:4">
      <c r="A1513" s="18">
        <v>45701</v>
      </c>
      <c r="B1513" s="8">
        <v>1.0815755930422574E-3</v>
      </c>
      <c r="C1513" s="4">
        <v>281.39562523276561</v>
      </c>
      <c r="D1513" s="4">
        <v>-9.7210703982714919E-2</v>
      </c>
    </row>
    <row r="1514" spans="1:4">
      <c r="A1514" s="18">
        <v>45702</v>
      </c>
      <c r="B1514" s="8">
        <v>-4.1264862764523649E-3</v>
      </c>
      <c r="C1514" s="4">
        <v>280.23445004698885</v>
      </c>
      <c r="D1514" s="4">
        <v>-0.10093605162325836</v>
      </c>
    </row>
    <row r="1515" spans="1:4">
      <c r="A1515" s="18">
        <v>45705</v>
      </c>
      <c r="B1515" s="8">
        <v>1.6511173664660165E-3</v>
      </c>
      <c r="C1515" s="4">
        <v>280.69715001414346</v>
      </c>
      <c r="D1515" s="4">
        <v>-9.9451591524530203E-2</v>
      </c>
    </row>
    <row r="1516" spans="1:4">
      <c r="A1516" s="18">
        <v>45706</v>
      </c>
      <c r="B1516" s="8">
        <v>-1.5051328629585464E-3</v>
      </c>
      <c r="C1516" s="4">
        <v>280.2746635091184</v>
      </c>
      <c r="D1516" s="4">
        <v>-0.10080703652881151</v>
      </c>
    </row>
    <row r="1517" spans="1:4">
      <c r="A1517" s="18">
        <v>45707</v>
      </c>
      <c r="B1517" s="8">
        <v>-3.5991791028042422E-3</v>
      </c>
      <c r="C1517" s="4">
        <v>279.26590479717089</v>
      </c>
      <c r="D1517" s="4">
        <v>-0.10404339305232557</v>
      </c>
    </row>
    <row r="1518" spans="1:4">
      <c r="A1518" s="18">
        <v>45708</v>
      </c>
      <c r="B1518" s="8">
        <v>-5.9070472258810928E-3</v>
      </c>
      <c r="C1518" s="4">
        <v>277.61626790895559</v>
      </c>
      <c r="D1518" s="4">
        <v>-0.10933585104190569</v>
      </c>
    </row>
    <row r="1519" spans="1:4">
      <c r="A1519" s="18">
        <v>45709</v>
      </c>
      <c r="B1519" s="8">
        <v>-2.5967580588913482E-3</v>
      </c>
      <c r="C1519" s="4">
        <v>276.89536562798367</v>
      </c>
      <c r="D1519" s="4">
        <v>-0.11164869034847824</v>
      </c>
    </row>
    <row r="1520" spans="1:4">
      <c r="A1520" s="18">
        <v>45712</v>
      </c>
      <c r="B1520" s="8">
        <v>-1.0271844557681469E-2</v>
      </c>
      <c r="C1520" s="4">
        <v>274.05113947351066</v>
      </c>
      <c r="D1520" s="4">
        <v>-0.12077369691383144</v>
      </c>
    </row>
    <row r="1521" spans="1:4">
      <c r="A1521" s="18">
        <v>45713</v>
      </c>
      <c r="B1521" s="8">
        <v>-3.4267843444765948E-3</v>
      </c>
      <c r="C1521" s="4">
        <v>273.11202531917684</v>
      </c>
      <c r="D1521" s="4">
        <v>-0.12378661584449924</v>
      </c>
    </row>
    <row r="1522" spans="1:4">
      <c r="A1522" s="18">
        <v>45715</v>
      </c>
      <c r="B1522" s="8">
        <v>5.6928876440756637E-4</v>
      </c>
      <c r="C1522" s="4">
        <v>273.26750492661563</v>
      </c>
      <c r="D1522" s="4">
        <v>-0.12328779740967599</v>
      </c>
    </row>
    <row r="1523" spans="1:4">
      <c r="A1523" s="18">
        <v>45716</v>
      </c>
      <c r="B1523" s="8">
        <v>-2.2143370401296887E-2</v>
      </c>
      <c r="C1523" s="4">
        <v>267.21644134638734</v>
      </c>
      <c r="D1523" s="4">
        <v>-0.14270116044697034</v>
      </c>
    </row>
    <row r="1524" spans="1:4">
      <c r="A1524" s="18">
        <v>45719</v>
      </c>
      <c r="B1524" s="8">
        <v>-4.0276498784387587E-3</v>
      </c>
      <c r="C1524" s="4">
        <v>266.14018707888175</v>
      </c>
      <c r="D1524" s="4">
        <v>-0.14615406001388176</v>
      </c>
    </row>
    <row r="1525" spans="1:4">
      <c r="A1525" s="18">
        <v>45720</v>
      </c>
      <c r="B1525" s="8">
        <v>-4.6532080503570898E-3</v>
      </c>
      <c r="C1525" s="4">
        <v>264.90178141784276</v>
      </c>
      <c r="D1525" s="4">
        <v>-0.1501271828155899</v>
      </c>
    </row>
    <row r="1526" spans="1:4">
      <c r="A1526" s="18">
        <v>45721</v>
      </c>
      <c r="B1526" s="8">
        <v>7.5172661455734195E-3</v>
      </c>
      <c r="C1526" s="4">
        <v>266.89311861119717</v>
      </c>
      <c r="D1526" s="4">
        <v>-0.14373846265892654</v>
      </c>
    </row>
    <row r="1527" spans="1:4">
      <c r="A1527" s="18">
        <v>45722</v>
      </c>
      <c r="B1527" s="8">
        <v>1.0490597411240565E-2</v>
      </c>
      <c r="C1527" s="4">
        <v>269.69298687037769</v>
      </c>
      <c r="D1527" s="4">
        <v>-0.1347557675919514</v>
      </c>
    </row>
    <row r="1528" spans="1:4">
      <c r="A1528" s="18">
        <v>45723</v>
      </c>
      <c r="B1528" s="8">
        <v>1.1386840827610737E-3</v>
      </c>
      <c r="C1528" s="4">
        <v>270.00008198175925</v>
      </c>
      <c r="D1528" s="4">
        <v>-0.13377052775680764</v>
      </c>
    </row>
    <row r="1529" spans="1:4">
      <c r="A1529" s="18">
        <v>45726</v>
      </c>
      <c r="B1529" s="8">
        <v>-5.9206284502675956E-3</v>
      </c>
      <c r="C1529" s="4">
        <v>268.40151181480343</v>
      </c>
      <c r="D1529" s="4">
        <v>-0.1388991506146311</v>
      </c>
    </row>
    <row r="1530" spans="1:4">
      <c r="A1530" s="18">
        <v>45727</v>
      </c>
      <c r="B1530" s="8">
        <v>4.9601163102042933E-3</v>
      </c>
      <c r="C1530" s="4">
        <v>269.73281453123951</v>
      </c>
      <c r="D1530" s="4">
        <v>-0.134627990246864</v>
      </c>
    </row>
    <row r="1531" spans="1:4">
      <c r="A1531" s="18">
        <v>45728</v>
      </c>
      <c r="B1531" s="8">
        <v>-1.6367664045807044E-4</v>
      </c>
      <c r="C1531" s="4">
        <v>269.68866557033573</v>
      </c>
      <c r="D1531" s="4">
        <v>-0.13476963143016685</v>
      </c>
    </row>
    <row r="1532" spans="1:4">
      <c r="A1532" s="18">
        <v>45729</v>
      </c>
      <c r="B1532" s="8">
        <v>-3.5673707149852484E-3</v>
      </c>
      <c r="C1532" s="4">
        <v>268.72658612261665</v>
      </c>
      <c r="D1532" s="4">
        <v>-0.13785622890871885</v>
      </c>
    </row>
    <row r="1533" spans="1:4">
      <c r="A1533" s="18">
        <v>45733</v>
      </c>
      <c r="B1533" s="8">
        <v>3.089086432125275E-4</v>
      </c>
      <c r="C1533" s="4">
        <v>268.80959808773088</v>
      </c>
      <c r="D1533" s="4">
        <v>-0.13758990524613701</v>
      </c>
    </row>
    <row r="1534" spans="1:4">
      <c r="A1534" s="18">
        <v>45734</v>
      </c>
      <c r="B1534" s="8">
        <v>2.3643426271811424E-4</v>
      </c>
      <c r="C1534" s="4">
        <v>268.87315388686631</v>
      </c>
      <c r="D1534" s="4">
        <v>-0.1373860019512233</v>
      </c>
    </row>
    <row r="1535" spans="1:4">
      <c r="A1535" s="18">
        <v>45735</v>
      </c>
      <c r="B1535" s="8">
        <v>1.3470448253343996E-2</v>
      </c>
      <c r="C1535" s="4">
        <v>272.49499579301278</v>
      </c>
      <c r="D1535" s="4">
        <v>-0.1257662047278969</v>
      </c>
    </row>
    <row r="1536" spans="1:4">
      <c r="A1536" s="18">
        <v>45736</v>
      </c>
      <c r="B1536" s="8">
        <v>1.2038088522566966E-2</v>
      </c>
      <c r="C1536" s="4">
        <v>275.77531467432561</v>
      </c>
      <c r="D1536" s="4">
        <v>-0.11524210091099152</v>
      </c>
    </row>
    <row r="1537" spans="1:4">
      <c r="A1537" s="18">
        <v>45737</v>
      </c>
      <c r="B1537" s="8">
        <v>7.090685748599215E-3</v>
      </c>
      <c r="C1537" s="4">
        <v>277.73075076790235</v>
      </c>
      <c r="D1537" s="4">
        <v>-0.10896856068496041</v>
      </c>
    </row>
    <row r="1538" spans="1:4">
      <c r="A1538" s="18">
        <v>45740</v>
      </c>
      <c r="B1538" s="8">
        <v>1.3138682453770374E-2</v>
      </c>
      <c r="C1538" s="4">
        <v>281.3797669098891</v>
      </c>
      <c r="D1538" s="4">
        <v>-9.7261581547473996E-2</v>
      </c>
    </row>
    <row r="1539" spans="1:4">
      <c r="A1539" s="18">
        <v>45741</v>
      </c>
      <c r="B1539" s="8">
        <v>-1.6264278540025414E-3</v>
      </c>
      <c r="C1539" s="4">
        <v>280.92212301943408</v>
      </c>
      <c r="D1539" s="4">
        <v>-9.872982045612344E-2</v>
      </c>
    </row>
    <row r="1540" spans="1:4">
      <c r="A1540" s="18">
        <v>45742</v>
      </c>
      <c r="B1540" s="8">
        <v>-8.4787260427827936E-3</v>
      </c>
      <c r="C1540" s="4">
        <v>278.5402612989954</v>
      </c>
      <c r="D1540" s="4">
        <v>-0.10637144339900562</v>
      </c>
    </row>
    <row r="1541" spans="1:4">
      <c r="A1541" s="18">
        <v>45743</v>
      </c>
      <c r="B1541" s="8">
        <v>2.9951753177918706E-3</v>
      </c>
      <c r="C1541" s="4">
        <v>279.37453821464948</v>
      </c>
      <c r="D1541" s="4">
        <v>-0.1036948692030002</v>
      </c>
    </row>
    <row r="1542" spans="1:4">
      <c r="A1542" s="18">
        <v>45744</v>
      </c>
      <c r="B1542" s="8">
        <v>-6.5083012037291665E-3</v>
      </c>
      <c r="C1542" s="4">
        <v>277.55628457129581</v>
      </c>
      <c r="D1542" s="4">
        <v>-0.10952829296467492</v>
      </c>
    </row>
    <row r="1543" spans="1:4">
      <c r="A1543" s="18">
        <v>45748</v>
      </c>
      <c r="B1543" s="8">
        <v>-1.6046139972868412E-2</v>
      </c>
      <c r="C1543" s="4">
        <v>273.10257757871551</v>
      </c>
      <c r="D1543" s="4">
        <v>-0.12381692661764276</v>
      </c>
    </row>
    <row r="1544" spans="1:4">
      <c r="A1544" s="18">
        <v>45749</v>
      </c>
      <c r="B1544" s="8">
        <v>7.0792478291857378E-3</v>
      </c>
      <c r="C1544" s="4">
        <v>275.03593840818462</v>
      </c>
      <c r="D1544" s="4">
        <v>-0.11761420949743162</v>
      </c>
    </row>
    <row r="1545" spans="1:4">
      <c r="A1545" s="18">
        <v>45750</v>
      </c>
      <c r="B1545" s="8">
        <v>-2.1732360753928203E-3</v>
      </c>
      <c r="C1545" s="4">
        <v>274.43822038480647</v>
      </c>
      <c r="D1545" s="4">
        <v>-0.11953184212976564</v>
      </c>
    </row>
    <row r="1546" spans="1:4">
      <c r="A1546" s="18">
        <v>45751</v>
      </c>
      <c r="B1546" s="8">
        <v>-2.6522338699252496E-2</v>
      </c>
      <c r="C1546" s="4">
        <v>267.15947695174054</v>
      </c>
      <c r="D1546" s="4">
        <v>-0.14288391682670687</v>
      </c>
    </row>
    <row r="1547" spans="1:4">
      <c r="A1547" s="18">
        <v>45754</v>
      </c>
      <c r="B1547" s="8">
        <v>-2.9136211936739223E-2</v>
      </c>
      <c r="C1547" s="4">
        <v>259.37546181036623</v>
      </c>
      <c r="D1547" s="4">
        <v>-0.16785703268043173</v>
      </c>
    </row>
    <row r="1548" spans="1:4">
      <c r="A1548" s="18">
        <v>45755</v>
      </c>
      <c r="B1548" s="8">
        <v>1.6229670303960192E-2</v>
      </c>
      <c r="C1548" s="4">
        <v>263.58504004048586</v>
      </c>
      <c r="D1548" s="4">
        <v>-0.15435162667507618</v>
      </c>
    </row>
    <row r="1549" spans="1:4">
      <c r="A1549" s="18">
        <v>45756</v>
      </c>
      <c r="B1549" s="8">
        <v>-1.172116189478715E-2</v>
      </c>
      <c r="C1549" s="4">
        <v>260.49551711312739</v>
      </c>
      <c r="D1549" s="4">
        <v>-0.16426360816488095</v>
      </c>
    </row>
    <row r="1550" spans="1:4">
      <c r="A1550" s="18">
        <v>45758</v>
      </c>
      <c r="B1550" s="8">
        <v>1.5975365229202596E-2</v>
      </c>
      <c r="C1550" s="4">
        <v>264.65702813957955</v>
      </c>
      <c r="D1550" s="4">
        <v>-0.15091241406997913</v>
      </c>
    </row>
    <row r="1551" spans="1:4">
      <c r="A1551" s="18">
        <v>45762</v>
      </c>
      <c r="B1551" s="8">
        <v>2.0628473900654962E-2</v>
      </c>
      <c r="C1551" s="4">
        <v>270.11649873718181</v>
      </c>
      <c r="D1551" s="4">
        <v>-0.13339703296425143</v>
      </c>
    </row>
    <row r="1552" spans="1:4">
      <c r="A1552" s="18">
        <v>45763</v>
      </c>
      <c r="B1552" s="8">
        <v>-4.8227838518985653E-3</v>
      </c>
      <c r="C1552" s="4">
        <v>268.81378524894075</v>
      </c>
      <c r="D1552" s="4">
        <v>-0.1375764717596788</v>
      </c>
    </row>
    <row r="1553" spans="1:4">
      <c r="A1553" s="18">
        <v>45764</v>
      </c>
      <c r="B1553" s="8">
        <v>1.3275858510300467E-2</v>
      </c>
      <c r="C1553" s="4">
        <v>272.38251902752398</v>
      </c>
      <c r="D1553" s="4">
        <v>-0.12612705902280619</v>
      </c>
    </row>
    <row r="1554" spans="1:4">
      <c r="A1554" s="18">
        <v>45768</v>
      </c>
      <c r="B1554" s="8">
        <v>6.7929840817216331E-3</v>
      </c>
      <c r="C1554" s="4">
        <v>274.23280914341717</v>
      </c>
      <c r="D1554" s="4">
        <v>-0.12019085404530094</v>
      </c>
    </row>
    <row r="1555" spans="1:4">
      <c r="A1555" s="18">
        <v>45769</v>
      </c>
      <c r="B1555" s="8">
        <v>-1.2815873788390476E-4</v>
      </c>
      <c r="C1555" s="4">
        <v>274.19766381271103</v>
      </c>
      <c r="D1555" s="4">
        <v>-0.12030360927502504</v>
      </c>
    </row>
    <row r="1556" spans="1:4">
      <c r="A1556" s="18">
        <v>45770</v>
      </c>
      <c r="B1556" s="8">
        <v>1.3670808207841067E-2</v>
      </c>
      <c r="C1556" s="4">
        <v>277.9461674857327</v>
      </c>
      <c r="D1556" s="4">
        <v>-0.10827744863629385</v>
      </c>
    </row>
    <row r="1557" spans="1:4">
      <c r="A1557" s="18">
        <v>45771</v>
      </c>
      <c r="B1557" s="8">
        <v>2.7081086018457571E-4</v>
      </c>
      <c r="C1557" s="4">
        <v>278.02143832643452</v>
      </c>
      <c r="D1557" s="4">
        <v>-0.1080359604851131</v>
      </c>
    </row>
    <row r="1558" spans="1:4">
      <c r="A1558" s="18">
        <v>45772</v>
      </c>
      <c r="B1558" s="8">
        <v>-5.351037233599895E-3</v>
      </c>
      <c r="C1558" s="4">
        <v>276.53373525821075</v>
      </c>
      <c r="D1558" s="4">
        <v>-0.11280889327158949</v>
      </c>
    </row>
    <row r="1559" spans="1:4">
      <c r="A1559" s="18">
        <v>45775</v>
      </c>
      <c r="B1559" s="8">
        <v>1.7589710706161454E-2</v>
      </c>
      <c r="C1559" s="4">
        <v>281.39788366189697</v>
      </c>
      <c r="D1559" s="4">
        <v>-9.7203458363157358E-2</v>
      </c>
    </row>
    <row r="1560" spans="1:4">
      <c r="A1560" s="18">
        <v>45776</v>
      </c>
      <c r="B1560" s="8">
        <v>1.724602030901534E-4</v>
      </c>
      <c r="C1560" s="4">
        <v>281.44641359806246</v>
      </c>
      <c r="D1560" s="4">
        <v>-9.7047761888237494E-2</v>
      </c>
    </row>
    <row r="1561" spans="1:4">
      <c r="A1561" s="18">
        <v>45777</v>
      </c>
      <c r="B1561" s="8">
        <v>1.0921054959332301E-2</v>
      </c>
      <c r="C1561" s="4">
        <v>284.5201053490739</v>
      </c>
      <c r="D1561" s="4">
        <v>-8.7186570870166791E-2</v>
      </c>
    </row>
    <row r="1562" spans="1:4">
      <c r="A1562" s="18">
        <v>45779</v>
      </c>
      <c r="B1562" s="8">
        <v>3.1094207242993721E-3</v>
      </c>
      <c r="C1562" s="4">
        <v>285.40479806112614</v>
      </c>
      <c r="D1562" s="4">
        <v>-8.4348249876211701E-2</v>
      </c>
    </row>
    <row r="1563" spans="1:4">
      <c r="A1563" s="18">
        <v>45782</v>
      </c>
      <c r="B1563" s="8">
        <v>5.2943635972014296E-3</v>
      </c>
      <c r="C1563" s="4">
        <v>286.91583483444759</v>
      </c>
      <c r="D1563" s="4">
        <v>-7.9500456582642487E-2</v>
      </c>
    </row>
    <row r="1564" spans="1:4">
      <c r="A1564" s="18">
        <v>45783</v>
      </c>
      <c r="B1564" s="8">
        <v>-3.7519259018043994E-4</v>
      </c>
      <c r="C1564" s="4">
        <v>286.80818613921224</v>
      </c>
      <c r="D1564" s="4">
        <v>-7.9845821190597355E-2</v>
      </c>
    </row>
    <row r="1565" spans="1:4">
      <c r="A1565" s="18">
        <v>45784</v>
      </c>
      <c r="B1565" s="8">
        <v>-5.2762600657305396E-3</v>
      </c>
      <c r="C1565" s="4">
        <v>285.29491156016127</v>
      </c>
      <c r="D1565" s="4">
        <v>-8.4700793938564556E-2</v>
      </c>
    </row>
    <row r="1566" spans="1:4">
      <c r="A1566" s="18">
        <v>45785</v>
      </c>
      <c r="B1566" s="8">
        <v>-5.1521840810228297E-3</v>
      </c>
      <c r="C1566" s="4">
        <v>283.8250196584242</v>
      </c>
      <c r="D1566" s="4">
        <v>-8.9416583937407035E-2</v>
      </c>
    </row>
    <row r="1567" spans="1:4">
      <c r="A1567" s="18">
        <v>45786</v>
      </c>
      <c r="B1567" s="8">
        <v>-3.0193525793427052E-3</v>
      </c>
      <c r="C1567" s="4">
        <v>282.96805185323655</v>
      </c>
      <c r="D1567" s="4">
        <v>-9.2165956323402298E-2</v>
      </c>
    </row>
    <row r="1568" spans="1:4">
      <c r="A1568" s="18">
        <v>45789</v>
      </c>
      <c r="B1568" s="8">
        <v>3.0738204152660653E-2</v>
      </c>
      <c r="C1568" s="4">
        <v>291.66598159978201</v>
      </c>
      <c r="D1568" s="4">
        <v>-6.426076815213555E-2</v>
      </c>
    </row>
    <row r="1569" spans="1:4">
      <c r="A1569" s="18">
        <v>45790</v>
      </c>
      <c r="B1569" s="8">
        <v>-1.2150068132300103E-2</v>
      </c>
      <c r="C1569" s="4">
        <v>288.12222005147049</v>
      </c>
      <c r="D1569" s="4">
        <v>-7.5630063573153272E-2</v>
      </c>
    </row>
    <row r="1570" spans="1:4">
      <c r="A1570" s="18">
        <v>45791</v>
      </c>
      <c r="B1570" s="8">
        <v>6.670673588058576E-3</v>
      </c>
      <c r="C1570" s="4">
        <v>290.04418933490064</v>
      </c>
      <c r="D1570" s="4">
        <v>-6.9463893452635261E-2</v>
      </c>
    </row>
    <row r="1571" spans="1:4">
      <c r="A1571" s="18">
        <v>45792</v>
      </c>
      <c r="B1571" s="8">
        <v>1.5756390658251539E-2</v>
      </c>
      <c r="C1571" s="4">
        <v>294.61423889021722</v>
      </c>
      <c r="D1571" s="4">
        <v>-5.4802003036266589E-2</v>
      </c>
    </row>
    <row r="1572" spans="1:4">
      <c r="A1572" s="18">
        <v>45793</v>
      </c>
      <c r="B1572" s="8">
        <v>-1.3937867017188555E-3</v>
      </c>
      <c r="C1572" s="4">
        <v>294.20360948191501</v>
      </c>
      <c r="D1572" s="4">
        <v>-5.6119407434925939E-2</v>
      </c>
    </row>
    <row r="1573" spans="1:4">
      <c r="A1573" s="18">
        <v>45796</v>
      </c>
      <c r="B1573" s="8">
        <v>-4.6750449762589363E-3</v>
      </c>
      <c r="C1573" s="4">
        <v>292.82819437540934</v>
      </c>
      <c r="D1573" s="4">
        <v>-6.05320916573856E-2</v>
      </c>
    </row>
    <row r="1574" spans="1:4">
      <c r="A1574" s="18">
        <v>45797</v>
      </c>
      <c r="B1574" s="8">
        <v>-1.1875969829979457E-2</v>
      </c>
      <c r="C1574" s="4">
        <v>289.35057557363962</v>
      </c>
      <c r="D1574" s="4">
        <v>-7.1689184193096445E-2</v>
      </c>
    </row>
    <row r="1575" spans="1:4">
      <c r="A1575" s="18">
        <v>45798</v>
      </c>
      <c r="B1575" s="8">
        <v>4.5628112514414215E-3</v>
      </c>
      <c r="C1575" s="4">
        <v>290.67082763547802</v>
      </c>
      <c r="D1575" s="4">
        <v>-6.7453477157898067E-2</v>
      </c>
    </row>
    <row r="1576" spans="1:4">
      <c r="A1576" s="18">
        <v>45799</v>
      </c>
      <c r="B1576" s="8">
        <v>-1.153537069147645E-2</v>
      </c>
      <c r="C1576" s="4">
        <v>287.31783188950453</v>
      </c>
      <c r="D1576" s="4">
        <v>-7.8210746985929114E-2</v>
      </c>
    </row>
    <row r="1577" spans="1:4">
      <c r="A1577" s="18">
        <v>45800</v>
      </c>
      <c r="B1577" s="8">
        <v>5.7354584274738156E-3</v>
      </c>
      <c r="C1577" s="4">
        <v>288.96573136977867</v>
      </c>
      <c r="D1577" s="4">
        <v>-7.2923863046374882E-2</v>
      </c>
    </row>
    <row r="1578" spans="1:4">
      <c r="A1578" s="18">
        <v>45803</v>
      </c>
      <c r="B1578" s="8">
        <v>5.1494511385587393E-3</v>
      </c>
      <c r="C1578" s="4">
        <v>290.45374628418523</v>
      </c>
      <c r="D1578" s="4">
        <v>-6.8149929777408413E-2</v>
      </c>
    </row>
    <row r="1579" spans="1:4">
      <c r="A1579" s="18">
        <v>45804</v>
      </c>
      <c r="B1579" s="8">
        <v>-4.7967476348158957E-3</v>
      </c>
      <c r="C1579" s="4">
        <v>289.06051296367315</v>
      </c>
      <c r="D1579" s="4">
        <v>-7.261977939775166E-2</v>
      </c>
    </row>
    <row r="1580" spans="1:4">
      <c r="A1580" s="18">
        <v>45805</v>
      </c>
      <c r="B1580" s="8">
        <v>-4.4949314880392468E-3</v>
      </c>
      <c r="C1580" s="4">
        <v>287.76120576200395</v>
      </c>
      <c r="D1580" s="4">
        <v>-7.6788289952721467E-2</v>
      </c>
    </row>
    <row r="1581" spans="1:4">
      <c r="A1581" s="18">
        <v>45806</v>
      </c>
      <c r="B1581" s="8">
        <v>5.5336613088822909E-3</v>
      </c>
      <c r="C1581" s="4">
        <v>289.35357881252651</v>
      </c>
      <c r="D1581" s="4">
        <v>-7.1679549032925616E-2</v>
      </c>
    </row>
    <row r="1582" spans="1:4">
      <c r="A1582" s="18">
        <v>45807</v>
      </c>
      <c r="B1582" s="8">
        <v>-2.1586056230951051E-3</v>
      </c>
      <c r="C1582" s="4">
        <v>288.72897855023911</v>
      </c>
      <c r="D1582" s="4">
        <v>-7.3683426778417327E-2</v>
      </c>
    </row>
    <row r="1583" spans="1:4">
      <c r="A1583" s="18">
        <v>45810</v>
      </c>
      <c r="B1583" s="8">
        <v>-2.1969138614854763E-3</v>
      </c>
      <c r="C1583" s="4">
        <v>288.09466585504953</v>
      </c>
      <c r="D1583" s="4">
        <v>-7.5718464498251592E-2</v>
      </c>
    </row>
    <row r="1584" spans="1:4">
      <c r="A1584" s="18">
        <v>45811</v>
      </c>
      <c r="B1584" s="8">
        <v>-6.46441931646122E-3</v>
      </c>
      <c r="C1584" s="4">
        <v>286.23230113212668</v>
      </c>
      <c r="D1584" s="4">
        <v>-8.1693407910197635E-2</v>
      </c>
    </row>
    <row r="1585" spans="1:4">
      <c r="A1585" s="18">
        <v>45812</v>
      </c>
      <c r="B1585" s="8">
        <v>2.2158762022379099E-3</v>
      </c>
      <c r="C1585" s="4">
        <v>286.86655647651719</v>
      </c>
      <c r="D1585" s="4">
        <v>-7.9658554186427533E-2</v>
      </c>
    </row>
    <row r="1586" spans="1:4">
      <c r="A1586" s="18">
        <v>45813</v>
      </c>
      <c r="B1586" s="8">
        <v>4.2798012612021482E-3</v>
      </c>
      <c r="C1586" s="4">
        <v>288.09428832672211</v>
      </c>
      <c r="D1586" s="4">
        <v>-7.5719675705897993E-2</v>
      </c>
    </row>
    <row r="1587" spans="1:4">
      <c r="A1587" s="18">
        <v>45814</v>
      </c>
      <c r="B1587" s="8">
        <v>8.2322094919283113E-3</v>
      </c>
      <c r="C1587" s="4">
        <v>290.46594086165567</v>
      </c>
      <c r="D1587" s="4">
        <v>-6.8110806447041483E-2</v>
      </c>
    </row>
    <row r="1588" spans="1:4">
      <c r="A1588" s="18">
        <v>45817</v>
      </c>
      <c r="B1588" s="8">
        <v>7.6566257924662673E-3</v>
      </c>
      <c r="C1588" s="4">
        <v>292.68992987628997</v>
      </c>
      <c r="D1588" s="4">
        <v>-6.0975679611963485E-2</v>
      </c>
    </row>
    <row r="1589" spans="1:4">
      <c r="A1589" s="18">
        <v>45818</v>
      </c>
      <c r="B1589" s="8">
        <v>-5.8994604208267626E-4</v>
      </c>
      <c r="C1589" s="4">
        <v>292.51725861060203</v>
      </c>
      <c r="D1589" s="4">
        <v>-6.1529653293195707E-2</v>
      </c>
    </row>
    <row r="1590" spans="1:4">
      <c r="A1590" s="18">
        <v>45819</v>
      </c>
      <c r="B1590" s="8">
        <v>1.6552068433425249E-3</v>
      </c>
      <c r="C1590" s="4">
        <v>293.00143517885004</v>
      </c>
      <c r="D1590" s="4">
        <v>-5.9976290753052663E-2</v>
      </c>
    </row>
    <row r="1591" spans="1:4">
      <c r="A1591" s="18">
        <v>45820</v>
      </c>
      <c r="B1591" s="8">
        <v>-9.6186313390630215E-3</v>
      </c>
      <c r="C1591" s="4">
        <v>290.1831623920483</v>
      </c>
      <c r="D1591" s="4">
        <v>-6.9018032262277651E-2</v>
      </c>
    </row>
    <row r="1592" spans="1:4">
      <c r="A1592" s="18">
        <v>45821</v>
      </c>
      <c r="B1592" s="8">
        <v>-4.2450687349334121E-3</v>
      </c>
      <c r="C1592" s="4">
        <v>288.95131492197368</v>
      </c>
      <c r="D1592" s="4">
        <v>-7.2970114706307987E-2</v>
      </c>
    </row>
    <row r="1593" spans="1:4">
      <c r="A1593" s="18">
        <v>45824</v>
      </c>
      <c r="B1593" s="8">
        <v>8.8401850053316938E-3</v>
      </c>
      <c r="C1593" s="4">
        <v>291.50569800341776</v>
      </c>
      <c r="D1593" s="4">
        <v>-6.4774999014840406E-2</v>
      </c>
    </row>
    <row r="1594" spans="1:4">
      <c r="A1594" s="18">
        <v>45825</v>
      </c>
      <c r="B1594" s="8">
        <v>-2.1298328736921324E-3</v>
      </c>
      <c r="C1594" s="4">
        <v>290.88483958494152</v>
      </c>
      <c r="D1594" s="4">
        <v>-6.6766871966237318E-2</v>
      </c>
    </row>
    <row r="1595" spans="1:4">
      <c r="A1595" s="18">
        <v>45826</v>
      </c>
      <c r="B1595" s="8">
        <v>-1.1608932093612983E-3</v>
      </c>
      <c r="C1595" s="4">
        <v>290.54715334996121</v>
      </c>
      <c r="D1595" s="4">
        <v>-6.7850255967322748E-2</v>
      </c>
    </row>
    <row r="1596" spans="1:4">
      <c r="A1596" s="18">
        <v>45827</v>
      </c>
      <c r="B1596" s="8">
        <v>8.2793881036165957E-4</v>
      </c>
      <c r="C1596" s="4">
        <v>290.78770861445975</v>
      </c>
      <c r="D1596" s="4">
        <v>-6.7078493017169394E-2</v>
      </c>
    </row>
    <row r="1597" spans="1:4">
      <c r="A1597" s="18">
        <v>45828</v>
      </c>
      <c r="B1597" s="8">
        <v>8.7011512216182939E-3</v>
      </c>
      <c r="C1597" s="4">
        <v>293.31789644050201</v>
      </c>
      <c r="D1597" s="4">
        <v>-5.8961001907011812E-2</v>
      </c>
    </row>
    <row r="1598" spans="1:4">
      <c r="A1598" s="18">
        <v>45831</v>
      </c>
      <c r="B1598" s="8">
        <v>-1.1315953362070225E-2</v>
      </c>
      <c r="C1598" s="4">
        <v>289.99872480412074</v>
      </c>
      <c r="D1598" s="4">
        <v>-6.9609755321321409E-2</v>
      </c>
    </row>
    <row r="1599" spans="1:4">
      <c r="A1599" s="18">
        <v>45832</v>
      </c>
      <c r="B1599" s="8">
        <v>-4.2798021314046308E-4</v>
      </c>
      <c r="C1599" s="4">
        <v>289.8746110880686</v>
      </c>
      <c r="D1599" s="4">
        <v>-7.0007943936542749E-2</v>
      </c>
    </row>
    <row r="1600" spans="1:4">
      <c r="A1600" s="18">
        <v>45833</v>
      </c>
      <c r="B1600" s="8">
        <v>9.7183933340340527E-3</v>
      </c>
      <c r="C1600" s="4">
        <v>292.69172657617264</v>
      </c>
      <c r="D1600" s="4">
        <v>-6.0969915338190961E-2</v>
      </c>
    </row>
    <row r="1601" spans="1:4">
      <c r="A1601" s="18">
        <v>45834</v>
      </c>
      <c r="B1601" s="8">
        <v>6.1564950684631949E-3</v>
      </c>
      <c r="C1601" s="4">
        <v>294.4936817474188</v>
      </c>
      <c r="D1601" s="4">
        <v>-5.5188781252831998E-2</v>
      </c>
    </row>
    <row r="1602" spans="1:4">
      <c r="A1602" s="18">
        <v>45835</v>
      </c>
      <c r="B1602" s="8">
        <v>3.0545669604279744E-3</v>
      </c>
      <c r="C1602" s="4">
        <v>295.39323241773928</v>
      </c>
      <c r="D1602" s="4">
        <v>-5.2302792120205166E-2</v>
      </c>
    </row>
    <row r="1603" spans="1:4">
      <c r="A1603" s="18">
        <v>45838</v>
      </c>
      <c r="B1603" s="8">
        <v>-7.2606623884592554E-3</v>
      </c>
      <c r="C1603" s="4">
        <v>293.24848188531843</v>
      </c>
      <c r="D1603" s="4">
        <v>-5.9183701593105709E-2</v>
      </c>
    </row>
    <row r="1604" spans="1:4">
      <c r="A1604" s="18">
        <v>45839</v>
      </c>
      <c r="B1604" s="8">
        <v>1.6550319546065292E-3</v>
      </c>
      <c r="C1604" s="4">
        <v>293.73381749347845</v>
      </c>
      <c r="D1604" s="4">
        <v>-5.762662055582779E-2</v>
      </c>
    </row>
    <row r="1605" spans="1:4">
      <c r="A1605" s="18">
        <v>45840</v>
      </c>
      <c r="B1605" s="8">
        <v>-2.1758092564624592E-3</v>
      </c>
      <c r="C1605" s="4">
        <v>293.09470873444008</v>
      </c>
      <c r="D1605" s="4">
        <v>-5.9677045277866214E-2</v>
      </c>
    </row>
    <row r="1606" spans="1:4">
      <c r="A1606" s="18">
        <v>45841</v>
      </c>
      <c r="B1606" s="8">
        <v>1.3306241481406728E-3</v>
      </c>
      <c r="C1606" s="4">
        <v>293.48470763157439</v>
      </c>
      <c r="D1606" s="4">
        <v>-5.8425828847261996E-2</v>
      </c>
    </row>
    <row r="1607" spans="1:4">
      <c r="A1607" s="18">
        <v>45842</v>
      </c>
      <c r="B1607" s="8">
        <v>1.0805459144027883E-3</v>
      </c>
      <c r="C1607" s="4">
        <v>293.80183133334538</v>
      </c>
      <c r="D1607" s="4">
        <v>-5.7408414723515766E-2</v>
      </c>
    </row>
    <row r="1608" spans="1:4">
      <c r="A1608" s="18">
        <v>45845</v>
      </c>
      <c r="B1608" s="8">
        <v>-9.0955416656062404E-4</v>
      </c>
      <c r="C1608" s="4">
        <v>293.53460265351299</v>
      </c>
      <c r="D1608" s="4">
        <v>-5.8265752827268869E-2</v>
      </c>
    </row>
    <row r="1609" spans="1:4">
      <c r="A1609" s="18">
        <v>45846</v>
      </c>
      <c r="B1609" s="8">
        <v>-5.6343768248139515E-5</v>
      </c>
      <c r="C1609" s="4">
        <v>293.51806380788827</v>
      </c>
      <c r="D1609" s="4">
        <v>-5.8318813683442938E-2</v>
      </c>
    </row>
    <row r="1610" spans="1:4">
      <c r="A1610" s="18">
        <v>45847</v>
      </c>
      <c r="B1610" s="8">
        <v>-2.4229009279114339E-3</v>
      </c>
      <c r="C1610" s="4">
        <v>292.80689861872935</v>
      </c>
      <c r="D1610" s="4">
        <v>-6.0600413903566186E-2</v>
      </c>
    </row>
    <row r="1611" spans="1:4">
      <c r="A1611" s="18">
        <v>45848</v>
      </c>
      <c r="B1611" s="8">
        <v>7.8173176508035955E-5</v>
      </c>
      <c r="C1611" s="4">
        <v>292.82978826409783</v>
      </c>
      <c r="D1611" s="4">
        <v>-6.0526978053910718E-2</v>
      </c>
    </row>
    <row r="1612" spans="1:4">
      <c r="A1612" s="18">
        <v>45849</v>
      </c>
      <c r="B1612" s="8">
        <v>-8.9798107182840169E-3</v>
      </c>
      <c r="C1612" s="4">
        <v>290.20023219281103</v>
      </c>
      <c r="D1612" s="4">
        <v>-6.8963267965920894E-2</v>
      </c>
    </row>
    <row r="1613" spans="1:4">
      <c r="A1613" s="18">
        <v>45852</v>
      </c>
      <c r="B1613" s="8">
        <v>-5.4135639802525195E-3</v>
      </c>
      <c r="C1613" s="4">
        <v>288.6292146687511</v>
      </c>
      <c r="D1613" s="4">
        <v>-7.4003494882752596E-2</v>
      </c>
    </row>
    <row r="1614" spans="1:4">
      <c r="A1614" s="18">
        <v>45853</v>
      </c>
      <c r="B1614" s="8">
        <v>7.042830426031388E-3</v>
      </c>
      <c r="C1614" s="4">
        <v>290.66198128366176</v>
      </c>
      <c r="D1614" s="4">
        <v>-6.748185852211408E-2</v>
      </c>
    </row>
    <row r="1615" spans="1:4">
      <c r="A1615" s="18">
        <v>45854</v>
      </c>
      <c r="B1615" s="8">
        <v>1.8440789776724004E-4</v>
      </c>
      <c r="C1615" s="4">
        <v>290.71558164859118</v>
      </c>
      <c r="D1615" s="4">
        <v>-6.7309894812014215E-2</v>
      </c>
    </row>
    <row r="1616" spans="1:4">
      <c r="A1616" s="18">
        <v>45855</v>
      </c>
      <c r="B1616" s="8">
        <v>-6.024756990654084E-3</v>
      </c>
      <c r="C1616" s="4">
        <v>288.96409091576174</v>
      </c>
      <c r="D1616" s="4">
        <v>-7.2929126043359438E-2</v>
      </c>
    </row>
    <row r="1617" spans="1:4">
      <c r="A1617" s="18">
        <v>45856</v>
      </c>
      <c r="B1617" s="8">
        <v>-4.0400854190689121E-3</v>
      </c>
      <c r="C1617" s="4">
        <v>287.79665130541849</v>
      </c>
      <c r="D1617" s="4">
        <v>-7.6674571563675076E-2</v>
      </c>
    </row>
    <row r="1618" spans="1:4">
      <c r="A1618" s="18">
        <v>45859</v>
      </c>
      <c r="B1618" s="8">
        <v>-2.119127637059375E-3</v>
      </c>
      <c r="C1618" s="4">
        <v>287.18677346778406</v>
      </c>
      <c r="D1618" s="4">
        <v>-7.8631215997074122E-2</v>
      </c>
    </row>
    <row r="1619" spans="1:4">
      <c r="A1619" s="18">
        <v>45860</v>
      </c>
      <c r="B1619" s="8">
        <v>-4.7167683080829382E-3</v>
      </c>
      <c r="C1619" s="4">
        <v>285.83217999619063</v>
      </c>
      <c r="D1619" s="4">
        <v>-8.2977099077516048E-2</v>
      </c>
    </row>
    <row r="1620" spans="1:4">
      <c r="A1620" s="18">
        <v>45861</v>
      </c>
      <c r="B1620" s="8">
        <v>5.8851177216923053E-3</v>
      </c>
      <c r="C1620" s="4">
        <v>287.51433602411618</v>
      </c>
      <c r="D1620" s="4">
        <v>-7.7580311352099307E-2</v>
      </c>
    </row>
    <row r="1621" spans="1:4">
      <c r="A1621" s="18">
        <v>45862</v>
      </c>
      <c r="B1621" s="8">
        <v>-6.0026572265929968E-3</v>
      </c>
      <c r="C1621" s="4">
        <v>285.78848601723195</v>
      </c>
      <c r="D1621" s="4">
        <v>-8.3117280562113316E-2</v>
      </c>
    </row>
    <row r="1622" spans="1:4">
      <c r="A1622" s="18">
        <v>45863</v>
      </c>
      <c r="B1622" s="8">
        <v>-7.3540361750171843E-3</v>
      </c>
      <c r="C1622" s="4">
        <v>283.68678715265781</v>
      </c>
      <c r="D1622" s="4">
        <v>-8.9860069249107721E-2</v>
      </c>
    </row>
    <row r="1623" spans="1:4">
      <c r="A1623" s="18">
        <v>45866</v>
      </c>
      <c r="B1623" s="8">
        <v>-3.5952725371036645E-3</v>
      </c>
      <c r="C1623" s="4">
        <v>282.66685583766866</v>
      </c>
      <c r="D1623" s="4">
        <v>-9.3132270347057844E-2</v>
      </c>
    </row>
    <row r="1624" spans="1:4">
      <c r="A1624" s="18">
        <v>45867</v>
      </c>
      <c r="B1624" s="8">
        <v>9.0958718514139083E-3</v>
      </c>
      <c r="C1624" s="4">
        <v>285.23795733501015</v>
      </c>
      <c r="D1624" s="4">
        <v>-8.4883517691952126E-2</v>
      </c>
    </row>
    <row r="1625" spans="1:4">
      <c r="A1625" s="18">
        <v>45868</v>
      </c>
      <c r="B1625" s="8">
        <v>1.3509580119989007E-2</v>
      </c>
      <c r="C1625" s="4">
        <v>289.09140237288943</v>
      </c>
      <c r="D1625" s="4">
        <v>-7.2520678255089233E-2</v>
      </c>
    </row>
    <row r="1626" spans="1:4">
      <c r="A1626" s="18">
        <v>45869</v>
      </c>
      <c r="B1626" s="8">
        <v>-6.275210487378933E-3</v>
      </c>
      <c r="C1626" s="4">
        <v>287.27729297290801</v>
      </c>
      <c r="D1626" s="4">
        <v>-7.8340806221729897E-2</v>
      </c>
    </row>
    <row r="1627" spans="1:4">
      <c r="A1627" s="18">
        <v>45870</v>
      </c>
      <c r="B1627" s="8">
        <v>-1.4312205788744488E-2</v>
      </c>
      <c r="C1627" s="4">
        <v>283.16572123744629</v>
      </c>
      <c r="D1627" s="4">
        <v>-9.153178227017289E-2</v>
      </c>
    </row>
    <row r="1628" spans="1:4">
      <c r="A1628" s="18">
        <v>45873</v>
      </c>
      <c r="B1628" s="8">
        <v>8.1760723970689293E-3</v>
      </c>
      <c r="C1628" s="4">
        <v>285.48090467465192</v>
      </c>
      <c r="D1628" s="4">
        <v>-8.410408035157757E-2</v>
      </c>
    </row>
    <row r="1629" spans="1:4">
      <c r="A1629" s="18">
        <v>45874</v>
      </c>
      <c r="B1629" s="8">
        <v>-1.3217673014619803E-3</v>
      </c>
      <c r="C1629" s="4">
        <v>285.10356534966121</v>
      </c>
      <c r="D1629" s="4">
        <v>-8.5314681629711231E-2</v>
      </c>
    </row>
    <row r="1630" spans="1:4">
      <c r="A1630" s="18">
        <v>45875</v>
      </c>
      <c r="B1630" s="8">
        <v>-7.2363112511947486E-3</v>
      </c>
      <c r="C1630" s="4">
        <v>283.04046721196573</v>
      </c>
      <c r="D1630" s="4">
        <v>-9.1933629290336771E-2</v>
      </c>
    </row>
    <row r="1631" spans="1:4">
      <c r="A1631" s="18">
        <v>45876</v>
      </c>
      <c r="B1631" s="8">
        <v>3.526313126850358E-3</v>
      </c>
      <c r="C1631" s="4">
        <v>284.03855652692516</v>
      </c>
      <c r="D1631" s="4">
        <v>-8.8731502927251849E-2</v>
      </c>
    </row>
    <row r="1632" spans="1:4">
      <c r="A1632" s="18">
        <v>45877</v>
      </c>
      <c r="B1632" s="8">
        <v>-7.2900996558095312E-3</v>
      </c>
      <c r="C1632" s="4">
        <v>281.96788714375157</v>
      </c>
      <c r="D1632" s="4">
        <v>-9.5374741084112036E-2</v>
      </c>
    </row>
    <row r="1633" spans="1:4">
      <c r="A1633" s="18">
        <v>45880</v>
      </c>
      <c r="B1633" s="8">
        <v>8.906655623917157E-3</v>
      </c>
      <c r="C1633" s="4">
        <v>284.47927801154452</v>
      </c>
      <c r="D1633" s="4">
        <v>-8.7317555434251237E-2</v>
      </c>
    </row>
    <row r="1634" spans="1:4">
      <c r="A1634" s="18">
        <v>45881</v>
      </c>
      <c r="B1634" s="8">
        <v>4.0053375567319369E-3</v>
      </c>
      <c r="C1634" s="4">
        <v>285.61871354787615</v>
      </c>
      <c r="D1634" s="4">
        <v>-8.3661954161662111E-2</v>
      </c>
    </row>
    <row r="1635" spans="1:4">
      <c r="A1635" s="18">
        <v>45882</v>
      </c>
      <c r="B1635" s="8">
        <v>2.2666652192001677E-3</v>
      </c>
      <c r="C1635" s="4">
        <v>286.26611555182785</v>
      </c>
      <c r="D1635" s="4">
        <v>-8.1584922584130415E-2</v>
      </c>
    </row>
    <row r="1636" spans="1:4">
      <c r="A1636" s="18">
        <v>45883</v>
      </c>
      <c r="B1636" s="8">
        <v>1.2197970407171461E-3</v>
      </c>
      <c r="C1636" s="4">
        <v>286.61530211243553</v>
      </c>
      <c r="D1636" s="4">
        <v>-8.0464642590548641E-2</v>
      </c>
    </row>
    <row r="1637" spans="1:4">
      <c r="A1637" s="18">
        <v>45887</v>
      </c>
      <c r="B1637" s="8">
        <v>1.3098774957381005E-2</v>
      </c>
      <c r="C1637" s="4">
        <v>290.36961145414807</v>
      </c>
      <c r="D1637" s="4">
        <v>-6.8419855878487423E-2</v>
      </c>
    </row>
    <row r="1638" spans="1:4">
      <c r="A1638" s="18">
        <v>45888</v>
      </c>
      <c r="B1638" s="8">
        <v>4.7970712309240108E-3</v>
      </c>
      <c r="C1638" s="4">
        <v>291.76253516358935</v>
      </c>
      <c r="D1638" s="4">
        <v>-6.3950999569822087E-2</v>
      </c>
    </row>
    <row r="1639" spans="1:4">
      <c r="A1639" s="18">
        <v>45889</v>
      </c>
      <c r="B1639" s="8">
        <v>3.4174914918382333E-3</v>
      </c>
      <c r="C1639" s="4">
        <v>292.75963114514809</v>
      </c>
      <c r="D1639" s="4">
        <v>-6.0752060074908187E-2</v>
      </c>
    </row>
    <row r="1640" spans="1:4">
      <c r="A1640" s="18">
        <v>45890</v>
      </c>
      <c r="B1640" s="8">
        <v>3.7701821786514742E-3</v>
      </c>
      <c r="C1640" s="4">
        <v>293.86338828912011</v>
      </c>
      <c r="D1640" s="4">
        <v>-5.7210924230467475E-2</v>
      </c>
    </row>
    <row r="1641" spans="1:4">
      <c r="A1641" s="18">
        <v>45891</v>
      </c>
      <c r="B1641" s="8">
        <v>-5.5897073958141403E-3</v>
      </c>
      <c r="C1641" s="4">
        <v>292.22077793424143</v>
      </c>
      <c r="D1641" s="4">
        <v>-6.2480839299989155E-2</v>
      </c>
    </row>
    <row r="1642" spans="1:4">
      <c r="A1642" s="18">
        <v>45894</v>
      </c>
      <c r="B1642" s="8">
        <v>8.7039129338396769E-3</v>
      </c>
      <c r="C1642" s="4">
        <v>294.76424214283998</v>
      </c>
      <c r="D1642" s="4">
        <v>-5.4320754151449768E-2</v>
      </c>
    </row>
    <row r="1643" spans="1:4">
      <c r="A1643" s="18">
        <v>45895</v>
      </c>
      <c r="B1643" s="8">
        <v>-6.9778666776610697E-3</v>
      </c>
      <c r="C1643" s="4">
        <v>292.70741655982545</v>
      </c>
      <c r="D1643" s="4">
        <v>-6.0919577848811968E-2</v>
      </c>
    </row>
    <row r="1644" spans="1:4">
      <c r="A1644" s="18">
        <v>45897</v>
      </c>
      <c r="B1644" s="8">
        <v>-4.8355554038545818E-3</v>
      </c>
      <c r="C1644" s="4">
        <v>291.29201362993126</v>
      </c>
      <c r="D1644" s="4">
        <v>-6.5460553258799181E-2</v>
      </c>
    </row>
    <row r="1645" spans="1:4">
      <c r="A1645" s="18">
        <v>45898</v>
      </c>
      <c r="B1645" s="8">
        <v>3.6390227609964265E-4</v>
      </c>
      <c r="C1645" s="4">
        <v>291.39801545670088</v>
      </c>
      <c r="D1645" s="4">
        <v>-6.5120472227025106E-2</v>
      </c>
    </row>
    <row r="1646" spans="1:4">
      <c r="A1646" s="18">
        <v>45901</v>
      </c>
      <c r="B1646" s="8">
        <v>-5.033313785834713E-4</v>
      </c>
      <c r="C1646" s="4">
        <v>291.25134569186457</v>
      </c>
      <c r="D1646" s="4">
        <v>-6.5591026428548527E-2</v>
      </c>
    </row>
    <row r="1647" spans="1:4">
      <c r="A1647" s="18">
        <v>45902</v>
      </c>
      <c r="B1647" s="8">
        <v>-8.7037585344564678E-4</v>
      </c>
      <c r="C1647" s="4">
        <v>290.99784755329085</v>
      </c>
      <c r="D1647" s="4">
        <v>-6.6404313436387974E-2</v>
      </c>
    </row>
    <row r="1648" spans="1:4">
      <c r="A1648" s="18">
        <v>45903</v>
      </c>
      <c r="B1648" s="8">
        <v>4.7177767747273872E-3</v>
      </c>
      <c r="C1648" s="4">
        <v>292.37071043997338</v>
      </c>
      <c r="D1648" s="4">
        <v>-6.1999817389332579E-2</v>
      </c>
    </row>
    <row r="1649" spans="1:4">
      <c r="A1649" s="18">
        <v>45904</v>
      </c>
      <c r="B1649" s="8">
        <v>-4.3892213001481594E-3</v>
      </c>
      <c r="C1649" s="4">
        <v>291.08743069017078</v>
      </c>
      <c r="D1649" s="4">
        <v>-6.6116907770390254E-2</v>
      </c>
    </row>
    <row r="1650" spans="1:4">
      <c r="A1650" s="18">
        <v>45905</v>
      </c>
      <c r="B1650" s="8">
        <v>-4.6345310672504022E-4</v>
      </c>
      <c r="C1650" s="4">
        <v>290.95252531608884</v>
      </c>
      <c r="D1650" s="4">
        <v>-6.6549718790801959E-2</v>
      </c>
    </row>
    <row r="1651" spans="1:4">
      <c r="A1651" s="18">
        <v>45908</v>
      </c>
      <c r="B1651" s="8">
        <v>1.2489302675677805E-3</v>
      </c>
      <c r="C1651" s="4">
        <v>291.31590473138141</v>
      </c>
      <c r="D1651" s="4">
        <v>-6.5383904481330135E-2</v>
      </c>
    </row>
    <row r="1652" spans="1:4">
      <c r="A1652" s="18">
        <v>45909</v>
      </c>
      <c r="B1652" s="8">
        <v>7.4692780739682614E-3</v>
      </c>
      <c r="C1652" s="4">
        <v>293.49182423118975</v>
      </c>
      <c r="D1652" s="4">
        <v>-5.8402996971494647E-2</v>
      </c>
    </row>
    <row r="1653" spans="1:4">
      <c r="A1653" s="18">
        <v>45910</v>
      </c>
      <c r="B1653" s="8">
        <v>2.3886379792140925E-3</v>
      </c>
      <c r="C1653" s="4">
        <v>294.19286994913722</v>
      </c>
      <c r="D1653" s="4">
        <v>-5.6153862608946503E-2</v>
      </c>
    </row>
    <row r="1654" spans="1:4">
      <c r="A1654" s="18">
        <v>45911</v>
      </c>
      <c r="B1654" s="8">
        <v>1.0720408469178948E-3</v>
      </c>
      <c r="C1654" s="4">
        <v>294.50825672259469</v>
      </c>
      <c r="D1654" s="4">
        <v>-5.5142020996457597E-2</v>
      </c>
    </row>
    <row r="1655" spans="1:4">
      <c r="A1655" s="18">
        <v>45912</v>
      </c>
      <c r="B1655" s="8">
        <v>7.7681826144589475E-3</v>
      </c>
      <c r="C1655" s="4">
        <v>296.79605064228173</v>
      </c>
      <c r="D1655" s="4">
        <v>-4.7802191670829663E-2</v>
      </c>
    </row>
    <row r="1656" spans="1:4">
      <c r="A1656" s="18">
        <v>45915</v>
      </c>
      <c r="B1656" s="8">
        <v>-3.1778170159810415E-3</v>
      </c>
      <c r="C1656" s="4">
        <v>295.85288710227468</v>
      </c>
      <c r="D1656" s="4">
        <v>-5.0828102068718017E-2</v>
      </c>
    </row>
    <row r="1657" spans="1:4">
      <c r="A1657" s="18">
        <v>45916</v>
      </c>
      <c r="B1657" s="8">
        <v>1.0941500142354069E-2</v>
      </c>
      <c r="C1657" s="4">
        <v>299.08996150862009</v>
      </c>
      <c r="D1657" s="4">
        <v>-4.0442737612384372E-2</v>
      </c>
    </row>
    <row r="1658" spans="1:4">
      <c r="A1658" s="18">
        <v>45917</v>
      </c>
      <c r="B1658" s="8">
        <v>6.0591808322902254E-3</v>
      </c>
      <c r="C1658" s="4">
        <v>300.90220167052354</v>
      </c>
      <c r="D1658" s="4">
        <v>-3.4628606640640491E-2</v>
      </c>
    </row>
    <row r="1659" spans="1:4">
      <c r="A1659" s="18">
        <v>45918</v>
      </c>
      <c r="B1659" s="8">
        <v>5.3559131423858708E-3</v>
      </c>
      <c r="C1659" s="4">
        <v>302.51380772702356</v>
      </c>
      <c r="D1659" s="4">
        <v>-2.9458161307663655E-2</v>
      </c>
    </row>
    <row r="1660" spans="1:4">
      <c r="A1660" s="18">
        <v>45919</v>
      </c>
      <c r="B1660" s="8">
        <v>-1.1698852419612985E-3</v>
      </c>
      <c r="C1660" s="4">
        <v>302.15990128787422</v>
      </c>
      <c r="D1660" s="4">
        <v>-3.0593583881455721E-2</v>
      </c>
    </row>
    <row r="1661" spans="1:4">
      <c r="A1661" s="18">
        <v>45922</v>
      </c>
      <c r="B1661" s="8">
        <v>-1.069841091069861E-2</v>
      </c>
      <c r="C1661" s="4">
        <v>298.9272705031604</v>
      </c>
      <c r="D1661" s="4">
        <v>-4.0964692060559638E-2</v>
      </c>
    </row>
    <row r="1662" spans="1:4">
      <c r="A1662" s="18">
        <v>45923</v>
      </c>
      <c r="B1662" s="8">
        <v>1.1645012358301801E-3</v>
      </c>
      <c r="C1662" s="4">
        <v>299.27537167908463</v>
      </c>
      <c r="D1662" s="4">
        <v>-3.9847894259259498E-2</v>
      </c>
    </row>
    <row r="1663" spans="1:4">
      <c r="A1663" s="18">
        <v>45924</v>
      </c>
      <c r="B1663" s="8">
        <v>-1.6691504825804536E-4</v>
      </c>
      <c r="C1663" s="4">
        <v>299.22541811597836</v>
      </c>
      <c r="D1663" s="4">
        <v>-4.0008158094324342E-2</v>
      </c>
    </row>
    <row r="1664" spans="1:4">
      <c r="A1664" s="18">
        <v>45925</v>
      </c>
      <c r="B1664" s="8">
        <v>-5.3781611905400605E-3</v>
      </c>
      <c r="C1664" s="4">
        <v>297.61613558504388</v>
      </c>
      <c r="D1664" s="4">
        <v>-4.5171148961696495E-2</v>
      </c>
    </row>
    <row r="1665" spans="1:4">
      <c r="A1665" s="18">
        <v>45926</v>
      </c>
      <c r="B1665" s="8">
        <v>-1.5966202727750092E-3</v>
      </c>
      <c r="C1665" s="4">
        <v>297.14095562946386</v>
      </c>
      <c r="D1665" s="4">
        <v>-4.6695648062294648E-2</v>
      </c>
    </row>
    <row r="1666" spans="1:4">
      <c r="A1666" s="18">
        <v>45929</v>
      </c>
      <c r="B1666" s="8">
        <v>-5.6212871011057826E-3</v>
      </c>
      <c r="C1666" s="4">
        <v>295.47064100837372</v>
      </c>
      <c r="D1666" s="4">
        <v>-5.2054445519270076E-2</v>
      </c>
    </row>
    <row r="1667" spans="1:4">
      <c r="A1667" s="18">
        <v>45930</v>
      </c>
      <c r="B1667" s="8">
        <v>-2.7126066154503203E-3</v>
      </c>
      <c r="C1667" s="4">
        <v>294.66914539290303</v>
      </c>
      <c r="D1667" s="4">
        <v>-5.4625848901441287E-2</v>
      </c>
    </row>
    <row r="1668" spans="1:4">
      <c r="A1668" s="18">
        <v>45931</v>
      </c>
      <c r="B1668" s="8">
        <v>7.2118739961277729E-3</v>
      </c>
      <c r="C1668" s="4">
        <v>296.79426214002331</v>
      </c>
      <c r="D1668" s="4">
        <v>-4.7807929644522296E-2</v>
      </c>
    </row>
    <row r="1669" spans="1:4">
      <c r="A1669" s="18">
        <v>45933</v>
      </c>
      <c r="B1669" s="8">
        <v>-1.1789534763286848E-4</v>
      </c>
      <c r="C1669" s="4">
        <v>296.75927147731289</v>
      </c>
      <c r="D1669" s="4">
        <v>-4.792018865966996E-2</v>
      </c>
    </row>
    <row r="1670" spans="1:4">
      <c r="A1670" s="18">
        <v>45936</v>
      </c>
      <c r="B1670" s="8">
        <v>1.0064233534193522E-2</v>
      </c>
      <c r="C1670" s="4">
        <v>299.7459260888977</v>
      </c>
      <c r="D1670" s="4">
        <v>-3.8338235095149997E-2</v>
      </c>
    </row>
    <row r="1671" spans="1:4">
      <c r="A1671" s="18">
        <v>45937</v>
      </c>
      <c r="B1671" s="8">
        <v>7.7111945189909715E-4</v>
      </c>
      <c r="C1671" s="4">
        <v>299.97706600313239</v>
      </c>
      <c r="D1671" s="4">
        <v>-3.7596679002084188E-2</v>
      </c>
    </row>
    <row r="1672" spans="1:4">
      <c r="A1672" s="18">
        <v>45938</v>
      </c>
      <c r="B1672" s="8">
        <v>-1.3116753192118156E-3</v>
      </c>
      <c r="C1672" s="4">
        <v>299.58359348932652</v>
      </c>
      <c r="D1672" s="4">
        <v>-3.8859039685364527E-2</v>
      </c>
    </row>
    <row r="1673" spans="1:4">
      <c r="A1673" s="18">
        <v>45939</v>
      </c>
      <c r="B1673" s="8">
        <v>6.9284984390573321E-3</v>
      </c>
      <c r="C1673" s="4">
        <v>301.65925794918451</v>
      </c>
      <c r="D1673" s="4">
        <v>-3.2199776042110551E-2</v>
      </c>
    </row>
    <row r="1674" spans="1:4">
      <c r="A1674" s="18">
        <v>45940</v>
      </c>
      <c r="B1674" s="8">
        <v>5.9194782936928744E-3</v>
      </c>
      <c r="C1674" s="4">
        <v>303.44492337870622</v>
      </c>
      <c r="D1674" s="4">
        <v>-2.64709036237607E-2</v>
      </c>
    </row>
    <row r="1675" spans="1:4">
      <c r="A1675" s="18">
        <v>45943</v>
      </c>
      <c r="B1675" s="8">
        <v>-3.7646025339002562E-3</v>
      </c>
      <c r="C1675" s="4">
        <v>302.3025738512556</v>
      </c>
      <c r="D1675" s="4">
        <v>-3.0135853726804163E-2</v>
      </c>
    </row>
    <row r="1676" spans="1:4">
      <c r="A1676" s="18">
        <v>45944</v>
      </c>
      <c r="B1676" s="8">
        <v>-5.2936543058463232E-3</v>
      </c>
      <c r="C1676" s="4">
        <v>300.70228852951948</v>
      </c>
      <c r="D1676" s="4">
        <v>-3.5269979240809213E-2</v>
      </c>
    </row>
    <row r="1677" spans="1:4">
      <c r="A1677" s="18">
        <v>45945</v>
      </c>
      <c r="B1677" s="8">
        <v>4.2345495281215489E-3</v>
      </c>
      <c r="C1677" s="4">
        <v>301.9756272635172</v>
      </c>
      <c r="D1677" s="4">
        <v>-3.1184782186638782E-2</v>
      </c>
    </row>
    <row r="1678" spans="1:4">
      <c r="A1678" s="18">
        <v>45946</v>
      </c>
      <c r="B1678" s="8">
        <v>7.493346260870286E-3</v>
      </c>
      <c r="C1678" s="4">
        <v>304.23843520094624</v>
      </c>
      <c r="D1678" s="4">
        <v>-2.3925114296762806E-2</v>
      </c>
    </row>
    <row r="1679" spans="1:4">
      <c r="A1679" s="18">
        <v>45947</v>
      </c>
      <c r="B1679" s="8">
        <v>3.6527984821373505E-3</v>
      </c>
      <c r="C1679" s="4">
        <v>305.34975689525606</v>
      </c>
      <c r="D1679" s="4">
        <v>-2.0359709435813778E-2</v>
      </c>
    </row>
    <row r="1680" spans="1:4">
      <c r="A1680" s="18">
        <v>45950</v>
      </c>
      <c r="B1680" s="8">
        <v>1.027502289951588E-2</v>
      </c>
      <c r="C1680" s="4">
        <v>308.48723263971641</v>
      </c>
      <c r="D1680" s="4">
        <v>-1.0293883016978422E-2</v>
      </c>
    </row>
    <row r="1681" spans="1:4">
      <c r="A1681" s="18">
        <v>45951</v>
      </c>
      <c r="B1681" s="8">
        <v>1.2189066105243792E-3</v>
      </c>
      <c r="C1681" s="4">
        <v>308.86324976684335</v>
      </c>
      <c r="D1681" s="4">
        <v>-9.0875236885112898E-3</v>
      </c>
    </row>
    <row r="1682" spans="1:4">
      <c r="A1682" s="18">
        <v>45953</v>
      </c>
      <c r="B1682" s="8">
        <v>5.8769990525694279E-3</v>
      </c>
      <c r="C1682" s="4">
        <v>310.67843879309657</v>
      </c>
      <c r="D1682" s="4">
        <v>-3.2639320040496189E-3</v>
      </c>
    </row>
    <row r="1683" spans="1:4">
      <c r="A1683" s="18">
        <v>45954</v>
      </c>
      <c r="B1683" s="8">
        <v>-2.3324590004505253E-3</v>
      </c>
      <c r="C1683" s="4">
        <v>309.95379407228768</v>
      </c>
      <c r="D1683" s="4">
        <v>-5.5887780169204815E-3</v>
      </c>
    </row>
    <row r="1684" spans="1:4">
      <c r="A1684" s="18">
        <v>45957</v>
      </c>
      <c r="B1684" s="8">
        <v>6.8102717593942616E-3</v>
      </c>
      <c r="C1684" s="4">
        <v>312.06466364277532</v>
      </c>
      <c r="D1684" s="4">
        <v>0</v>
      </c>
    </row>
    <row r="1685" spans="1:4">
      <c r="A1685" s="18">
        <v>45958</v>
      </c>
      <c r="B1685" s="8">
        <v>-3.1325702677917171E-4</v>
      </c>
      <c r="C1685" s="4">
        <v>311.96690719407974</v>
      </c>
      <c r="D1685" s="4">
        <v>-3.132570267792012E-4</v>
      </c>
    </row>
    <row r="1686" spans="1:4">
      <c r="A1686" s="18">
        <v>45959</v>
      </c>
      <c r="B1686" s="8">
        <v>2.8995122948087251E-3</v>
      </c>
      <c r="C1686" s="4">
        <v>312.87145907706247</v>
      </c>
      <c r="D1686" s="4">
        <v>0</v>
      </c>
    </row>
    <row r="1687" spans="1:4">
      <c r="A1687" s="18">
        <v>45960</v>
      </c>
      <c r="B1687" s="8">
        <v>-2.996319250978337E-3</v>
      </c>
      <c r="C1687" s="4">
        <v>311.93399630114817</v>
      </c>
      <c r="D1687" s="4">
        <v>-2.9963192509784298E-3</v>
      </c>
    </row>
    <row r="1688" spans="1:4">
      <c r="A1688" s="18">
        <v>45961</v>
      </c>
      <c r="B1688" s="8">
        <v>1.1448510776253034E-4</v>
      </c>
      <c r="C1688" s="4">
        <v>311.96970809832953</v>
      </c>
      <c r="D1688" s="4">
        <v>-2.8821771771481153E-3</v>
      </c>
    </row>
    <row r="1689" spans="1:4">
      <c r="A1689" s="18">
        <v>45964</v>
      </c>
      <c r="B1689" s="8">
        <v>-9.5014240783745652E-3</v>
      </c>
      <c r="C1689" s="4">
        <v>309.00555160208057</v>
      </c>
      <c r="D1689" s="4">
        <v>-1.2356216467893644E-2</v>
      </c>
    </row>
    <row r="1690" spans="1:4">
      <c r="A1690" s="18">
        <v>45965</v>
      </c>
      <c r="B1690" s="8">
        <v>-1.2015871859335503E-2</v>
      </c>
      <c r="C1690" s="4">
        <v>305.29258049020666</v>
      </c>
      <c r="D1690" s="4">
        <v>-2.4223617613484794E-2</v>
      </c>
    </row>
    <row r="1691" spans="1:4">
      <c r="A1691" s="18">
        <v>45967</v>
      </c>
      <c r="B1691" s="8">
        <v>6.6661057213979842E-4</v>
      </c>
      <c r="C1691" s="4">
        <v>305.49609175195729</v>
      </c>
      <c r="D1691" s="4">
        <v>-2.3573154760941462E-2</v>
      </c>
    </row>
    <row r="1692" spans="1:4">
      <c r="A1692" s="18">
        <v>45968</v>
      </c>
      <c r="B1692" s="8">
        <v>-1.5196172651457322E-3</v>
      </c>
      <c r="C1692" s="4">
        <v>305.0318546164965</v>
      </c>
      <c r="D1692" s="4">
        <v>-2.505694985311846E-2</v>
      </c>
    </row>
    <row r="1693" spans="1:4">
      <c r="A1693" s="18">
        <v>45971</v>
      </c>
      <c r="B1693" s="8">
        <v>8.2389859091978705E-3</v>
      </c>
      <c r="C1693" s="4">
        <v>307.54500776853831</v>
      </c>
      <c r="D1693" s="4">
        <v>-1.7024407800687924E-2</v>
      </c>
    </row>
    <row r="1694" spans="1:4">
      <c r="A1694" s="18">
        <v>45972</v>
      </c>
      <c r="B1694" s="8">
        <v>6.9699650105569727E-3</v>
      </c>
      <c r="C1694" s="4">
        <v>309.68858571185649</v>
      </c>
      <c r="D1694" s="4">
        <v>-1.0173102316827221E-2</v>
      </c>
    </row>
    <row r="1695" spans="1:4">
      <c r="A1695" s="18">
        <v>45973</v>
      </c>
      <c r="B1695" s="8">
        <v>7.0557197528095805E-3</v>
      </c>
      <c r="C1695" s="4">
        <v>311.87366158328331</v>
      </c>
      <c r="D1695" s="4">
        <v>-3.1891611229818428E-3</v>
      </c>
    </row>
    <row r="1696" spans="1:4">
      <c r="A1696" s="18">
        <v>45974</v>
      </c>
      <c r="B1696" s="8">
        <v>1.699871121997436E-3</v>
      </c>
      <c r="C1696" s="4">
        <v>312.40380661432039</v>
      </c>
      <c r="D1696" s="4">
        <v>-1.4947111638805577E-3</v>
      </c>
    </row>
    <row r="1697" spans="1:4">
      <c r="A1697" s="18">
        <v>45975</v>
      </c>
      <c r="B1697" s="8">
        <v>2.6898549895387774E-4</v>
      </c>
      <c r="C1697" s="4">
        <v>312.48783870811764</v>
      </c>
      <c r="D1697" s="4">
        <v>-1.2261277205548593E-3</v>
      </c>
    </row>
    <row r="1698" spans="1:4">
      <c r="A1698" s="18">
        <v>45978</v>
      </c>
      <c r="B1698" s="8">
        <v>4.5538178601367066E-3</v>
      </c>
      <c r="C1698" s="4">
        <v>313.91085140910218</v>
      </c>
      <c r="D1698" s="4">
        <v>0</v>
      </c>
    </row>
    <row r="1699" spans="1:4">
      <c r="A1699" s="18">
        <v>45979</v>
      </c>
      <c r="B1699" s="8">
        <v>-3.2627223312417237E-3</v>
      </c>
      <c r="C1699" s="4">
        <v>312.88664746419062</v>
      </c>
      <c r="D1699" s="4">
        <v>-3.2627223312416964E-3</v>
      </c>
    </row>
    <row r="1700" spans="1:4">
      <c r="A1700" s="18">
        <v>45980</v>
      </c>
      <c r="B1700" s="8">
        <v>5.6644177219414647E-3</v>
      </c>
      <c r="C1700" s="4">
        <v>314.6589681350456</v>
      </c>
      <c r="D1700" s="4">
        <v>0</v>
      </c>
    </row>
    <row r="1701" spans="1:4">
      <c r="A1701" s="18">
        <v>45981</v>
      </c>
      <c r="B1701" s="8">
        <v>4.3707682059516296E-3</v>
      </c>
      <c r="C1701" s="4">
        <v>316.03426954868786</v>
      </c>
      <c r="D1701" s="4">
        <v>0</v>
      </c>
    </row>
    <row r="1702" spans="1:4">
      <c r="A1702" s="18">
        <v>45982</v>
      </c>
      <c r="B1702" s="8">
        <v>1.8724449444919872E-3</v>
      </c>
      <c r="C1702" s="4">
        <v>316.62602631899051</v>
      </c>
      <c r="D1702" s="4">
        <v>0</v>
      </c>
    </row>
    <row r="1703" spans="1:4">
      <c r="A1703" s="18">
        <v>45985</v>
      </c>
      <c r="B1703" s="8">
        <v>-2.4838221554586292E-3</v>
      </c>
      <c r="C1703" s="4">
        <v>315.83958357982459</v>
      </c>
      <c r="D1703" s="4">
        <v>-2.4838221554586148E-3</v>
      </c>
    </row>
    <row r="1704" spans="1:4">
      <c r="A1704" s="18">
        <v>45986</v>
      </c>
      <c r="B1704" s="8">
        <v>-4.5113620225213889E-3</v>
      </c>
      <c r="C1704" s="4">
        <v>314.41471687725362</v>
      </c>
      <c r="D1704" s="4">
        <v>-6.983978757037046E-3</v>
      </c>
    </row>
    <row r="1705" spans="1:4">
      <c r="A1705" s="18">
        <v>45987</v>
      </c>
      <c r="B1705" s="8">
        <v>1.5480216341955226E-2</v>
      </c>
      <c r="C1705" s="4">
        <v>319.28192471560811</v>
      </c>
      <c r="D1705" s="4">
        <v>0</v>
      </c>
    </row>
    <row r="1706" spans="1:4">
      <c r="A1706" s="18">
        <v>45988</v>
      </c>
      <c r="B1706" s="8">
        <v>-1.6196231840381482E-3</v>
      </c>
      <c r="C1706" s="4">
        <v>318.76480830809436</v>
      </c>
      <c r="D1706" s="4">
        <v>-1.6196231840382991E-3</v>
      </c>
    </row>
    <row r="1707" spans="1:4">
      <c r="A1707" s="18">
        <v>45989</v>
      </c>
      <c r="B1707" s="8">
        <v>1.0414042133155836E-3</v>
      </c>
      <c r="C1707" s="4">
        <v>319.09677132252313</v>
      </c>
      <c r="D1707" s="4">
        <v>-5.7990565313059683E-4</v>
      </c>
    </row>
    <row r="1708" spans="1:4">
      <c r="A1708" s="18">
        <v>45992</v>
      </c>
      <c r="B1708" s="8">
        <v>1.6636972463007942E-4</v>
      </c>
      <c r="C1708" s="4">
        <v>319.14985936449841</v>
      </c>
      <c r="D1708" s="4">
        <v>-4.1363240724423544E-4</v>
      </c>
    </row>
    <row r="1709" spans="1:4">
      <c r="A1709" s="18">
        <v>45993</v>
      </c>
      <c r="B1709" s="8">
        <v>-4.3128748856243147E-3</v>
      </c>
      <c r="C1709" s="4">
        <v>317.77340595129476</v>
      </c>
      <c r="D1709" s="4">
        <v>-4.7247233480474105E-3</v>
      </c>
    </row>
    <row r="1710" spans="1:4">
      <c r="A1710" s="18">
        <v>45994</v>
      </c>
      <c r="B1710" s="8">
        <v>-1.0572017788157036E-3</v>
      </c>
      <c r="C1710" s="4">
        <v>317.43745534126271</v>
      </c>
      <c r="D1710" s="4">
        <v>-5.7769301409352769E-3</v>
      </c>
    </row>
    <row r="1711" spans="1:4">
      <c r="A1711" s="18">
        <v>45995</v>
      </c>
      <c r="B1711" s="8">
        <v>2.0824551765608545E-3</v>
      </c>
      <c r="C1711" s="4">
        <v>318.09850461337243</v>
      </c>
      <c r="D1711" s="4">
        <v>-3.7065051624509682E-3</v>
      </c>
    </row>
    <row r="1712" spans="1:4">
      <c r="A1712" s="18">
        <v>45996</v>
      </c>
      <c r="B1712" s="8">
        <v>7.617092067457738E-3</v>
      </c>
      <c r="C1712" s="4">
        <v>320.52149020953306</v>
      </c>
      <c r="D1712" s="4">
        <v>0</v>
      </c>
    </row>
    <row r="1713" spans="1:4">
      <c r="A1713" s="18">
        <v>45999</v>
      </c>
      <c r="B1713" s="8">
        <v>-4.6133454069316165E-3</v>
      </c>
      <c r="C1713" s="4">
        <v>319.04281386485206</v>
      </c>
      <c r="D1713" s="4">
        <v>-4.6133454069314794E-3</v>
      </c>
    </row>
    <row r="1714" spans="1:4">
      <c r="A1714" s="18">
        <v>46000</v>
      </c>
      <c r="B1714" s="8">
        <v>-6.8736569420706113E-3</v>
      </c>
      <c r="C1714" s="4">
        <v>316.84982301251216</v>
      </c>
      <c r="D1714" s="4">
        <v>-1.1455291795319678E-2</v>
      </c>
    </row>
    <row r="1715" spans="1:4">
      <c r="A1715" s="18">
        <v>46001</v>
      </c>
      <c r="B1715" s="8">
        <v>-2.6901203757325734E-4</v>
      </c>
      <c r="C1715" s="4">
        <v>316.76458659601883</v>
      </c>
      <c r="D1715" s="4">
        <v>-1.1721222221506067E-2</v>
      </c>
    </row>
    <row r="1716" spans="1:4">
      <c r="A1716" s="18">
        <v>46002</v>
      </c>
      <c r="B1716" s="8">
        <v>7.4204449459879373E-3</v>
      </c>
      <c r="C1716" s="4">
        <v>319.11512077169323</v>
      </c>
      <c r="D1716" s="4">
        <v>-4.3877539597124704E-3</v>
      </c>
    </row>
    <row r="1717" spans="1:4">
      <c r="A1717" s="18">
        <v>46003</v>
      </c>
      <c r="B1717" s="8">
        <v>6.8426749961777947E-3</v>
      </c>
      <c r="C1717" s="4">
        <v>321.29872182949998</v>
      </c>
      <c r="D1717" s="4">
        <v>0</v>
      </c>
    </row>
    <row r="1718" spans="1:4">
      <c r="A1718" s="18">
        <v>46006</v>
      </c>
      <c r="B1718" s="8">
        <v>6.7837063011064137E-4</v>
      </c>
      <c r="C1718" s="4">
        <v>321.5166814458812</v>
      </c>
      <c r="D1718" s="4">
        <v>0</v>
      </c>
    </row>
    <row r="1719" spans="1:4">
      <c r="A1719" s="18">
        <v>46007</v>
      </c>
      <c r="B1719" s="8">
        <v>-6.2314125702563053E-3</v>
      </c>
      <c r="C1719" s="4">
        <v>319.51317835557228</v>
      </c>
      <c r="D1719" s="4">
        <v>-6.2314125702561673E-3</v>
      </c>
    </row>
    <row r="1720" spans="1:4">
      <c r="A1720" s="18">
        <v>46008</v>
      </c>
      <c r="B1720" s="8">
        <v>1.2770809170195266E-3</v>
      </c>
      <c r="C1720" s="4">
        <v>319.92122253838642</v>
      </c>
      <c r="D1720" s="4">
        <v>-4.962289671316289E-3</v>
      </c>
    </row>
    <row r="1721" spans="1:4">
      <c r="A1721" s="18">
        <v>46009</v>
      </c>
      <c r="B1721" s="8">
        <v>-3.4582556493342174E-3</v>
      </c>
      <c r="C1721" s="4">
        <v>318.81485316320112</v>
      </c>
      <c r="D1721" s="4">
        <v>-8.4033844543610625E-3</v>
      </c>
    </row>
    <row r="1722" spans="1:4">
      <c r="A1722" s="18">
        <v>46010</v>
      </c>
      <c r="B1722" s="8">
        <v>5.9326233032677648E-3</v>
      </c>
      <c r="C1722" s="4">
        <v>320.70626159050499</v>
      </c>
      <c r="D1722" s="4">
        <v>-2.52061526553371E-3</v>
      </c>
    </row>
    <row r="1723" spans="1:4">
      <c r="A1723" s="18">
        <v>46013</v>
      </c>
      <c r="B1723" s="8">
        <v>1.0008234121563066E-2</v>
      </c>
      <c r="C1723" s="4">
        <v>323.91596494075401</v>
      </c>
      <c r="D1723" s="4">
        <v>0</v>
      </c>
    </row>
    <row r="1724" spans="1:4">
      <c r="A1724" s="18">
        <v>46014</v>
      </c>
      <c r="B1724" s="8">
        <v>-2.7949561882531881E-3</v>
      </c>
      <c r="C1724" s="4">
        <v>323.01063401006883</v>
      </c>
      <c r="D1724" s="4">
        <v>-2.7949561882532059E-3</v>
      </c>
    </row>
    <row r="1725" spans="1:4">
      <c r="A1725" s="18">
        <v>46015</v>
      </c>
      <c r="B1725" s="8">
        <v>-1.6249960756509927E-3</v>
      </c>
      <c r="C1725" s="4">
        <v>322.48574299740892</v>
      </c>
      <c r="D1725" s="4">
        <v>-4.4154104710667497E-3</v>
      </c>
    </row>
    <row r="1726" spans="1:4">
      <c r="A1726" s="18">
        <v>46017</v>
      </c>
      <c r="B1726" s="8">
        <v>-5.2765192651538853E-3</v>
      </c>
      <c r="C1726" s="4">
        <v>320.78414076174562</v>
      </c>
      <c r="D1726" s="4">
        <v>-9.6686317378065212E-3</v>
      </c>
    </row>
    <row r="1727" spans="1:4">
      <c r="A1727" s="18">
        <v>46020</v>
      </c>
      <c r="B1727" s="8">
        <v>-4.0606620590053757E-3</v>
      </c>
      <c r="C1727" s="4">
        <v>319.48154477222374</v>
      </c>
      <c r="D1727" s="4">
        <v>-1.3690032750751757E-2</v>
      </c>
    </row>
    <row r="1728" spans="1:4">
      <c r="A1728" s="18">
        <v>46021</v>
      </c>
      <c r="B1728" s="8">
        <v>-1.2449361945788889E-4</v>
      </c>
      <c r="C1728" s="4">
        <v>319.44177135836503</v>
      </c>
      <c r="D1728" s="4">
        <v>-1.3812822048481999E-2</v>
      </c>
    </row>
    <row r="1729" spans="1:4">
      <c r="A1729" s="18">
        <v>46022</v>
      </c>
      <c r="B1729" s="8">
        <v>3.7026684149728201E-3</v>
      </c>
      <c r="C1729" s="4">
        <v>320.62455831559663</v>
      </c>
      <c r="D1729" s="4">
        <v>-1.016129793342968E-2</v>
      </c>
    </row>
    <row r="1730" spans="1:4">
      <c r="A1730" s="18">
        <v>46023</v>
      </c>
      <c r="B1730" s="8">
        <v>-3.3735771134249808E-3</v>
      </c>
      <c r="C1730" s="4">
        <v>319.54290664366113</v>
      </c>
      <c r="D1730" s="4">
        <v>-1.3500595124703807E-2</v>
      </c>
    </row>
    <row r="1731" spans="1:4">
      <c r="A1731" s="18">
        <v>46024</v>
      </c>
      <c r="B1731" s="8">
        <v>4.7766767838599939E-3</v>
      </c>
      <c r="C1731" s="4">
        <v>321.06925982727302</v>
      </c>
      <c r="D1731" s="4">
        <v>-8.7884063201444373E-3</v>
      </c>
    </row>
    <row r="1732" spans="1:4">
      <c r="A1732" s="18">
        <v>46027</v>
      </c>
      <c r="B1732" s="8">
        <v>-3.9989833439672013E-3</v>
      </c>
      <c r="C1732" s="4">
        <v>319.78530920496388</v>
      </c>
      <c r="D1732" s="4">
        <v>-1.2752244973617266E-2</v>
      </c>
    </row>
    <row r="1733" spans="1:4">
      <c r="A1733" s="18">
        <v>46028</v>
      </c>
      <c r="B1733" s="8">
        <v>-3.3782960214462027E-3</v>
      </c>
      <c r="C1733" s="4">
        <v>318.70497976715978</v>
      </c>
      <c r="D1733" s="4">
        <v>-1.608746013660467E-2</v>
      </c>
    </row>
    <row r="1734" spans="1:4">
      <c r="A1734" s="18">
        <v>46029</v>
      </c>
      <c r="B1734" s="8">
        <v>-1.8419128392579366E-3</v>
      </c>
      <c r="C1734" s="4">
        <v>318.11795297299119</v>
      </c>
      <c r="D1734" s="4">
        <v>-1.7899741276486081E-2</v>
      </c>
    </row>
    <row r="1735" spans="1:4">
      <c r="A1735" s="18">
        <v>46030</v>
      </c>
      <c r="B1735" s="8">
        <v>-1.6508533175993791E-2</v>
      </c>
      <c r="C1735" s="4">
        <v>312.86629219245737</v>
      </c>
      <c r="D1735" s="4">
        <v>-3.4112775979775134E-2</v>
      </c>
    </row>
    <row r="1736" spans="1:4">
      <c r="A1736" s="18">
        <v>46031</v>
      </c>
      <c r="B1736" s="8">
        <v>-5.6665884991399995E-3</v>
      </c>
      <c r="C1736" s="4">
        <v>311.09340765935099</v>
      </c>
      <c r="D1736" s="4">
        <v>-3.9586061414874529E-2</v>
      </c>
    </row>
    <row r="1737" spans="1:4">
      <c r="A1737" s="18">
        <v>46034</v>
      </c>
      <c r="B1737" s="8">
        <v>1.9268633694602419E-3</v>
      </c>
      <c r="C1737" s="4">
        <v>311.69284215105034</v>
      </c>
      <c r="D1737" s="4">
        <v>-3.773547497709584E-2</v>
      </c>
    </row>
    <row r="1738" spans="1:4">
      <c r="A1738" s="18">
        <v>46035</v>
      </c>
      <c r="B1738" s="8">
        <v>-1.1469181628130619E-2</v>
      </c>
      <c r="C1738" s="4">
        <v>308.1179803322317</v>
      </c>
      <c r="D1738" s="4">
        <v>-4.8771861588890353E-2</v>
      </c>
    </row>
    <row r="1739" spans="1:4">
      <c r="A1739" s="18">
        <v>46036</v>
      </c>
      <c r="B1739" s="8">
        <v>-9.172731195727122E-3</v>
      </c>
      <c r="C1739" s="4">
        <v>305.29169692207381</v>
      </c>
      <c r="D1739" s="4">
        <v>-5.749722160834736E-2</v>
      </c>
    </row>
    <row r="1740" spans="1:4">
      <c r="A1740" s="18">
        <v>46037</v>
      </c>
      <c r="B1740" s="8">
        <v>0</v>
      </c>
      <c r="C1740" s="4">
        <v>305.29169692207381</v>
      </c>
      <c r="D1740" s="4">
        <v>-5.749722160834736E-2</v>
      </c>
    </row>
    <row r="1741" spans="1:4">
      <c r="A1741" s="18">
        <v>46038</v>
      </c>
      <c r="B1741" s="8">
        <v>-1.0743755753862946E-3</v>
      </c>
      <c r="C1741" s="4">
        <v>304.96369897953252</v>
      </c>
      <c r="D1741" s="4">
        <v>-5.8509823573185016E-2</v>
      </c>
    </row>
    <row r="1742" spans="1:4">
      <c r="A1742" s="18">
        <v>46041</v>
      </c>
      <c r="B1742" s="8">
        <v>4.3792480987074318E-4</v>
      </c>
      <c r="C1742" s="4">
        <v>305.09725014942558</v>
      </c>
      <c r="D1742" s="4">
        <v>-5.8097521666678253E-2</v>
      </c>
    </row>
    <row r="1743" spans="1:4">
      <c r="A1743" s="18">
        <v>46042</v>
      </c>
      <c r="B1743" s="8">
        <v>-1.8188804327541525E-2</v>
      </c>
      <c r="C1743" s="4">
        <v>299.54789596558669</v>
      </c>
      <c r="D1743" s="4">
        <v>-7.5229601540709345E-2</v>
      </c>
    </row>
    <row r="1744" spans="1:4">
      <c r="A1744" s="18">
        <v>46043</v>
      </c>
      <c r="B1744" s="8">
        <v>-3.6429149199934899E-3</v>
      </c>
      <c r="C1744" s="4">
        <v>298.45666846612102</v>
      </c>
      <c r="D1744" s="4">
        <v>-7.8598461422825006E-2</v>
      </c>
    </row>
    <row r="1745" spans="1:4">
      <c r="A1745" s="18">
        <v>46044</v>
      </c>
      <c r="B1745" s="8">
        <v>4.3061295493077075E-3</v>
      </c>
      <c r="C1745" s="4">
        <v>299.74186154539092</v>
      </c>
      <c r="D1745" s="4">
        <v>-7.4630787030780188E-2</v>
      </c>
    </row>
    <row r="1746" spans="1:4">
      <c r="A1746" s="18">
        <v>46045</v>
      </c>
      <c r="B1746" s="8">
        <v>-7.8212244641250993E-3</v>
      </c>
      <c r="C1746" s="4">
        <v>297.39751316494971</v>
      </c>
      <c r="D1746" s="4">
        <v>-8.1868307357603309E-2</v>
      </c>
    </row>
    <row r="1747" spans="1:4">
      <c r="A1747" s="18">
        <v>46049</v>
      </c>
      <c r="B1747" s="8">
        <v>-2.7929682292130407E-4</v>
      </c>
      <c r="C1747" s="4">
        <v>297.31445098437808</v>
      </c>
      <c r="D1747" s="4">
        <v>-8.2124738622381566E-2</v>
      </c>
    </row>
    <row r="1748" spans="1:4">
      <c r="A1748" s="18">
        <v>46050</v>
      </c>
      <c r="B1748" s="8">
        <v>-3.9647367452078355E-3</v>
      </c>
      <c r="C1748" s="4">
        <v>296.13567745567906</v>
      </c>
      <c r="D1748" s="4">
        <v>-8.576387239868255E-2</v>
      </c>
    </row>
    <row r="1749" spans="1:4">
      <c r="A1749" s="18">
        <v>46051</v>
      </c>
      <c r="B1749" s="8">
        <v>-2.5271230241166219E-3</v>
      </c>
      <c r="C1749" s="4">
        <v>295.38730616691845</v>
      </c>
      <c r="D1749" s="4">
        <v>-8.8074259566223057E-2</v>
      </c>
    </row>
    <row r="1750" spans="1:4">
      <c r="A1750" s="18">
        <v>46052</v>
      </c>
      <c r="B1750" s="8">
        <v>1.1601628589969716E-3</v>
      </c>
      <c r="C1750" s="4">
        <v>295.73000354855247</v>
      </c>
      <c r="D1750" s="4">
        <v>-8.701627719200844E-2</v>
      </c>
    </row>
    <row r="1751" spans="1:4">
      <c r="A1751" s="18">
        <v>46055</v>
      </c>
      <c r="B1751" s="8">
        <v>-2.1262666947852614E-3</v>
      </c>
      <c r="C1751" s="4">
        <v>295.10120269135848</v>
      </c>
      <c r="D1751" s="4">
        <v>-8.8957524074696037E-2</v>
      </c>
    </row>
    <row r="1752" spans="1:4">
      <c r="A1752" s="18">
        <v>46056</v>
      </c>
      <c r="B1752" s="8">
        <v>2.7522019966178087E-2</v>
      </c>
      <c r="C1752" s="4">
        <v>303.22298388387321</v>
      </c>
      <c r="D1752" s="4">
        <v>-6.3883794862243493E-2</v>
      </c>
    </row>
    <row r="1753" spans="1:4">
      <c r="A1753" s="18">
        <v>46057</v>
      </c>
      <c r="B1753" s="8">
        <v>-2.8588326586388123E-3</v>
      </c>
      <c r="C1753" s="4">
        <v>302.35612011469607</v>
      </c>
      <c r="D1753" s="4">
        <v>-6.6559994441772408E-2</v>
      </c>
    </row>
    <row r="1754" spans="1:4">
      <c r="A1754" s="18">
        <v>46058</v>
      </c>
      <c r="B1754" s="8">
        <v>-3.9754143178892375E-3</v>
      </c>
      <c r="C1754" s="4">
        <v>301.15412926569064</v>
      </c>
      <c r="D1754" s="4">
        <v>-7.0270805204759257E-2</v>
      </c>
    </row>
    <row r="1755" spans="1:4">
      <c r="A1755" s="18">
        <v>46059</v>
      </c>
      <c r="B1755" s="8">
        <v>7.5787814560486976E-4</v>
      </c>
      <c r="C1755" s="4">
        <v>301.38236739871974</v>
      </c>
      <c r="D1755" s="4">
        <v>-6.9566183766693324E-2</v>
      </c>
    </row>
    <row r="1756" spans="1:4">
      <c r="A1756" s="18">
        <v>46062</v>
      </c>
      <c r="B1756" s="8">
        <v>2.3155144302162457E-3</v>
      </c>
      <c r="C1756" s="4">
        <v>302.08022261944421</v>
      </c>
      <c r="D1756" s="4">
        <v>-6.7411750838843876E-2</v>
      </c>
    </row>
    <row r="1757" spans="1:4">
      <c r="A1757" s="18">
        <v>46063</v>
      </c>
      <c r="B1757" s="8">
        <v>5.2189823611115543E-3</v>
      </c>
      <c r="C1757" s="4">
        <v>303.65677397293575</v>
      </c>
      <c r="D1757" s="4">
        <v>-6.2544589216291913E-2</v>
      </c>
    </row>
    <row r="1758" spans="1:4">
      <c r="A1758" s="18">
        <v>46064</v>
      </c>
      <c r="B1758" s="8">
        <v>-2.476932259725819E-4</v>
      </c>
      <c r="C1758" s="4">
        <v>303.58156024700196</v>
      </c>
      <c r="D1758" s="4">
        <v>-6.2776790571194341E-2</v>
      </c>
    </row>
    <row r="1759" spans="1:4">
      <c r="A1759" s="18">
        <v>46065</v>
      </c>
      <c r="B1759" s="8">
        <v>-1.2230728679020078E-2</v>
      </c>
      <c r="C1759" s="4">
        <v>299.86853655166726</v>
      </c>
      <c r="D1759" s="4">
        <v>-7.423971335739854E-2</v>
      </c>
    </row>
    <row r="1760" spans="1:4">
      <c r="A1760" s="18">
        <v>46066</v>
      </c>
      <c r="B1760" s="8">
        <v>-1.1002115870016056E-2</v>
      </c>
      <c r="C1760" s="4">
        <v>296.56934816675368</v>
      </c>
      <c r="D1760" s="4">
        <v>-8.4425035298899775E-2</v>
      </c>
    </row>
    <row r="1761" spans="1:4">
      <c r="A1761" s="18">
        <v>46069</v>
      </c>
      <c r="B1761" s="8">
        <v>3.9398927010415793E-3</v>
      </c>
      <c r="C1761" s="4">
        <v>297.73779957694859</v>
      </c>
      <c r="D1761" s="4">
        <v>-8.0817768178217286E-2</v>
      </c>
    </row>
    <row r="1762" spans="1:4">
      <c r="A1762" s="18">
        <v>46070</v>
      </c>
      <c r="B1762" s="8">
        <v>9.4502881193037451E-3</v>
      </c>
      <c r="C1762" s="4">
        <v>300.55150756695826</v>
      </c>
      <c r="D1762" s="4">
        <v>-7.2131231253356853E-2</v>
      </c>
    </row>
    <row r="1763" spans="1:4">
      <c r="A1763" s="18">
        <v>46071</v>
      </c>
      <c r="B1763" s="8">
        <v>4.1318361335266358E-3</v>
      </c>
      <c r="C1763" s="4">
        <v>301.79333714590933</v>
      </c>
      <c r="D1763" s="4">
        <v>-6.8297429547478528E-2</v>
      </c>
    </row>
    <row r="1764" spans="1:4">
      <c r="A1764" s="18">
        <v>46072</v>
      </c>
      <c r="B1764" s="8">
        <v>-1.228902287700586E-2</v>
      </c>
      <c r="C1764" s="4">
        <v>298.08459192159529</v>
      </c>
      <c r="D1764" s="4">
        <v>-7.9747143750334759E-2</v>
      </c>
    </row>
    <row r="1765" spans="1:4">
      <c r="A1765" s="18">
        <v>46073</v>
      </c>
      <c r="B1765" s="8">
        <v>6.5902930084916298E-3</v>
      </c>
      <c r="C1765" s="4">
        <v>300.04905672367522</v>
      </c>
      <c r="D1765" s="4">
        <v>-7.3682407785748305E-2</v>
      </c>
    </row>
    <row r="1766" spans="1:4">
      <c r="A1766" s="18">
        <v>46076</v>
      </c>
      <c r="B1766" s="8">
        <v>2.9962196790140347E-3</v>
      </c>
      <c r="C1766" s="4">
        <v>300.94806961210031</v>
      </c>
      <c r="D1766" s="4">
        <v>-7.0906956786939035E-2</v>
      </c>
    </row>
    <row r="1767" spans="1:4">
      <c r="A1767" s="18">
        <v>46077</v>
      </c>
      <c r="B1767" s="8">
        <v>-1.7168837874530989E-2</v>
      </c>
      <c r="C1767" s="4">
        <v>295.78114099627709</v>
      </c>
      <c r="D1767" s="4">
        <v>-8.6858404616218743E-2</v>
      </c>
    </row>
    <row r="1768" spans="1:4">
      <c r="A1768" s="18">
        <v>46078</v>
      </c>
      <c r="B1768" s="8">
        <v>5.476155705736385E-3</v>
      </c>
      <c r="C1768" s="4">
        <v>297.40088457919308</v>
      </c>
      <c r="D1768" s="4">
        <v>-8.1857899058512595E-2</v>
      </c>
    </row>
    <row r="1769" spans="1:4">
      <c r="A1769" s="18">
        <v>46079</v>
      </c>
      <c r="B1769" s="8">
        <v>3.3222647311337014E-3</v>
      </c>
      <c r="C1769" s="4">
        <v>298.3889290490385</v>
      </c>
      <c r="D1769" s="4">
        <v>-7.8807587938385604E-2</v>
      </c>
    </row>
    <row r="1770" spans="1:4">
      <c r="A1770" s="18">
        <v>46080</v>
      </c>
      <c r="B1770" s="8">
        <v>-1.1958907509707132E-2</v>
      </c>
      <c r="C1770" s="4">
        <v>294.82052344462045</v>
      </c>
      <c r="D1770" s="4">
        <v>-8.9824042792874592E-2</v>
      </c>
    </row>
    <row r="1771" spans="1:4">
      <c r="A1771" s="18">
        <v>46083</v>
      </c>
      <c r="B1771" s="8">
        <v>-1.9688659455655136E-2</v>
      </c>
      <c r="C1771" s="4">
        <v>289.01590255798135</v>
      </c>
      <c r="D1771" s="4">
        <v>-0.10774418725905055</v>
      </c>
    </row>
    <row r="1772" spans="1:4">
      <c r="A1772" s="18">
        <v>46085</v>
      </c>
      <c r="B1772" s="8">
        <v>-1.4754154214674055E-2</v>
      </c>
      <c r="C1772" s="4">
        <v>284.75171736114766</v>
      </c>
      <c r="D1772" s="4">
        <v>-0.12090866711916992</v>
      </c>
    </row>
    <row r="1773" spans="1:4">
      <c r="A1773" s="18">
        <v>46086</v>
      </c>
      <c r="B1773" s="8">
        <v>1.8829570304784368E-2</v>
      </c>
      <c r="C1773" s="4">
        <v>290.11346984260746</v>
      </c>
      <c r="D1773" s="4">
        <v>-0.10435575506236383</v>
      </c>
    </row>
    <row r="1774" spans="1:4">
      <c r="A1774" s="18">
        <v>46087</v>
      </c>
      <c r="B1774" s="8">
        <v>-7.9071618571820625E-3</v>
      </c>
      <c r="C1774" s="4">
        <v>287.81949567961323</v>
      </c>
      <c r="D1774" s="4">
        <v>-0.11143775907353937</v>
      </c>
    </row>
    <row r="1775" spans="1:4">
      <c r="A1775" s="18">
        <v>46090</v>
      </c>
      <c r="B1775" s="8">
        <v>-1.492627677263034E-2</v>
      </c>
      <c r="C1775" s="4">
        <v>283.52342222654045</v>
      </c>
      <c r="D1775" s="4">
        <v>-0.12470068501131637</v>
      </c>
    </row>
    <row r="1776" spans="1:4">
      <c r="A1776" s="18">
        <v>46091</v>
      </c>
      <c r="B1776" s="8">
        <v>5.8560320415189668E-3</v>
      </c>
      <c r="C1776" s="4">
        <v>285.18374447162023</v>
      </c>
      <c r="D1776" s="4">
        <v>-0.11957490417682293</v>
      </c>
    </row>
    <row r="1777" spans="1:4">
      <c r="A1777" s="18">
        <v>46092</v>
      </c>
      <c r="B1777" s="8">
        <v>-1.1982157407783047E-2</v>
      </c>
      <c r="C1777" s="4">
        <v>281.76662795522032</v>
      </c>
      <c r="D1777" s="4">
        <v>-0.13012429626073863</v>
      </c>
    </row>
    <row r="1778" spans="1:4">
      <c r="A1778" s="18">
        <v>46093</v>
      </c>
      <c r="B1778" s="8">
        <v>-1.5919451088481272E-2</v>
      </c>
      <c r="C1778" s="4">
        <v>277.28105790312088</v>
      </c>
      <c r="D1778" s="4">
        <v>-0.14397223997947406</v>
      </c>
    </row>
    <row r="1779" spans="1:4">
      <c r="A1779" s="18">
        <v>46094</v>
      </c>
      <c r="B1779" s="8">
        <v>-2.8593270191493325E-2</v>
      </c>
      <c r="C1779" s="4">
        <v>269.35268569551386</v>
      </c>
      <c r="D1779" s="4">
        <v>-0.16844887301315969</v>
      </c>
    </row>
    <row r="1780" spans="1:4">
      <c r="A1780" s="18">
        <v>46097</v>
      </c>
      <c r="B1780" s="8">
        <v>8.1763928837098755E-3</v>
      </c>
      <c r="C1780" s="4">
        <v>271.55501907804285</v>
      </c>
      <c r="D1780" s="4">
        <v>-0.16164978429602339</v>
      </c>
    </row>
    <row r="1781" spans="1:4">
      <c r="A1781" s="18">
        <v>46098</v>
      </c>
      <c r="B1781" s="8">
        <v>6.3368884955718515E-3</v>
      </c>
      <c r="C1781" s="4">
        <v>273.27583295435329</v>
      </c>
      <c r="D1781" s="4">
        <v>-0.15633725245886865</v>
      </c>
    </row>
    <row r="1782" spans="1:4">
      <c r="A1782" s="18">
        <v>46099</v>
      </c>
      <c r="B1782" s="8">
        <v>8.0915182220121125E-3</v>
      </c>
      <c r="C1782" s="4">
        <v>275.48704933633894</v>
      </c>
      <c r="D1782" s="4">
        <v>-0.14951073996390696</v>
      </c>
    </row>
    <row r="1783" spans="1:4">
      <c r="A1783" s="18">
        <v>46100</v>
      </c>
      <c r="B1783" s="8">
        <v>-3.2903905469441851E-2</v>
      </c>
      <c r="C1783" s="4">
        <v>266.4224495069206</v>
      </c>
      <c r="D1783" s="4">
        <v>-0.17749515817891004</v>
      </c>
    </row>
    <row r="1784" spans="1:4">
      <c r="A1784" s="18">
        <v>46101</v>
      </c>
      <c r="B1784" s="8">
        <v>8.2164776193728532E-3</v>
      </c>
      <c r="C1784" s="4">
        <v>268.61150360059275</v>
      </c>
      <c r="D1784" s="4">
        <v>-0.17073706555426105</v>
      </c>
    </row>
    <row r="1785" spans="1:4">
      <c r="A1785" s="18">
        <v>46104</v>
      </c>
      <c r="B1785" s="8">
        <v>-1.7571288221258002E-2</v>
      </c>
      <c r="C1785" s="4">
        <v>263.89165345128129</v>
      </c>
      <c r="D1785" s="4">
        <v>-0.18530828358661322</v>
      </c>
    </row>
    <row r="1786" spans="1:4">
      <c r="A1786" s="18">
        <v>46105</v>
      </c>
      <c r="B1786" s="8">
        <v>1.6223431257175885E-2</v>
      </c>
      <c r="C1786" s="4">
        <v>268.17288155039063</v>
      </c>
      <c r="D1786" s="4">
        <v>-0.17209118852959004</v>
      </c>
    </row>
    <row r="1787" spans="1:4">
      <c r="A1787" s="18">
        <v>46106</v>
      </c>
      <c r="B1787" s="8">
        <v>1.7252743845745738E-2</v>
      </c>
      <c r="C1787" s="4">
        <v>272.799599582155</v>
      </c>
      <c r="D1787" s="4">
        <v>-0.15780748987765536</v>
      </c>
    </row>
    <row r="1788" spans="1:4">
      <c r="A1788" s="18">
        <v>46108</v>
      </c>
      <c r="B1788" s="8">
        <v>-1.8459982148696645E-2</v>
      </c>
      <c r="C1788" s="4">
        <v>267.76372384369682</v>
      </c>
      <c r="D1788" s="4">
        <v>-0.17335434858027987</v>
      </c>
    </row>
    <row r="1789" spans="1:4">
      <c r="A1789" s="18">
        <v>46111</v>
      </c>
      <c r="B1789" s="8">
        <v>-1.4894918752200521E-2</v>
      </c>
      <c r="C1789" s="4">
        <v>263.77540493225831</v>
      </c>
      <c r="D1789" s="4">
        <v>-0.1856671683950365</v>
      </c>
    </row>
    <row r="1790" spans="1:4">
      <c r="A1790" s="18">
        <v>46113</v>
      </c>
      <c r="B1790" s="8">
        <v>1.4736175830058562E-2</v>
      </c>
      <c r="C1790" s="4">
        <v>267.66244567898497</v>
      </c>
      <c r="D1790" s="4">
        <v>-0.17366701660431627</v>
      </c>
    </row>
    <row r="1791" spans="1:4">
      <c r="A1791" s="18">
        <v>46114</v>
      </c>
      <c r="B1791" s="8">
        <v>1.8306295582081714E-3</v>
      </c>
      <c r="C1791" s="4">
        <v>268.15243646366724</v>
      </c>
      <c r="D1791" s="4">
        <v>-0.17215430701998968</v>
      </c>
    </row>
    <row r="1792" spans="1:4">
      <c r="A1792" s="18">
        <v>46118</v>
      </c>
      <c r="B1792" s="8">
        <v>6.6442009461520467E-3</v>
      </c>
      <c r="C1792" s="4">
        <v>269.93409513573209</v>
      </c>
      <c r="D1792" s="4">
        <v>-0.16665393388342398</v>
      </c>
    </row>
    <row r="1793" spans="1:4">
      <c r="A1793" s="18">
        <v>46119</v>
      </c>
      <c r="B1793" s="8">
        <v>9.1341947312859953E-3</v>
      </c>
      <c r="C1793" s="4">
        <v>272.39972572531536</v>
      </c>
      <c r="D1793" s="4">
        <v>-0.15904198863696406</v>
      </c>
    </row>
    <row r="1794" spans="1:4">
      <c r="A1794" s="18">
        <v>46120</v>
      </c>
      <c r="B1794" s="8">
        <v>3.7550317651365468E-2</v>
      </c>
      <c r="C1794" s="4">
        <v>282.62842195444574</v>
      </c>
      <c r="D1794" s="4">
        <v>-0.12746374817882156</v>
      </c>
    </row>
    <row r="1795" spans="1:4">
      <c r="A1795" s="18">
        <v>46121</v>
      </c>
      <c r="B1795" s="8">
        <v>-8.4648104742508726E-3</v>
      </c>
      <c r="C1795" s="4">
        <v>280.23602592796476</v>
      </c>
      <c r="D1795" s="4">
        <v>-0.13484960218240105</v>
      </c>
    </row>
    <row r="1796" spans="1:4">
      <c r="A1796" s="18">
        <v>46122</v>
      </c>
      <c r="B1796" s="8">
        <v>-1.7554003784962537E-3</v>
      </c>
      <c r="C1796" s="4">
        <v>279.74409950198253</v>
      </c>
      <c r="D1796" s="4">
        <v>-0.13636828751818619</v>
      </c>
    </row>
    <row r="1797" spans="1:4">
      <c r="A1797" s="18">
        <v>46125</v>
      </c>
      <c r="B1797" s="8">
        <v>-1.8606403547029932E-2</v>
      </c>
      <c r="C1797" s="4">
        <v>274.53906789674818</v>
      </c>
      <c r="D1797" s="4">
        <v>-0.15243736767663529</v>
      </c>
    </row>
    <row r="1798" spans="1:4">
      <c r="A1798" s="18">
        <v>46127</v>
      </c>
      <c r="B1798" s="8">
        <v>2.3291613388720583E-2</v>
      </c>
      <c r="C1798" s="4">
        <v>280.93352572629897</v>
      </c>
      <c r="D1798" s="4">
        <v>-0.13269626652183308</v>
      </c>
    </row>
    <row r="1799" spans="1:4">
      <c r="A1799" s="18">
        <v>46128</v>
      </c>
      <c r="B1799" s="8">
        <v>3.0929027129849504E-3</v>
      </c>
      <c r="C1799" s="4">
        <v>281.80242579018625</v>
      </c>
      <c r="D1799" s="4">
        <v>-0.13001378045157652</v>
      </c>
    </row>
    <row r="1800" spans="1:4">
      <c r="A1800" s="18">
        <v>46129</v>
      </c>
      <c r="B1800" s="8">
        <v>2.5534035146800374E-3</v>
      </c>
      <c r="C1800" s="4">
        <v>282.52198109464427</v>
      </c>
      <c r="D1800" s="4">
        <v>-0.12779235458085836</v>
      </c>
    </row>
    <row r="1801" spans="1:4">
      <c r="A1801" s="18">
        <v>46132</v>
      </c>
      <c r="B1801" s="8">
        <v>-4.3520581498888398E-3</v>
      </c>
      <c r="C1801" s="4">
        <v>281.29242900429858</v>
      </c>
      <c r="D1801" s="4">
        <v>-0.1315882529725001</v>
      </c>
    </row>
    <row r="1802" spans="1:4">
      <c r="A1802" s="18">
        <v>46133</v>
      </c>
      <c r="B1802" s="8">
        <v>3.9930762417353972E-3</v>
      </c>
      <c r="C1802" s="4">
        <v>282.41565111953571</v>
      </c>
      <c r="D1802" s="4">
        <v>-0.12812061865740065</v>
      </c>
    </row>
    <row r="1803" spans="1:4">
      <c r="A1803" s="18">
        <v>46134</v>
      </c>
      <c r="B1803" s="8">
        <v>-1.0676423243982623E-2</v>
      </c>
      <c r="C1803" s="4">
        <v>279.40046209745861</v>
      </c>
      <c r="D1803" s="4">
        <v>-0.1374291719503159</v>
      </c>
    </row>
    <row r="1804" spans="1:4">
      <c r="A1804" s="18">
        <v>46135</v>
      </c>
      <c r="B1804" s="8">
        <v>-5.729772161682337E-3</v>
      </c>
      <c r="C1804" s="4">
        <v>277.79956110777141</v>
      </c>
      <c r="D1804" s="4">
        <v>-0.14237150626835438</v>
      </c>
    </row>
    <row r="1805" spans="1:4">
      <c r="A1805" s="18">
        <v>46136</v>
      </c>
      <c r="B1805" s="8">
        <v>-2.1616283084244004E-2</v>
      </c>
      <c r="C1805" s="4">
        <v>271.79456715418706</v>
      </c>
      <c r="D1805" s="4">
        <v>-0.16091024656997144</v>
      </c>
    </row>
    <row r="1806" spans="1:4">
      <c r="A1806" s="18">
        <v>46139</v>
      </c>
      <c r="B1806" s="8">
        <v>2.2793443171886679E-2</v>
      </c>
      <c r="C1806" s="4">
        <v>277.98970117504354</v>
      </c>
      <c r="D1806" s="4">
        <v>-0.14178450195905179</v>
      </c>
    </row>
    <row r="1807" spans="1:4">
      <c r="A1807" s="18">
        <v>46140</v>
      </c>
      <c r="B1807" s="8">
        <v>-4.2080322903934727E-3</v>
      </c>
      <c r="C1807" s="4">
        <v>276.8199115361021</v>
      </c>
      <c r="D1807" s="4">
        <v>-0.14539590048692419</v>
      </c>
    </row>
    <row r="1808" spans="1:4">
      <c r="A1808" s="18">
        <v>46141</v>
      </c>
      <c r="B1808" s="8">
        <v>1.9520062164830133E-2</v>
      </c>
      <c r="C1808" s="4">
        <v>282.22345341774957</v>
      </c>
      <c r="D1808" s="4">
        <v>-0.12871397533811035</v>
      </c>
    </row>
    <row r="1809" spans="1:4">
      <c r="A1809" s="18">
        <v>46142</v>
      </c>
      <c r="B1809" s="8">
        <v>-1.6345764608824247E-4</v>
      </c>
      <c r="C1809" s="4">
        <v>282.17732183638299</v>
      </c>
      <c r="D1809" s="4">
        <v>-0.12885639370077129</v>
      </c>
    </row>
    <row r="1810" spans="1:4">
      <c r="A1810" s="18">
        <v>46143</v>
      </c>
      <c r="B1810" s="8">
        <v>0</v>
      </c>
      <c r="C1810" s="4">
        <v>282.17732183638299</v>
      </c>
      <c r="D1810" s="4">
        <v>-0.12885639370077129</v>
      </c>
    </row>
    <row r="1811" spans="1:4">
      <c r="A1811" s="18">
        <v>46146</v>
      </c>
      <c r="B1811" s="8">
        <v>9.5442491846494462E-3</v>
      </c>
      <c r="C1811" s="4">
        <v>284.87049251024644</v>
      </c>
      <c r="D1811" s="4">
        <v>-0.12054198204663735</v>
      </c>
    </row>
    <row r="1812" spans="1:4">
      <c r="A1812" s="18">
        <v>46147</v>
      </c>
      <c r="B1812" s="8">
        <v>-4.6327216540892769E-3</v>
      </c>
      <c r="C1812" s="4">
        <v>283.55076681098313</v>
      </c>
      <c r="D1812" s="4">
        <v>-0.12461626625027233</v>
      </c>
    </row>
    <row r="1813" spans="1:4">
      <c r="A1813" s="18">
        <v>46148</v>
      </c>
      <c r="B1813" s="8">
        <v>3.8934115204119395E-3</v>
      </c>
      <c r="C1813" s="4">
        <v>284.65474663310664</v>
      </c>
      <c r="D1813" s="4">
        <v>-0.12120803713650996</v>
      </c>
    </row>
    <row r="1814" spans="1:4">
      <c r="A1814" s="18">
        <v>46149</v>
      </c>
      <c r="B1814" s="8">
        <v>-2.5328286925014121E-3</v>
      </c>
      <c r="C1814" s="4">
        <v>283.93376492337762</v>
      </c>
      <c r="D1814" s="4">
        <v>-0.12343386663479017</v>
      </c>
    </row>
    <row r="1815" spans="1:4">
      <c r="A1815" s="18">
        <v>46150</v>
      </c>
      <c r="B1815" s="8">
        <v>-2.4326567841692873E-3</v>
      </c>
      <c r="C1815" s="4">
        <v>283.24305152388206</v>
      </c>
      <c r="D1815" s="4">
        <v>-0.12556625118589404</v>
      </c>
    </row>
    <row r="1816" spans="1:4">
      <c r="A1816" s="18">
        <v>46153</v>
      </c>
      <c r="B1816" s="8">
        <v>-9.5722862425389257E-3</v>
      </c>
      <c r="C1816" s="4">
        <v>280.53176795848526</v>
      </c>
      <c r="D1816" s="4">
        <v>-0.13393658132967901</v>
      </c>
    </row>
    <row r="1817" spans="1:4">
      <c r="A1817" s="18">
        <v>46154</v>
      </c>
      <c r="B1817" s="8">
        <v>-2.1793469955526987E-2</v>
      </c>
      <c r="C1817" s="4">
        <v>274.41800730191113</v>
      </c>
      <c r="D1817" s="4">
        <v>-0.15281110842405166</v>
      </c>
    </row>
    <row r="1818" spans="1:4">
      <c r="A1818" s="18">
        <v>46155</v>
      </c>
      <c r="B1818" s="8">
        <v>-1.5527640114516555E-3</v>
      </c>
      <c r="C1818" s="4">
        <v>273.99190089607845</v>
      </c>
      <c r="D1818" s="4">
        <v>-0.15412659284579244</v>
      </c>
    </row>
    <row r="1819" spans="1:4">
      <c r="A1819" s="18">
        <v>46156</v>
      </c>
      <c r="B1819" s="8">
        <v>3.8534524183948247E-3</v>
      </c>
      <c r="C1819" s="4">
        <v>275.04771564920702</v>
      </c>
      <c r="D1819" s="4">
        <v>-0.15086705991933824</v>
      </c>
    </row>
    <row r="1820" spans="1:4">
      <c r="A1820" s="18">
        <v>46157</v>
      </c>
      <c r="B1820" s="8">
        <v>2.4164702826738266E-3</v>
      </c>
      <c r="C1820" s="4">
        <v>275.71236028039067</v>
      </c>
      <c r="D1820" s="4">
        <v>-0.1488151554035938</v>
      </c>
    </row>
    <row r="1821" spans="1:4">
      <c r="A1821" s="18">
        <v>46160</v>
      </c>
      <c r="B1821" s="8">
        <v>2.4224289703862877E-3</v>
      </c>
      <c r="C1821" s="4">
        <v>276.38025388942748</v>
      </c>
      <c r="D1821" s="4">
        <v>-0.14675322057688966</v>
      </c>
    </row>
    <row r="1822" spans="1:4">
      <c r="A1822" s="18">
        <v>46161</v>
      </c>
      <c r="B1822" s="8">
        <v>1.3130499534398817E-3</v>
      </c>
      <c r="C1822" s="4">
        <v>276.74315496892871</v>
      </c>
      <c r="D1822" s="4">
        <v>-0.1456328649328954</v>
      </c>
    </row>
    <row r="1823" spans="1:4">
      <c r="A1823" s="18">
        <v>46162</v>
      </c>
      <c r="B1823" s="8">
        <v>2.3438012501159023E-3</v>
      </c>
      <c r="C1823" s="4">
        <v>277.39178592150586</v>
      </c>
      <c r="D1823" s="4">
        <v>-0.1436303981736673</v>
      </c>
    </row>
    <row r="1824" spans="1:4">
      <c r="A1824" s="18">
        <v>46163</v>
      </c>
      <c r="B1824" s="8">
        <v>1.462492052933331E-4</v>
      </c>
      <c r="C1824" s="4">
        <v>277.43235424975177</v>
      </c>
      <c r="D1824" s="4">
        <v>-0.14350515479996284</v>
      </c>
    </row>
    <row r="1825" spans="1:4">
      <c r="A1825" s="18">
        <v>46164</v>
      </c>
      <c r="B1825" s="8">
        <v>-3.6068535288115797E-3</v>
      </c>
      <c r="C1825" s="4">
        <v>276.43169638381954</v>
      </c>
      <c r="D1825" s="4">
        <v>-0.14659440625478148</v>
      </c>
    </row>
    <row r="1826" spans="1:4">
      <c r="A1826" s="18">
        <v>46167</v>
      </c>
      <c r="B1826" s="8">
        <v>1.1920560887958207E-2</v>
      </c>
      <c r="C1826" s="4">
        <v>279.72691725192442</v>
      </c>
      <c r="D1826" s="4">
        <v>-0.13642133291241765</v>
      </c>
    </row>
    <row r="1827" spans="1:4">
      <c r="A1827" s="18">
        <v>46168</v>
      </c>
      <c r="B1827" s="8">
        <v>-2.8628380640665129E-3</v>
      </c>
      <c r="C1827" s="4">
        <v>278.92610438567164</v>
      </c>
      <c r="D1827" s="4">
        <v>-0.13889361879187168</v>
      </c>
    </row>
    <row r="1828" spans="1:4">
      <c r="A1828" s="18">
        <v>46169</v>
      </c>
      <c r="B1828" s="8">
        <v>-1.6444170629265553E-4</v>
      </c>
      <c r="C1828" s="4">
        <v>278.8802373011369</v>
      </c>
      <c r="D1828" s="4">
        <v>-0.13903522059449702</v>
      </c>
    </row>
    <row r="1829" spans="1:4">
      <c r="A1829" s="18">
        <v>46170</v>
      </c>
      <c r="B1829" s="8">
        <v>0</v>
      </c>
      <c r="C1829" s="4">
        <v>278.8802373011369</v>
      </c>
      <c r="D1829" s="4">
        <v>-0.13903522059449702</v>
      </c>
    </row>
    <row r="1830" spans="1:4">
      <c r="A1830" s="18">
        <v>46171</v>
      </c>
      <c r="B1830" s="8">
        <v>-1.2212136213385795E-2</v>
      </c>
      <c r="C1830" s="4">
        <v>275.47451385599408</v>
      </c>
      <c r="D1830" s="4">
        <v>-0.1495494397555247</v>
      </c>
    </row>
    <row r="1831" spans="1:4">
      <c r="A1831" s="18">
        <v>46174</v>
      </c>
      <c r="B1831" s="8">
        <v>-3.9621922997664216E-3</v>
      </c>
      <c r="C1831" s="4">
        <v>274.38303085841193</v>
      </c>
      <c r="D1831" s="4">
        <v>-0.15291908841665747</v>
      </c>
    </row>
    <row r="1832" spans="1:4">
      <c r="A1832" s="18">
        <v>46175</v>
      </c>
      <c r="B1832" s="8">
        <v>1.1739447998308785E-2</v>
      </c>
      <c r="C1832" s="4">
        <v>277.60413618079264</v>
      </c>
      <c r="D1832" s="4">
        <v>-0.14297482610476475</v>
      </c>
    </row>
    <row r="1833" spans="1:4">
      <c r="A1833" s="18">
        <v>46176</v>
      </c>
      <c r="B1833" s="8">
        <v>-1.4158996673959472E-2</v>
      </c>
      <c r="C1833" s="4">
        <v>273.67354013993139</v>
      </c>
      <c r="D1833" s="4">
        <v>-0.15510944269144689</v>
      </c>
    </row>
    <row r="1834" spans="1:4">
      <c r="A1834" s="18">
        <v>46177</v>
      </c>
      <c r="B1834" s="8">
        <v>-2.3373837485998381E-3</v>
      </c>
      <c r="C1834" s="4">
        <v>273.03386005478654</v>
      </c>
      <c r="D1834" s="4">
        <v>-0.15708427614944531</v>
      </c>
    </row>
    <row r="1835" spans="1:4">
      <c r="A1835" s="18">
        <v>46178</v>
      </c>
      <c r="B1835" s="8">
        <v>-2.6356869579815699E-3</v>
      </c>
      <c r="C1835" s="4">
        <v>272.31422827075278</v>
      </c>
      <c r="D1835" s="4">
        <v>-0.15930593812947591</v>
      </c>
    </row>
    <row r="1836" spans="1:4">
      <c r="A1836" s="18">
        <v>46181</v>
      </c>
      <c r="B1836" s="8">
        <v>-1.1906183612080455E-2</v>
      </c>
      <c r="C1836" s="4">
        <v>269.07200506877922</v>
      </c>
      <c r="D1836" s="4">
        <v>-0.16931539599169199</v>
      </c>
    </row>
    <row r="1837" spans="1:4">
      <c r="A1837" s="18">
        <v>46182</v>
      </c>
      <c r="B1837" s="8">
        <v>3.7727165468055524E-3</v>
      </c>
      <c r="C1837" s="4">
        <v>270.08713747458432</v>
      </c>
      <c r="D1837" s="4">
        <v>-0.16618145844097332</v>
      </c>
    </row>
    <row r="1838" spans="1:4">
      <c r="A1838" s="18">
        <v>46183</v>
      </c>
      <c r="B1838" s="8">
        <v>1.0717741862408771E-3</v>
      </c>
      <c r="C1838" s="4">
        <v>270.3766098965653</v>
      </c>
      <c r="D1838" s="4">
        <v>-0.16528779325212128</v>
      </c>
    </row>
    <row r="1839" spans="1:4">
      <c r="A1839" s="18">
        <v>46184</v>
      </c>
      <c r="B1839" s="8">
        <v>-4.9458406899008595E-3</v>
      </c>
      <c r="C1839" s="4">
        <v>269.03937025774138</v>
      </c>
      <c r="D1839" s="4">
        <v>-0.16941614684861195</v>
      </c>
    </row>
    <row r="1840" spans="1:4">
      <c r="A1840" s="18">
        <v>46185</v>
      </c>
      <c r="B1840" s="8">
        <v>2.2466032015215368E-2</v>
      </c>
      <c r="C1840" s="4">
        <v>275.08361736330522</v>
      </c>
      <c r="D1840" s="4">
        <v>-0.15075622341239181</v>
      </c>
    </row>
    <row r="1841" spans="1:4">
      <c r="A1841" s="18">
        <v>46188</v>
      </c>
      <c r="B1841" s="8">
        <v>1.6205098076324115E-2</v>
      </c>
      <c r="C1841" s="4">
        <v>279.54137436186761</v>
      </c>
      <c r="D1841" s="4">
        <v>-0.13699414472208171</v>
      </c>
    </row>
    <row r="1842" spans="1:4">
      <c r="A1842" s="18">
        <v>46189</v>
      </c>
      <c r="B1842" s="8">
        <v>4.8229560770850751E-3</v>
      </c>
      <c r="C1842" s="4">
        <v>280.88959013214293</v>
      </c>
      <c r="D1842" s="4">
        <v>-0.13283190538780898</v>
      </c>
    </row>
    <row r="1843" spans="1:4">
      <c r="A1843" s="18">
        <v>46190</v>
      </c>
      <c r="B1843" s="8">
        <v>4.1131078942912101E-3</v>
      </c>
      <c r="C1843" s="4">
        <v>282.0449193227397</v>
      </c>
      <c r="D1843" s="4">
        <v>-0.12926514945218204</v>
      </c>
    </row>
    <row r="1844" spans="1:4">
      <c r="A1844" s="18">
        <v>46191</v>
      </c>
      <c r="B1844" s="8">
        <v>-4.7348133652157613E-3</v>
      </c>
      <c r="C1844" s="4">
        <v>280.70948926913917</v>
      </c>
      <c r="D1844" s="4">
        <v>-0.13338791646011505</v>
      </c>
    </row>
    <row r="1845" spans="1:4">
      <c r="A1845" s="18">
        <v>46192</v>
      </c>
      <c r="B1845" s="8">
        <v>-1.0077817408495053E-2</v>
      </c>
      <c r="C1845" s="4">
        <v>277.88055029145289</v>
      </c>
      <c r="D1845" s="4">
        <v>-0.14212147480202542</v>
      </c>
    </row>
    <row r="1846" spans="1:4">
      <c r="A1846" s="18">
        <v>46195</v>
      </c>
      <c r="B1846" s="8">
        <v>5.1859093719403828E-3</v>
      </c>
      <c r="C1846" s="4">
        <v>279.32161364148931</v>
      </c>
      <c r="D1846" s="4">
        <v>-0.13767259451821479</v>
      </c>
    </row>
    <row r="1847" spans="1:4">
      <c r="A1847" s="18">
        <v>46196</v>
      </c>
      <c r="B1847" s="8">
        <v>-8.9660278972937338E-3</v>
      </c>
      <c r="C1847" s="4">
        <v>276.81720826126264</v>
      </c>
      <c r="D1847" s="4">
        <v>-0.14540424609236535</v>
      </c>
    </row>
    <row r="1848" spans="1:4">
      <c r="A1848" s="18">
        <v>46197</v>
      </c>
      <c r="B1848" s="8">
        <v>4.3248768508062892E-3</v>
      </c>
      <c r="C1848" s="4">
        <v>278.01440859717655</v>
      </c>
      <c r="D1848" s="4">
        <v>-0.14170822469949296</v>
      </c>
    </row>
    <row r="1849" spans="1:4">
      <c r="A1849" s="18">
        <v>46198</v>
      </c>
      <c r="B1849" s="8">
        <v>6.7886736057904615E-3</v>
      </c>
      <c r="C1849" s="4">
        <v>279.90175767484965</v>
      </c>
      <c r="D1849" s="4">
        <v>-0.13588156197844337</v>
      </c>
    </row>
    <row r="1850" spans="1:4">
      <c r="A1850" s="18">
        <v>46199</v>
      </c>
      <c r="B1850" s="8">
        <v>0</v>
      </c>
      <c r="C1850" s="4">
        <v>279.90175767484965</v>
      </c>
      <c r="D1850" s="4">
        <v>-0.13588156197844337</v>
      </c>
    </row>
    <row r="1851" spans="1:4">
      <c r="A1851" s="18">
        <v>46202</v>
      </c>
      <c r="B1851" s="8">
        <v>-7.5686621048713237E-3</v>
      </c>
      <c r="C1851" s="4">
        <v>277.78327584844914</v>
      </c>
      <c r="D1851" s="4">
        <v>-0.14242178245441772</v>
      </c>
    </row>
    <row r="1852" spans="1:4">
      <c r="A1852" s="18">
        <v>46203</v>
      </c>
      <c r="B1852" s="8">
        <v>5.5965882325933287E-4</v>
      </c>
      <c r="C1852" s="4">
        <v>277.93873970973158</v>
      </c>
      <c r="D1852" s="4">
        <v>-0.14194183123833337</v>
      </c>
    </row>
    <row r="1853" spans="1:4">
      <c r="A1853" s="18">
        <v>46204</v>
      </c>
      <c r="B1853" s="8">
        <v>5.4359813521101226E-4</v>
      </c>
      <c r="C1853" s="4">
        <v>278.08982669034071</v>
      </c>
      <c r="D1853" s="4">
        <v>-0.14147539241789187</v>
      </c>
    </row>
    <row r="1854" spans="1:4">
      <c r="A1854" s="18">
        <v>46205</v>
      </c>
      <c r="B1854" s="8">
        <v>6.1475095645349689E-3</v>
      </c>
      <c r="C1854" s="4">
        <v>279.79938655971944</v>
      </c>
      <c r="D1854" s="4">
        <v>-0.13619760418139237</v>
      </c>
    </row>
    <row r="1855" spans="1:4">
      <c r="A1855" s="18">
        <v>46206</v>
      </c>
      <c r="B1855" s="8">
        <v>3.5123688886640092E-3</v>
      </c>
      <c r="C1855" s="4">
        <v>280.78214522013906</v>
      </c>
      <c r="D1855" s="4">
        <v>-0.13316361152036571</v>
      </c>
    </row>
    <row r="1856" spans="1:4">
      <c r="A1856" s="18">
        <v>46209</v>
      </c>
      <c r="B1856" s="8">
        <v>4.5173872574320846E-3</v>
      </c>
      <c r="C1856" s="4">
        <v>282.05054690507092</v>
      </c>
      <c r="D1856" s="4">
        <v>-0.12924777586476943</v>
      </c>
    </row>
    <row r="1857" spans="1:4">
      <c r="A1857" s="18">
        <v>46210</v>
      </c>
      <c r="B1857" s="8">
        <v>1.2642067491780841E-3</v>
      </c>
      <c r="C1857" s="4">
        <v>282.40711711007771</v>
      </c>
      <c r="D1857" s="4">
        <v>-0.12814696502615575</v>
      </c>
    </row>
    <row r="1858" spans="1:4">
      <c r="A1858" s="18">
        <v>46211</v>
      </c>
      <c r="B1858" s="8">
        <v>-2.3002971119454582E-2</v>
      </c>
      <c r="C1858" s="4">
        <v>275.91091435126617</v>
      </c>
      <c r="D1858" s="4">
        <v>-0.14820217521006795</v>
      </c>
    </row>
    <row r="1859" spans="1:4">
      <c r="A1859" s="18">
        <v>46212</v>
      </c>
      <c r="B1859" s="8">
        <v>2.8165444149741561E-4</v>
      </c>
      <c r="C1859" s="4">
        <v>275.98862588575082</v>
      </c>
      <c r="D1859" s="4">
        <v>-0.14796226256945799</v>
      </c>
    </row>
    <row r="1860" spans="1:4">
      <c r="A1860" s="18">
        <v>46213</v>
      </c>
      <c r="B1860" s="8">
        <v>1.0158395218710242E-2</v>
      </c>
      <c r="C1860" s="4">
        <v>278.79222742336708</v>
      </c>
      <c r="D1860" s="4">
        <v>-0.13930692649138277</v>
      </c>
    </row>
    <row r="1861" spans="1:4">
      <c r="A1861" s="18">
        <v>46216</v>
      </c>
      <c r="B1861" s="8">
        <v>1.0105949666484753E-3</v>
      </c>
      <c r="C1861" s="4">
        <v>279.07397344514186</v>
      </c>
      <c r="D1861" s="4">
        <v>-0.13843711440346573</v>
      </c>
    </row>
    <row r="1862" spans="1:4">
      <c r="A1862" s="18">
        <v>46217</v>
      </c>
      <c r="B1862" s="8">
        <v>-7.6239128791101103E-3</v>
      </c>
      <c r="C1862" s="4">
        <v>276.94633778476901</v>
      </c>
      <c r="D1862" s="4">
        <v>-0.14500559478312836</v>
      </c>
    </row>
    <row r="1863" spans="1:4">
      <c r="A1863" s="18">
        <v>46218</v>
      </c>
      <c r="B1863" s="8">
        <v>-1.3989560157480567E-3</v>
      </c>
      <c r="C1863" s="4">
        <v>276.55890203948564</v>
      </c>
      <c r="D1863" s="4">
        <v>-0.1462016943497374</v>
      </c>
    </row>
    <row r="1864" spans="1:4">
      <c r="A1864" s="18">
        <v>46219</v>
      </c>
      <c r="B1864" s="8">
        <v>3.5475430200340359E-3</v>
      </c>
      <c r="C1864" s="4">
        <v>277.54000664204409</v>
      </c>
      <c r="D1864" s="4">
        <v>-0.14317280813001088</v>
      </c>
    </row>
    <row r="1865" spans="1:4">
      <c r="A1865" s="18">
        <v>46220</v>
      </c>
      <c r="B1865" s="8">
        <v>9.2218710582445806E-3</v>
      </c>
      <c r="C1865" s="4">
        <v>280.09944479680138</v>
      </c>
      <c r="D1865" s="4">
        <v>-0.13527125824738806</v>
      </c>
    </row>
    <row r="1866" spans="1:4">
      <c r="A1866" s="18">
        <v>46223</v>
      </c>
      <c r="B1866" s="8">
        <v>-5.983990553343867E-3</v>
      </c>
      <c r="C1866" s="4">
        <v>278.42333236514048</v>
      </c>
      <c r="D1866" s="4">
        <v>-0.14044578686924059</v>
      </c>
    </row>
    <row r="1867" spans="1:4">
      <c r="A1867" s="18">
        <v>46224</v>
      </c>
      <c r="B1867" s="8">
        <v>-4.1255737753629765E-3</v>
      </c>
      <c r="C1867" s="4">
        <v>277.2746763666857</v>
      </c>
      <c r="D1867" s="4">
        <v>-0.14399194118943548</v>
      </c>
    </row>
    <row r="1868" spans="1:4">
      <c r="A1868" s="18">
        <v>46225</v>
      </c>
      <c r="B1868" s="8">
        <v>-8.2316008896872149E-3</v>
      </c>
      <c r="C1868" s="4">
        <v>274.99226189401793</v>
      </c>
      <c r="D1868" s="4">
        <v>-0.15103825788792002</v>
      </c>
    </row>
    <row r="1869" spans="1:4">
      <c r="A1869" s="18">
        <v>46226</v>
      </c>
      <c r="B1869" s="8">
        <v>-3.5307852230207692E-3</v>
      </c>
      <c r="C1869" s="4">
        <v>274.02132327927745</v>
      </c>
      <c r="D1869" s="4">
        <v>-0.15403575946187942</v>
      </c>
    </row>
    <row r="1870" spans="1:4">
      <c r="A1870" s="18">
        <v>46227</v>
      </c>
      <c r="B1870" s="8">
        <v>-8.6629287451571836E-5</v>
      </c>
      <c r="C1870" s="4">
        <v>273.99758500729524</v>
      </c>
      <c r="D1870" s="4">
        <v>-0.15410904474124676</v>
      </c>
    </row>
    <row r="1871" spans="1:4">
      <c r="A1871" s="18">
        <v>46230</v>
      </c>
      <c r="B1871" s="8">
        <v>1.3068345254577956E-2</v>
      </c>
      <c r="C1871" s="4">
        <v>277.57828004709114</v>
      </c>
      <c r="D1871" s="4">
        <v>-0.14305464969020065</v>
      </c>
    </row>
    <row r="1872" spans="1:4">
      <c r="A1872" s="18">
        <v>46231</v>
      </c>
      <c r="B1872" s="8">
        <v>6.6000102488174665E-3</v>
      </c>
      <c r="C1872" s="4">
        <v>279.41029954025106</v>
      </c>
      <c r="D1872" s="4">
        <v>-0.13739880159547946</v>
      </c>
    </row>
    <row r="1873" spans="1:4">
      <c r="A1873" s="18">
        <v>46232</v>
      </c>
      <c r="B1873" s="8">
        <v>1.6365132042365192E-2</v>
      </c>
      <c r="C1873" s="4">
        <v>283.98288598622406</v>
      </c>
      <c r="D1873" s="4">
        <v>-0.12328221908368708</v>
      </c>
    </row>
    <row r="1874" spans="1:4">
      <c r="A1874" s="18">
        <v>46233</v>
      </c>
      <c r="B1874" s="8">
        <v>5.8584766662121198E-3</v>
      </c>
      <c r="C1874" s="4">
        <v>285.64659309737795</v>
      </c>
      <c r="D1874" s="4">
        <v>-0.11814598842133561</v>
      </c>
    </row>
    <row r="1875" spans="1:4">
      <c r="A1875" s="18">
        <v>46234</v>
      </c>
      <c r="B1875" s="8">
        <v>-4.6260289345349129E-3</v>
      </c>
      <c r="C1875" s="4">
        <v>284.32518369265819</v>
      </c>
      <c r="D1875" s="4">
        <v>-0.12222547059493405</v>
      </c>
    </row>
    <row r="1876" spans="1:4">
      <c r="A1876" s="18">
        <v>46237</v>
      </c>
      <c r="B1876" s="8">
        <v>1.2224514832359337E-2</v>
      </c>
      <c r="C1876" s="4">
        <v>287.80092111792243</v>
      </c>
      <c r="D1876" s="4">
        <v>-0.11149510284075448</v>
      </c>
    </row>
    <row r="1877" spans="1:4">
      <c r="A1877" s="18">
        <v>46238</v>
      </c>
      <c r="B1877" s="8">
        <v>-6.0265627239464367E-3</v>
      </c>
      <c r="C1877" s="4">
        <v>286.06647081479571</v>
      </c>
      <c r="D1877" s="4">
        <v>-0.11684973333401827</v>
      </c>
    </row>
    <row r="1878" spans="1:4">
      <c r="A1878" s="18">
        <v>46239</v>
      </c>
      <c r="B1878" s="8">
        <v>-1.8078764684954993E-3</v>
      </c>
      <c r="C1878" s="4">
        <v>285.54929797378412</v>
      </c>
      <c r="D1878" s="4">
        <v>-0.11844635991926911</v>
      </c>
    </row>
    <row r="1879" spans="1:4">
      <c r="A1879" s="18">
        <v>46240</v>
      </c>
      <c r="B1879" s="8">
        <v>1.5746108743158588E-3</v>
      </c>
      <c r="C1879" s="4">
        <v>285.99892700352689</v>
      </c>
      <c r="D1879" s="4">
        <v>-0.11705825597130526</v>
      </c>
    </row>
    <row r="1880" spans="1:4">
      <c r="A1880" s="18">
        <v>46241</v>
      </c>
      <c r="B1880" s="8">
        <v>4.9564090083160971E-3</v>
      </c>
      <c r="C1880" s="4">
        <v>287.41645466169592</v>
      </c>
      <c r="D1880" s="4">
        <v>-0.1126820355573831</v>
      </c>
    </row>
    <row r="1881" spans="1:4">
      <c r="A1881" s="18">
        <v>46244</v>
      </c>
      <c r="B1881" s="8">
        <v>-1.7003680592515488E-4</v>
      </c>
      <c r="C1881" s="4">
        <v>287.36758328577491</v>
      </c>
      <c r="D1881" s="4">
        <v>-0.11283291226989689</v>
      </c>
    </row>
    <row r="1882" spans="1:4">
      <c r="A1882" s="18">
        <v>46245</v>
      </c>
      <c r="B1882" s="8">
        <v>-4.0521375754053769E-3</v>
      </c>
      <c r="C1882" s="4">
        <v>286.20313030358921</v>
      </c>
      <c r="D1882" s="4">
        <v>-0.11642783536175094</v>
      </c>
    </row>
    <row r="1883" spans="1:4">
      <c r="A1883" s="18">
        <v>46246</v>
      </c>
      <c r="B1883" s="8">
        <v>-7.1403418763710388E-3</v>
      </c>
      <c r="C1883" s="4">
        <v>284.15954210713403</v>
      </c>
      <c r="D1883" s="4">
        <v>-0.12273684268971319</v>
      </c>
    </row>
    <row r="1884" spans="1:4">
      <c r="A1884" s="18">
        <v>46247</v>
      </c>
      <c r="B1884" s="8">
        <v>1.9938793742312086E-3</v>
      </c>
      <c r="C1884" s="4">
        <v>284.72612195713242</v>
      </c>
      <c r="D1884" s="4">
        <v>-0.1209876857745793</v>
      </c>
    </row>
    <row r="1885" spans="1:4">
      <c r="A1885" s="18">
        <v>46248</v>
      </c>
      <c r="B1885" s="8">
        <v>-3.3090116986329915E-3</v>
      </c>
      <c r="C1885" s="4">
        <v>283.78395988866987</v>
      </c>
      <c r="D1885" s="4">
        <v>-0.12389634780559367</v>
      </c>
    </row>
    <row r="1886" spans="1:4">
      <c r="A1886" s="18">
        <v>46251</v>
      </c>
      <c r="B1886" s="8">
        <v>-8.0105644458640587E-3</v>
      </c>
      <c r="C1886" s="4">
        <v>281.51069018927922</v>
      </c>
      <c r="D1886" s="4">
        <v>-0.1309144325727537</v>
      </c>
    </row>
    <row r="1887" spans="1:4">
      <c r="A1887" s="18">
        <v>46252</v>
      </c>
      <c r="B1887" s="8">
        <v>-6.684507596298744E-3</v>
      </c>
      <c r="C1887" s="4">
        <v>279.62892984226966</v>
      </c>
      <c r="D1887" s="4">
        <v>-0.1367238416500548</v>
      </c>
    </row>
    <row r="1888" spans="1:4">
      <c r="A1888" s="18">
        <v>46253</v>
      </c>
      <c r="B1888" s="8">
        <v>-6.958484513819856E-4</v>
      </c>
      <c r="C1888" s="4">
        <v>279.43435048447731</v>
      </c>
      <c r="D1888" s="4">
        <v>-0.1373245510279576</v>
      </c>
    </row>
    <row r="1889" spans="1:4">
      <c r="A1889" s="18">
        <v>46254</v>
      </c>
      <c r="B1889" s="8">
        <v>7.2349406815344786E-3</v>
      </c>
      <c r="C1889" s="4">
        <v>281.4560414346156</v>
      </c>
      <c r="D1889" s="4">
        <v>-0.13108314532722876</v>
      </c>
    </row>
    <row r="1890" spans="1:4">
      <c r="A1890" s="18">
        <v>46255</v>
      </c>
      <c r="B1890" s="8">
        <v>-3.7307297861304796E-3</v>
      </c>
      <c r="C1890" s="4">
        <v>280.4060049973491</v>
      </c>
      <c r="D1890" s="4">
        <v>-0.13432483931862738</v>
      </c>
    </row>
    <row r="1891" spans="1:4">
      <c r="A1891" s="18">
        <v>46258</v>
      </c>
      <c r="B1891" s="8">
        <v>9.4731063711365354E-4</v>
      </c>
      <c r="C1891" s="4">
        <v>280.67163658859363</v>
      </c>
      <c r="D1891" s="4">
        <v>-0.13350477603062882</v>
      </c>
    </row>
    <row r="1892" spans="1:4">
      <c r="A1892" s="18">
        <v>46259</v>
      </c>
      <c r="B1892" s="8">
        <v>5.7610934281512689E-3</v>
      </c>
      <c r="C1892" s="4">
        <v>282.28861210961264</v>
      </c>
      <c r="D1892" s="4">
        <v>-0.12851281609029441</v>
      </c>
    </row>
    <row r="1893" spans="1:4">
      <c r="A1893" s="18">
        <v>46260</v>
      </c>
      <c r="B1893" s="8">
        <v>-1.2881270659857585E-2</v>
      </c>
      <c r="C1893" s="4">
        <v>278.65237609283315</v>
      </c>
      <c r="D1893" s="4">
        <v>-0.13973867838283249</v>
      </c>
    </row>
    <row r="1894" spans="1:4">
      <c r="A1894" s="18">
        <v>46261</v>
      </c>
      <c r="B1894" s="8">
        <v>-5.7199169559060689E-3</v>
      </c>
      <c r="C1894" s="4">
        <v>277.05850764201625</v>
      </c>
      <c r="D1894" s="4">
        <v>-0.14465930170286057</v>
      </c>
    </row>
    <row r="1895" spans="1:4">
      <c r="A1895" s="18">
        <v>46262</v>
      </c>
      <c r="B1895" s="8">
        <v>7.2265560701839978E-3</v>
      </c>
      <c r="C1895" s="4">
        <v>279.06068648221282</v>
      </c>
      <c r="D1895" s="4">
        <v>-0.13847813418750587</v>
      </c>
    </row>
    <row r="1896" spans="1:4">
      <c r="A1896" s="18">
        <v>46265</v>
      </c>
      <c r="B1896" s="8">
        <v>3.4676746914699651E-3</v>
      </c>
      <c r="C1896" s="4">
        <v>280.02837816211138</v>
      </c>
      <c r="D1896" s="4">
        <v>-0.1354906566172801</v>
      </c>
    </row>
    <row r="1897" spans="1:4">
      <c r="A1897" s="18">
        <v>46266</v>
      </c>
      <c r="B1897" s="8">
        <v>-8.2849148619154427E-3</v>
      </c>
      <c r="C1897" s="4">
        <v>277.70836689011804</v>
      </c>
      <c r="D1897" s="4">
        <v>-0.14265304292453629</v>
      </c>
    </row>
    <row r="1898" spans="1:4">
      <c r="A1898" s="18">
        <v>46267</v>
      </c>
      <c r="B1898" s="8">
        <v>-4.0663694743660302E-3</v>
      </c>
      <c r="C1898" s="4">
        <v>276.57910206422002</v>
      </c>
      <c r="D1898" s="4">
        <v>-0.14613933241972854</v>
      </c>
    </row>
    <row r="1899" spans="1:4">
      <c r="A1899" s="18">
        <v>46268</v>
      </c>
      <c r="B1899" s="8">
        <v>-4.6091034530231743E-3</v>
      </c>
      <c r="C1899" s="4">
        <v>275.30432036986178</v>
      </c>
      <c r="D1899" s="4">
        <v>-0.15007486457107344</v>
      </c>
    </row>
    <row r="1900" spans="1:4">
      <c r="A1900" s="18">
        <v>46269</v>
      </c>
      <c r="B1900" s="8">
        <v>-2.1456502611546273E-3</v>
      </c>
      <c r="C1900" s="4">
        <v>274.71361358296321</v>
      </c>
      <c r="D1900" s="4">
        <v>-0.15189850665986837</v>
      </c>
    </row>
    <row r="1901" spans="1:4">
      <c r="A1901" s="18">
        <v>46272</v>
      </c>
      <c r="B1901" s="8">
        <v>-3.616687747715468E-3</v>
      </c>
      <c r="C1901" s="4">
        <v>273.72006022258705</v>
      </c>
      <c r="D1901" s="4">
        <v>-0.15496582493965083</v>
      </c>
    </row>
    <row r="1902" spans="1:4">
      <c r="A1902" s="18">
        <v>46273</v>
      </c>
      <c r="B1902" s="8">
        <v>-8.3363794484029134E-3</v>
      </c>
      <c r="C1902" s="4">
        <v>271.43822593793186</v>
      </c>
      <c r="D1902" s="4">
        <v>-0.16201035046982204</v>
      </c>
    </row>
    <row r="1903" spans="1:4">
      <c r="A1903" s="18">
        <v>46274</v>
      </c>
      <c r="B1903" s="8">
        <v>-1.2838270576848431E-2</v>
      </c>
      <c r="C1903" s="4">
        <v>267.95342854844097</v>
      </c>
      <c r="D1903" s="4">
        <v>-0.17276868833108883</v>
      </c>
    </row>
    <row r="1904" spans="1:4">
      <c r="A1904" s="18">
        <v>46275</v>
      </c>
      <c r="B1904" s="8">
        <v>5.9462836004308176E-4</v>
      </c>
      <c r="C1904" s="4">
        <v>268.11276125622663</v>
      </c>
      <c r="D1904" s="4">
        <v>-0.17227679313285493</v>
      </c>
    </row>
    <row r="1905" spans="1:4">
      <c r="A1905" s="18">
        <v>46276</v>
      </c>
      <c r="B1905" s="8">
        <v>-5.8017658539791864E-3</v>
      </c>
      <c r="C1905" s="4">
        <v>266.55723379295421</v>
      </c>
      <c r="D1905" s="4">
        <v>-0.17707904937100283</v>
      </c>
    </row>
    <row r="1906" spans="1:4">
      <c r="A1906" s="18">
        <v>46279</v>
      </c>
      <c r="B1906" s="8">
        <v>0</v>
      </c>
      <c r="C1906" s="4">
        <v>266.55723379295421</v>
      </c>
      <c r="D1906" s="4">
        <v>-0.17707904937100283</v>
      </c>
    </row>
    <row r="1907" spans="1:4">
      <c r="A1907" s="18">
        <v>46280</v>
      </c>
      <c r="B1907" s="8">
        <v>-3.8270178788916299E-3</v>
      </c>
      <c r="C1907" s="4">
        <v>265.53711449348066</v>
      </c>
      <c r="D1907" s="4">
        <v>-0.1802283825619746</v>
      </c>
    </row>
    <row r="1908" spans="1:4">
      <c r="A1908" s="18">
        <v>46281</v>
      </c>
      <c r="B1908" s="8">
        <v>-2.4846969688204052E-3</v>
      </c>
      <c r="C1908" s="4">
        <v>264.8773352299894</v>
      </c>
      <c r="D1908" s="4">
        <v>-0.1822652666149478</v>
      </c>
    </row>
    <row r="1909" spans="1:4">
      <c r="A1909" s="18">
        <v>46282</v>
      </c>
      <c r="B1909" s="8">
        <v>5.4550381404108225E-3</v>
      </c>
      <c r="C1909" s="4">
        <v>266.32225119619937</v>
      </c>
      <c r="D1909" s="4">
        <v>-0.1778044924555936</v>
      </c>
    </row>
    <row r="1910" spans="1:4">
      <c r="A1910" s="18">
        <v>46283</v>
      </c>
      <c r="B1910" s="8">
        <v>-8.7420488759444668E-3</v>
      </c>
      <c r="C1910" s="4">
        <v>263.99404905949064</v>
      </c>
      <c r="D1910" s="4">
        <v>-0.18499216576812882</v>
      </c>
    </row>
    <row r="1911" spans="1:4">
      <c r="A1911" s="18">
        <v>46286</v>
      </c>
      <c r="B1911" s="8">
        <v>8.8918801741824146E-3</v>
      </c>
      <c r="C1911" s="4">
        <v>266.34145251042486</v>
      </c>
      <c r="D1911" s="4">
        <v>-0.17774521376511909</v>
      </c>
    </row>
    <row r="1912" spans="1:4">
      <c r="A1912" s="18">
        <v>46287</v>
      </c>
      <c r="B1912" s="8">
        <v>-6.06197537296649E-3</v>
      </c>
      <c r="C1912" s="4">
        <v>264.72689718450653</v>
      </c>
      <c r="D1912" s="4">
        <v>-0.18272970202957883</v>
      </c>
    </row>
    <row r="1913" spans="1:4">
      <c r="A1913" s="18">
        <v>46288</v>
      </c>
      <c r="B1913" s="8">
        <v>6.0299038519896538E-3</v>
      </c>
      <c r="C1913" s="4">
        <v>266.32317492156466</v>
      </c>
      <c r="D1913" s="4">
        <v>-0.17780164071173021</v>
      </c>
    </row>
    <row r="1914" spans="1:4">
      <c r="A1914" s="18">
        <v>46289</v>
      </c>
      <c r="B1914" s="8">
        <v>-1.3672232234495986E-2</v>
      </c>
      <c r="C1914" s="4">
        <v>262.68194262460872</v>
      </c>
      <c r="D1914" s="4">
        <v>-0.189042927622741</v>
      </c>
    </row>
    <row r="1915" spans="1:4">
      <c r="A1915" s="18">
        <v>46290</v>
      </c>
      <c r="B1915" s="8">
        <v>2.6124667898818326E-3</v>
      </c>
      <c r="C1915" s="4">
        <v>263.36819047601716</v>
      </c>
      <c r="D1915" s="4">
        <v>-0.18692432920313562</v>
      </c>
    </row>
    <row r="1916" spans="1:4">
      <c r="A1916" s="18">
        <v>46293</v>
      </c>
      <c r="B1916" s="8">
        <v>-1.367955555731817E-2</v>
      </c>
      <c r="C1916" s="4">
        <v>259.76543068237015</v>
      </c>
      <c r="D1916" s="4">
        <v>-0.19804684301410502</v>
      </c>
    </row>
    <row r="1917" spans="1:4">
      <c r="A1917" s="18">
        <v>46294</v>
      </c>
      <c r="B1917" s="8">
        <v>-2.7147605408283505E-3</v>
      </c>
      <c r="C1917" s="4">
        <v>259.0602297412824</v>
      </c>
      <c r="D1917" s="4">
        <v>-0.20022395380028302</v>
      </c>
    </row>
    <row r="1918" spans="1:4">
      <c r="A1918" s="18">
        <v>46295</v>
      </c>
      <c r="B1918" s="8">
        <v>-4.5036436826084818E-3</v>
      </c>
      <c r="C1918" s="4">
        <v>257.89351477419297</v>
      </c>
      <c r="D1918" s="4">
        <v>-0.20382586013825188</v>
      </c>
    </row>
    <row r="1919" spans="1:4">
      <c r="A1919" s="18">
        <v>46296</v>
      </c>
      <c r="B1919" s="8">
        <v>-1.262790834434727E-2</v>
      </c>
      <c r="C1919" s="4">
        <v>254.6368591070229</v>
      </c>
      <c r="D1919" s="4">
        <v>-0.2138798742025656</v>
      </c>
    </row>
    <row r="1920" spans="1:4">
      <c r="A1920" s="18">
        <v>46297</v>
      </c>
      <c r="B1920" s="8">
        <v>0</v>
      </c>
      <c r="C1920" s="4">
        <v>254.6368591070229</v>
      </c>
      <c r="D1920" s="4">
        <v>-0.2138798742025656</v>
      </c>
    </row>
    <row r="1921" spans="1:4">
      <c r="A1921" s="18">
        <v>46300</v>
      </c>
      <c r="B1921" s="8">
        <v>8.8022629055736507E-3</v>
      </c>
      <c r="C1921" s="4">
        <v>256.87823968633245</v>
      </c>
      <c r="D1921" s="4">
        <v>-0.20696023817993392</v>
      </c>
    </row>
    <row r="1922" spans="1:4">
      <c r="A1922" s="18">
        <v>46301</v>
      </c>
      <c r="B1922" s="8">
        <v>6.9436609019219719E-3</v>
      </c>
      <c r="C1922" s="4">
        <v>258.66191507579697</v>
      </c>
      <c r="D1922" s="4">
        <v>-0.20145363899211444</v>
      </c>
    </row>
    <row r="1923" spans="1:4">
      <c r="A1923" s="18">
        <v>46302</v>
      </c>
      <c r="B1923" s="8">
        <v>-1.3386059645246928E-2</v>
      </c>
      <c r="C1923" s="4">
        <v>255.19945125263854</v>
      </c>
      <c r="D1923" s="4">
        <v>-0.21214302821006092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6EFB-819F-40B4-A8CF-A17EB10EF2A6}">
  <dimension ref="A1:I9"/>
  <sheetViews>
    <sheetView workbookViewId="0">
      <selection activeCell="D14" sqref="D14"/>
    </sheetView>
  </sheetViews>
  <sheetFormatPr defaultRowHeight="13.8"/>
  <cols>
    <col min="1" max="1" width="14.296875" customWidth="1"/>
    <col min="2" max="2" width="8.796875" customWidth="1"/>
    <col min="3" max="3" width="14.3984375" customWidth="1"/>
  </cols>
  <sheetData>
    <row r="1" spans="1:9">
      <c r="A1" t="s">
        <v>51</v>
      </c>
      <c r="B1" t="s">
        <v>14</v>
      </c>
      <c r="C1" t="s">
        <v>52</v>
      </c>
      <c r="D1" t="s">
        <v>53</v>
      </c>
    </row>
    <row r="2" spans="1:9">
      <c r="A2" s="1" t="s">
        <v>1</v>
      </c>
      <c r="B2" s="5">
        <v>0.13</v>
      </c>
      <c r="C2" s="5">
        <v>0.14000000000000001</v>
      </c>
      <c r="D2" s="4">
        <f>SLOPE(returns!B$2:B$1923,returns!$J$2:$J$1923)</f>
        <v>1.090041297730709</v>
      </c>
      <c r="E2" s="5"/>
      <c r="F2" s="5"/>
      <c r="G2" s="5"/>
      <c r="H2" s="5"/>
      <c r="I2" s="5"/>
    </row>
    <row r="3" spans="1:9">
      <c r="A3" s="1" t="s">
        <v>2</v>
      </c>
      <c r="B3" s="8">
        <v>0.09</v>
      </c>
      <c r="C3" s="8">
        <v>7.0000000000000007E-2</v>
      </c>
      <c r="D3" s="4">
        <f>SLOPE(returns!C$2:C$1923,returns!$J$2:$J$1923)</f>
        <v>0.72541900486182498</v>
      </c>
    </row>
    <row r="4" spans="1:9">
      <c r="A4" s="1" t="s">
        <v>3</v>
      </c>
      <c r="B4" s="8">
        <v>7.0000000000000007E-2</v>
      </c>
      <c r="C4" s="8">
        <v>7.0000000000000007E-2</v>
      </c>
      <c r="D4" s="4">
        <f>SLOPE(returns!D$2:D$1923,returns!$J$2:$J$1923)</f>
        <v>1.08142659627399</v>
      </c>
    </row>
    <row r="5" spans="1:9">
      <c r="A5" s="1" t="s">
        <v>4</v>
      </c>
      <c r="B5" s="9">
        <v>0.08</v>
      </c>
      <c r="C5" s="8">
        <v>7.0000000000000007E-2</v>
      </c>
      <c r="D5" s="4">
        <f>SLOPE(returns!E$2:E$1923,returns!$J$2:$J$1923)</f>
        <v>0.84960635177992783</v>
      </c>
    </row>
    <row r="6" spans="1:9">
      <c r="A6" s="1" t="s">
        <v>5</v>
      </c>
      <c r="B6" s="9">
        <v>0.08</v>
      </c>
      <c r="C6" s="8">
        <v>0.06</v>
      </c>
      <c r="D6" s="4">
        <f>SLOPE(returns!F$2:F$1923,returns!$J$2:$J$1923)</f>
        <v>0.67713843381533001</v>
      </c>
    </row>
    <row r="7" spans="1:9">
      <c r="A7" s="1" t="s">
        <v>6</v>
      </c>
      <c r="B7" s="9">
        <v>0.19</v>
      </c>
      <c r="C7" s="8">
        <v>0.24</v>
      </c>
      <c r="D7" s="4">
        <f>SLOPE(returns!G$2:G$1923,returns!$J$2:$J$1923)</f>
        <v>1.0149360289182336</v>
      </c>
    </row>
    <row r="8" spans="1:9">
      <c r="A8" s="1" t="s">
        <v>7</v>
      </c>
      <c r="B8" s="9">
        <v>0.15</v>
      </c>
      <c r="C8" s="8">
        <v>0.12</v>
      </c>
      <c r="D8" s="4">
        <f>SLOPE(returns!H$2:H$1923,returns!$J$2:$J$1923)</f>
        <v>0.60965474414706711</v>
      </c>
    </row>
    <row r="9" spans="1:9">
      <c r="A9" s="1" t="s">
        <v>8</v>
      </c>
      <c r="B9" s="9">
        <v>0.2</v>
      </c>
      <c r="C9" s="8">
        <v>0.24</v>
      </c>
      <c r="D9" s="4">
        <f>SLOPE(returns!I$2:I$1923,returns!$J$2:$J$1923)</f>
        <v>1.101393494981624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prices</vt:lpstr>
      <vt:lpstr>returns</vt:lpstr>
      <vt:lpstr>risk</vt:lpstr>
      <vt:lpstr>stress</vt:lpstr>
      <vt:lpstr>weights</vt:lpstr>
      <vt:lpstr>pbi_returns</vt:lpstr>
      <vt:lpstr>pbi_stocks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natarajan</dc:creator>
  <cp:lastModifiedBy>murali natarajan</cp:lastModifiedBy>
  <cp:lastPrinted>2026-10-08T16:44:11Z</cp:lastPrinted>
  <dcterms:created xsi:type="dcterms:W3CDTF">2026-10-08T14:52:22Z</dcterms:created>
  <dcterms:modified xsi:type="dcterms:W3CDTF">2026-10-10T06:26:56Z</dcterms:modified>
</cp:coreProperties>
</file>